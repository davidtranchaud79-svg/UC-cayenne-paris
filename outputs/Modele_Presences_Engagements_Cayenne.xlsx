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ec2253546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ES" sheetId="1" r:id="R177e482baec2497a"/>
    <x:sheet xmlns:r="http://schemas.openxmlformats.org/officeDocument/2006/relationships" name="MEMBRES" sheetId="2" r:id="R3ebaab19a4254815"/>
    <x:sheet xmlns:r="http://schemas.openxmlformats.org/officeDocument/2006/relationships" name="CALENDRIER" sheetId="3" r:id="R14be5429747e41c1"/>
    <x:sheet xmlns:r="http://schemas.openxmlformats.org/officeDocument/2006/relationships" name="REPONSES" sheetId="4" r:id="R81d44fc050c14568"/>
    <x:sheet xmlns:r="http://schemas.openxmlformats.org/officeDocument/2006/relationships" name="SUIVI_ANNUEL" sheetId="5" r:id="R57d27ec5dd364c2c"/>
    <x:sheet xmlns:r="http://schemas.openxmlformats.org/officeDocument/2006/relationships" name="DASHBOARD" sheetId="6" r:id="R4d95fdf9bd5e4969"/>
    <x:sheet xmlns:r="http://schemas.openxmlformats.org/officeDocument/2006/relationships" name="MODELE_CR_EVENEMENT" sheetId="7" r:id="Rcecabddc555149ab"/>
    <x:sheet xmlns:r="http://schemas.openxmlformats.org/officeDocument/2006/relationships" name="CODE_GS" sheetId="8" r:id="R4fd3d7e8f5ef4aa8"/>
    <x:sheet xmlns:r="http://schemas.openxmlformats.org/officeDocument/2006/relationships" name="INDEX_HTML" sheetId="9" r:id="R41ddeb3ac99c4fde"/>
    <x:sheet xmlns:r="http://schemas.openxmlformats.org/officeDocument/2006/relationships" name="NOTICE" sheetId="10" r:id="R8edecf5ea739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"/>
    <x:numFmt numFmtId="203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55131D"/>
      <x:name val="Carlito"/>
    </x:font>
    <x:font>
      <x:b/>
      <x:sz val="12"/>
      <x:name val="Carlito"/>
    </x:font>
    <x:font>
      <x:sz val="9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3F3F46"/>
      </x:patternFill>
    </x:fill>
    <x:fill>
      <x:patternFill patternType="solid">
        <x:fgColor rgb="FFF2E7E9"/>
      </x:patternFill>
    </x:fill>
  </x:fills>
  <x:borders count="19">
    <x:border/>
    <x:border>
      <x:left style="thin">
        <x:color rgb="FF3F3F46"/>
      </x:left>
      <x:top style="thin">
        <x:color rgb="FF3F3F46"/>
      </x:top>
      <x:bottom style="thin">
        <x:color rgb="FF3F3F46"/>
      </x:bottom>
    </x:border>
    <x:border>
      <x:top style="thin">
        <x:color rgb="FF3F3F46"/>
      </x:top>
      <x:bottom style="thin">
        <x:color rgb="FF3F3F46"/>
      </x:bottom>
    </x:border>
    <x:border>
      <x:right style="thin">
        <x:color rgb="FF3F3F46"/>
      </x:right>
      <x:top style="thin">
        <x:color rgb="FF3F3F46"/>
      </x:top>
      <x:bottom style="thin">
        <x:color rgb="FF3F3F46"/>
      </x:bottom>
    </x:border>
    <x:border>
      <x:left style="thin">
        <x:color rgb="FF3F3F46"/>
      </x:left>
      <x:right style="thin">
        <x:color rgb="FF3F3F46"/>
      </x:right>
      <x:top style="thin">
        <x:color rgb="FF3F3F46"/>
      </x:top>
      <x:bottom style="thin">
        <x:color rgb="FF3F3F46"/>
      </x:bottom>
    </x:border>
    <x:border>
      <x:left style="thin">
        <x:color rgb="FFD9D9D9"/>
      </x:left>
      <x:top style="thin">
        <x:color rgb="FFD9D9D9"/>
      </x:top>
      <x:bottom style="thin">
        <x:color rgb="FF3F3F46"/>
      </x:bottom>
    </x:border>
    <x:border>
      <x:top style="thin">
        <x:color rgb="FFD9D9D9"/>
      </x:top>
      <x:bottom style="thin">
        <x:color rgb="FF3F3F46"/>
      </x:bottom>
    </x:border>
    <x:border>
      <x:right style="thin">
        <x:color rgb="FFD9D9D9"/>
      </x:right>
      <x:top style="thin">
        <x:color rgb="FFD9D9D9"/>
      </x:top>
      <x:bottom style="thin">
        <x:color rgb="FF3F3F46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top style="thin">
        <x:color rgb="FFD9D9D9"/>
      </x:top>
    </x:border>
    <x:border>
      <x:left style="thin">
        <x:color rgb="FF3F3F46"/>
      </x:left>
      <x:top style="thin">
        <x:color rgb="FFD9D9D9"/>
      </x:top>
      <x:bottom style="thin">
        <x:color rgb="FF3F3F46"/>
      </x:bottom>
    </x:border>
    <x:border>
      <x:left style="thin">
        <x:color rgb="FFD9D9D9"/>
      </x:left>
      <x:top style="thin">
        <x:color rgb="FF3F3F46"/>
      </x:top>
      <x:bottom style="thin">
        <x:color rgb="FF3F3F46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0" xfId="0" applyNumberFormat="1" applyFont="1" applyFill="1" applyBorder="1"/>
    <x:xf numFmtId="200" fontId="0" fillId="0" borderId="11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3" fontId="0" fillId="0" borderId="0" xfId="0" applyNumberFormat="1" applyFont="1" applyFill="1" applyBorder="1"/>
    <x:xf numFmtId="201" fontId="0" fillId="0" borderId="9" xfId="0" applyNumberFormat="1" applyFont="1" applyFill="1" applyBorder="1"/>
    <x:xf numFmtId="203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202" fontId="5" fillId="0" borderId="16" xfId="0" applyNumberFormat="1" applyFont="1" applyFill="1" applyBorder="1"/>
    <x:xf numFmtId="0" fontId="0" fillId="0" borderId="16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202" fontId="0" fillId="0" borderId="9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203" fontId="0" fillId="0" borderId="9" xfId="0" applyNumberFormat="1" applyFont="1" applyFill="1" applyBorder="1"/>
    <x:xf numFmtId="203" fontId="0" fillId="0" borderId="12" xfId="0" applyNumberFormat="1" applyFont="1" applyFill="1" applyBorder="1"/>
    <x:xf numFmtId="0" fontId="3" fillId="4" borderId="0" xfId="0" applyNumberFormat="1" applyFont="1" applyFill="1" applyBorder="1"/>
    <x:xf numFmtId="0" fontId="3" fillId="4" borderId="1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a5a2626594e2c" /><Relationship Type="http://schemas.openxmlformats.org/officeDocument/2006/relationships/theme" Target="/xl/theme/theme1.xml" Id="Rfc5e74abbe264fac" /><Relationship Type="http://schemas.openxmlformats.org/officeDocument/2006/relationships/sharedStrings" Target="/xl/sharedStrings.xml" Id="Rbf9d1f6ad17442c9" /><Relationship Type="http://schemas.openxmlformats.org/officeDocument/2006/relationships/worksheet" Target="/xl/worksheets/sheet1.xml" Id="R177e482baec2497a" /><Relationship Type="http://schemas.openxmlformats.org/officeDocument/2006/relationships/worksheet" Target="/xl/worksheets/sheet2.xml" Id="R3ebaab19a4254815" /><Relationship Type="http://schemas.openxmlformats.org/officeDocument/2006/relationships/worksheet" Target="/xl/worksheets/sheet3.xml" Id="R14be5429747e41c1" /><Relationship Type="http://schemas.openxmlformats.org/officeDocument/2006/relationships/worksheet" Target="/xl/worksheets/sheet4.xml" Id="R81d44fc050c14568" /><Relationship Type="http://schemas.openxmlformats.org/officeDocument/2006/relationships/worksheet" Target="/xl/worksheets/sheet5.xml" Id="R57d27ec5dd364c2c" /><Relationship Type="http://schemas.openxmlformats.org/officeDocument/2006/relationships/worksheet" Target="/xl/worksheets/sheet6.xml" Id="R4d95fdf9bd5e4969" /><Relationship Type="http://schemas.openxmlformats.org/officeDocument/2006/relationships/worksheet" Target="/xl/worksheets/sheet7.xml" Id="Rcecabddc555149ab" /><Relationship Type="http://schemas.openxmlformats.org/officeDocument/2006/relationships/worksheet" Target="/xl/worksheets/sheet8.xml" Id="R4fd3d7e8f5ef4aa8" /><Relationship Type="http://schemas.openxmlformats.org/officeDocument/2006/relationships/worksheet" Target="/xl/worksheets/sheet9.xml" Id="R41ddeb3ac99c4fde" /><Relationship Type="http://schemas.openxmlformats.org/officeDocument/2006/relationships/worksheet" Target="/xl/worksheets/sheet10.xml" Id="R8edecf5ea73942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9430cf499c42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Présences et aides par type d’événement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Événements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'DASHBOARD'!$E$4:$E$10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Présents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'DASHBOARD'!$F$4:$F$10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Excusés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'DASHBOARD'!$G$4:$G$10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Aides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'DASHBOARD'!$H$4:$H$10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9430cf499c42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f9dfda17a2d48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2.220000267028809" hidden="0" customWidth="1"/>
    <x:col min="3" max="3" width="33.33000183105469" hidden="0" customWidth="1"/>
    <x:col min="4" max="4" width="15.5600004196167" hidden="0" customWidth="1"/>
    <x:col min="5" max="5" width="13.329999923706055" hidden="0" customWidth="1"/>
    <x:col min="6" max="6" width="18.889999389648438" hidden="0" customWidth="1"/>
    <x:col min="7" max="7" width="28.889999389648438" hidden="0" customWidth="1"/>
    <x:col min="8" max="8" width="21.110000610351562" hidden="0" customWidth="1"/>
  </x:cols>
  <x:sheetData>
    <x:row r="1">
      <x:c r="A1" s="4" t="str">
        <x:v>Paramètres du logiciel de présences</x:v>
      </x:c>
      <x:c r="B1" s="4" t="str">
        <x:v>Paramètres du logiciel de présences</x:v>
      </x:c>
      <x:c r="C1" s="4" t="str">
        <x:v>Paramètres du logiciel de présences</x:v>
      </x:c>
      <x:c r="D1" s="4" t="str">
        <x:v>Paramètres du logiciel de présences</x:v>
      </x:c>
      <x:c r="E1" s="4" t="str">
        <x:v>Paramètres du logiciel de présences</x:v>
      </x:c>
      <x:c r="F1" s="4" t="str">
        <x:v>Paramètres du logiciel de présences</x:v>
      </x:c>
      <x:c r="G1" s="4" t="str">
        <x:v>Paramètres du logiciel de présences</x:v>
      </x:c>
      <x:c r="H1" s="4" t="str">
        <x:v>Paramètres du logiciel de présences</x:v>
      </x:c>
    </x:row>
    <x:row r="3">
      <x:c r="A3" s="10" t="str">
        <x:v>Paramètre</x:v>
      </x:c>
      <x:c r="B3" s="11" t="str">
        <x:v>Valeur</x:v>
      </x:c>
      <x:c r="C3" s="12" t="str">
        <x:v>Description</x:v>
      </x:c>
      <x:c r="D3" s="15" t="str">
        <x:v>Statuts</x:v>
      </x:c>
      <x:c r="E3" s="15" t="str">
        <x:v>Cayennes</x:v>
      </x:c>
      <x:c r="F3" s="15" t="str">
        <x:v>Réponses</x:v>
      </x:c>
      <x:c r="G3" s="15" t="str">
        <x:v>Causes</x:v>
      </x:c>
      <x:c r="H3" s="15" t="str">
        <x:v>Types événements</x:v>
      </x:c>
    </x:row>
    <x:row r="4">
      <x:c r="A4" s="13" t="str">
        <x:v>annee_active</x:v>
      </x:c>
      <x:c r="B4" t="n">
        <x:v>2026</x:v>
      </x:c>
      <x:c r="C4" t="str">
        <x:v>Année suivie par défaut</x:v>
      </x:c>
      <x:c r="D4" t="str">
        <x:v>Sociétaire</x:v>
      </x:c>
      <x:c r="E4" t="str">
        <x:v>Paris</x:v>
      </x:c>
      <x:c r="F4" t="str">
        <x:v>Présent</x:v>
      </x:c>
      <x:c r="G4" t="str">
        <x:v>Familiale</x:v>
      </x:c>
      <x:c r="H4" t="str">
        <x:v>Réunion des jeunes</x:v>
      </x:c>
    </x:row>
    <x:row r="5">
      <x:c r="A5" s="13" t="str">
        <x:v>cayenne_principale</x:v>
      </x:c>
      <x:c r="B5" t="str">
        <x:v>Paris</x:v>
      </x:c>
      <x:c r="C5" t="str">
        <x:v>Cayenne proposée en premier</x:v>
      </x:c>
      <x:c r="D5" t="str">
        <x:v>Aspirant</x:v>
      </x:c>
      <x:c r="E5" t="str">
        <x:v>Autre</x:v>
      </x:c>
      <x:c r="F5" t="str">
        <x:v>Absent excusé</x:v>
      </x:c>
      <x:c r="G5" t="str">
        <x:v>Travail</x:v>
      </x:c>
      <x:c r="H5" t="str">
        <x:v>Réunion compagnon</x:v>
      </x:c>
    </x:row>
    <x:row r="6">
      <x:c r="A6" s="13" t="str">
        <x:v>admin_pin</x:v>
      </x:c>
      <x:c r="B6" t="str">
        <x:v>1234</x:v>
      </x:c>
      <x:c r="C6" t="str">
        <x:v>Code d’accès au dashboard admin</x:v>
      </x:c>
      <x:c r="D6" t="str">
        <x:v>Compagnon</x:v>
      </x:c>
      <x:c r="F6" t="str">
        <x:v>Disponible pour aider</x:v>
      </x:c>
      <x:c r="G6" t="str">
        <x:v>Engagement compagnonnique ailleurs</x:v>
      </x:c>
      <x:c r="H6" t="str">
        <x:v>Cours en Cayenne</x:v>
      </x:c>
    </x:row>
    <x:row r="7">
      <x:c r="A7" s="13" t="str">
        <x:v>nom_application</x:v>
      </x:c>
      <x:c r="B7" t="str">
        <x:v>Présences Cayenne de Paris</x:v>
      </x:c>
      <x:c r="C7" t="str">
        <x:v>Titre affiché dans le formulaire</x:v>
      </x:c>
      <x:c r="G7" t="str">
        <x:v>Maladie</x:v>
      </x:c>
      <x:c r="H7" t="str">
        <x:v>Fête de juin</x:v>
      </x:c>
    </x:row>
    <x:row r="8">
      <x:c r="A8" s="13" t="str">
        <x:v>derniere_generation</x:v>
      </x:c>
      <x:c r="B8" t="str"/>
      <x:c r="C8" t="str">
        <x:v>Champ réservé au script</x:v>
      </x:c>
      <x:c r="G8" t="str">
        <x:v>Arrêt de travail</x:v>
      </x:c>
      <x:c r="H8" t="str">
        <x:v>Fête de novembre</x:v>
      </x:c>
    </x:row>
    <x:row r="9">
      <x:c r="G9" t="str">
        <x:v>Vacances</x:v>
      </x:c>
      <x:c r="H9" t="str">
        <x:v>JEP</x:v>
      </x:c>
    </x:row>
    <x:row r="10">
      <x:c r="G10" t="str">
        <x:v>Repos</x:v>
      </x:c>
      <x:c r="H10" t="str">
        <x:v>Autre</x:v>
      </x:c>
    </x:row>
    <x:row r="11">
      <x:c r="G11" t="str">
        <x:v>Trop d’engagements / je fais un break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5.5600004196167" hidden="0" customWidth="1"/>
    <x:col min="3" max="3" width="13.329999923706055" hidden="0" customWidth="1"/>
    <x:col min="4" max="4" width="11.109999656677246" hidden="0" customWidth="1"/>
    <x:col min="5" max="5" width="24.440000534057617" hidden="0" customWidth="1"/>
    <x:col min="6" max="6" width="15.5600004196167" hidden="0" customWidth="1"/>
    <x:col min="7" max="7" width="8.890000343322754" hidden="0" customWidth="1"/>
    <x:col min="8" max="8" width="31.110000610351562" hidden="0" customWidth="1"/>
  </x:cols>
  <x:sheetData>
    <x:row r="1">
      <x:c r="A1" s="4" t="str">
        <x:v>Membres suivis</x:v>
      </x:c>
      <x:c r="B1" s="4" t="str">
        <x:v>Membres suivis</x:v>
      </x:c>
      <x:c r="C1" s="4" t="str">
        <x:v>Membres suivis</x:v>
      </x:c>
      <x:c r="D1" s="4" t="str">
        <x:v>Membres suivis</x:v>
      </x:c>
      <x:c r="E1" s="4" t="str">
        <x:v>Membres suivis</x:v>
      </x:c>
      <x:c r="F1" s="4" t="str">
        <x:v>Membres suivis</x:v>
      </x:c>
      <x:c r="G1" s="4" t="str">
        <x:v>Membres suivis</x:v>
      </x:c>
      <x:c r="H1" s="4" t="str">
        <x:v>Membres suivis</x:v>
      </x:c>
    </x:row>
    <x:row r="3">
      <x:c r="A3" s="16" t="str">
        <x:v>Nom</x:v>
      </x:c>
      <x:c r="B3" s="17" t="str">
        <x:v>Prenom</x:v>
      </x:c>
      <x:c r="C3" s="17" t="str">
        <x:v>Statut</x:v>
      </x:c>
      <x:c r="D3" s="17" t="str">
        <x:v>Cayenne</x:v>
      </x:c>
      <x:c r="E3" s="17" t="str">
        <x:v>Email</x:v>
      </x:c>
      <x:c r="F3" s="17" t="str">
        <x:v>Telephone</x:v>
      </x:c>
      <x:c r="G3" s="17" t="str">
        <x:v>Actif</x:v>
      </x:c>
      <x:c r="H3" s="18" t="str">
        <x:v>Notes</x:v>
      </x:c>
    </x:row>
    <x:row r="4">
      <x:c r="A4" s="19"/>
      <x:c r="B4" s="20"/>
      <x:c r="C4" s="20"/>
      <x:c r="D4" s="20"/>
      <x:c r="E4" s="20"/>
      <x:c r="F4" s="20"/>
      <x:c r="G4" s="20"/>
      <x:c r="H4" s="21"/>
    </x:row>
    <x:row r="5">
      <x:c r="A5" s="19"/>
      <x:c r="B5" s="20"/>
      <x:c r="C5" s="20"/>
      <x:c r="D5" s="20"/>
      <x:c r="E5" s="20"/>
      <x:c r="F5" s="20"/>
      <x:c r="G5" s="20"/>
      <x:c r="H5" s="21"/>
    </x:row>
    <x:row r="6">
      <x:c r="A6" s="19"/>
      <x:c r="B6" s="20"/>
      <x:c r="C6" s="20"/>
      <x:c r="D6" s="20"/>
      <x:c r="E6" s="20"/>
      <x:c r="F6" s="20"/>
      <x:c r="G6" s="20"/>
      <x:c r="H6" s="21"/>
    </x:row>
    <x:row r="7">
      <x:c r="A7" s="19"/>
      <x:c r="B7" s="20"/>
      <x:c r="C7" s="20"/>
      <x:c r="D7" s="20"/>
      <x:c r="E7" s="20"/>
      <x:c r="F7" s="20"/>
      <x:c r="G7" s="20"/>
      <x:c r="H7" s="21"/>
    </x:row>
    <x:row r="8">
      <x:c r="A8" s="19"/>
      <x:c r="B8" s="20"/>
      <x:c r="C8" s="20"/>
      <x:c r="D8" s="20"/>
      <x:c r="E8" s="20"/>
      <x:c r="F8" s="20"/>
      <x:c r="G8" s="20"/>
      <x:c r="H8" s="21"/>
    </x:row>
    <x:row r="9">
      <x:c r="A9" s="19"/>
      <x:c r="B9" s="20"/>
      <x:c r="C9" s="20"/>
      <x:c r="D9" s="20"/>
      <x:c r="E9" s="20"/>
      <x:c r="F9" s="20"/>
      <x:c r="G9" s="20"/>
      <x:c r="H9" s="21"/>
    </x:row>
    <x:row r="10">
      <x:c r="A10" s="19"/>
      <x:c r="B10" s="20"/>
      <x:c r="C10" s="20"/>
      <x:c r="D10" s="20"/>
      <x:c r="E10" s="20"/>
      <x:c r="F10" s="20"/>
      <x:c r="G10" s="20"/>
      <x:c r="H10" s="21"/>
    </x:row>
    <x:row r="11">
      <x:c r="A11" s="19"/>
      <x:c r="B11" s="20"/>
      <x:c r="C11" s="20"/>
      <x:c r="D11" s="20"/>
      <x:c r="E11" s="20"/>
      <x:c r="F11" s="20"/>
      <x:c r="G11" s="20"/>
      <x:c r="H11" s="21"/>
    </x:row>
    <x:row r="12">
      <x:c r="A12" s="19"/>
      <x:c r="B12" s="20"/>
      <x:c r="C12" s="20"/>
      <x:c r="D12" s="20"/>
      <x:c r="E12" s="20"/>
      <x:c r="F12" s="20"/>
      <x:c r="G12" s="20"/>
      <x:c r="H12" s="21"/>
    </x:row>
    <x:row r="13">
      <x:c r="A13" s="19"/>
      <x:c r="B13" s="20"/>
      <x:c r="C13" s="20"/>
      <x:c r="D13" s="20"/>
      <x:c r="E13" s="20"/>
      <x:c r="F13" s="20"/>
      <x:c r="G13" s="20"/>
      <x:c r="H13" s="21"/>
    </x:row>
    <x:row r="14">
      <x:c r="A14" s="19"/>
      <x:c r="B14" s="20"/>
      <x:c r="C14" s="20"/>
      <x:c r="D14" s="20"/>
      <x:c r="E14" s="20"/>
      <x:c r="F14" s="20"/>
      <x:c r="G14" s="20"/>
      <x:c r="H14" s="21"/>
    </x:row>
    <x:row r="15">
      <x:c r="A15" s="19"/>
      <x:c r="B15" s="20"/>
      <x:c r="C15" s="20"/>
      <x:c r="D15" s="20"/>
      <x:c r="E15" s="20"/>
      <x:c r="F15" s="20"/>
      <x:c r="G15" s="20"/>
      <x:c r="H15" s="21"/>
    </x:row>
    <x:row r="16">
      <x:c r="A16" s="19"/>
      <x:c r="B16" s="20"/>
      <x:c r="C16" s="20"/>
      <x:c r="D16" s="20"/>
      <x:c r="E16" s="20"/>
      <x:c r="F16" s="20"/>
      <x:c r="G16" s="20"/>
      <x:c r="H16" s="21"/>
    </x:row>
    <x:row r="17">
      <x:c r="A17" s="19"/>
      <x:c r="B17" s="20"/>
      <x:c r="C17" s="20"/>
      <x:c r="D17" s="20"/>
      <x:c r="E17" s="20"/>
      <x:c r="F17" s="20"/>
      <x:c r="G17" s="20"/>
      <x:c r="H17" s="21"/>
    </x:row>
    <x:row r="18">
      <x:c r="A18" s="19"/>
      <x:c r="B18" s="20"/>
      <x:c r="C18" s="20"/>
      <x:c r="D18" s="20"/>
      <x:c r="E18" s="20"/>
      <x:c r="F18" s="20"/>
      <x:c r="G18" s="20"/>
      <x:c r="H18" s="21"/>
    </x:row>
    <x:row r="19">
      <x:c r="A19" s="19"/>
      <x:c r="B19" s="20"/>
      <x:c r="C19" s="20"/>
      <x:c r="D19" s="20"/>
      <x:c r="E19" s="20"/>
      <x:c r="F19" s="20"/>
      <x:c r="G19" s="20"/>
      <x:c r="H19" s="21"/>
    </x:row>
    <x:row r="20">
      <x:c r="A20" s="19"/>
      <x:c r="B20" s="20"/>
      <x:c r="C20" s="20"/>
      <x:c r="D20" s="20"/>
      <x:c r="E20" s="20"/>
      <x:c r="F20" s="20"/>
      <x:c r="G20" s="20"/>
      <x:c r="H20" s="21"/>
    </x:row>
    <x:row r="21">
      <x:c r="A21" s="19"/>
      <x:c r="B21" s="20"/>
      <x:c r="C21" s="20"/>
      <x:c r="D21" s="20"/>
      <x:c r="E21" s="20"/>
      <x:c r="F21" s="20"/>
      <x:c r="G21" s="20"/>
      <x:c r="H21" s="21"/>
    </x:row>
    <x:row r="22">
      <x:c r="A22" s="19"/>
      <x:c r="B22" s="20"/>
      <x:c r="C22" s="20"/>
      <x:c r="D22" s="20"/>
      <x:c r="E22" s="20"/>
      <x:c r="F22" s="20"/>
      <x:c r="G22" s="20"/>
      <x:c r="H22" s="21"/>
    </x:row>
    <x:row r="23">
      <x:c r="A23" s="19"/>
      <x:c r="B23" s="20"/>
      <x:c r="C23" s="20"/>
      <x:c r="D23" s="20"/>
      <x:c r="E23" s="20"/>
      <x:c r="F23" s="20"/>
      <x:c r="G23" s="20"/>
      <x:c r="H23" s="21"/>
    </x:row>
    <x:row r="24">
      <x:c r="A24" s="19"/>
      <x:c r="B24" s="20"/>
      <x:c r="C24" s="20"/>
      <x:c r="D24" s="20"/>
      <x:c r="E24" s="20"/>
      <x:c r="F24" s="20"/>
      <x:c r="G24" s="20"/>
      <x:c r="H24" s="21"/>
    </x:row>
    <x:row r="25">
      <x:c r="A25" s="19"/>
      <x:c r="B25" s="20"/>
      <x:c r="C25" s="20"/>
      <x:c r="D25" s="20"/>
      <x:c r="E25" s="20"/>
      <x:c r="F25" s="20"/>
      <x:c r="G25" s="20"/>
      <x:c r="H25" s="21"/>
    </x:row>
    <x:row r="26">
      <x:c r="A26" s="19"/>
      <x:c r="B26" s="20"/>
      <x:c r="C26" s="20"/>
      <x:c r="D26" s="20"/>
      <x:c r="E26" s="20"/>
      <x:c r="F26" s="20"/>
      <x:c r="G26" s="20"/>
      <x:c r="H26" s="21"/>
    </x:row>
    <x:row r="27">
      <x:c r="A27" s="19"/>
      <x:c r="B27" s="20"/>
      <x:c r="C27" s="20"/>
      <x:c r="D27" s="20"/>
      <x:c r="E27" s="20"/>
      <x:c r="F27" s="20"/>
      <x:c r="G27" s="20"/>
      <x:c r="H27" s="21"/>
    </x:row>
    <x:row r="28">
      <x:c r="A28" s="19"/>
      <x:c r="B28" s="20"/>
      <x:c r="C28" s="20"/>
      <x:c r="D28" s="20"/>
      <x:c r="E28" s="20"/>
      <x:c r="F28" s="20"/>
      <x:c r="G28" s="20"/>
      <x:c r="H28" s="21"/>
    </x:row>
    <x:row r="29">
      <x:c r="A29" s="19"/>
      <x:c r="B29" s="20"/>
      <x:c r="C29" s="20"/>
      <x:c r="D29" s="20"/>
      <x:c r="E29" s="20"/>
      <x:c r="F29" s="20"/>
      <x:c r="G29" s="20"/>
      <x:c r="H29" s="21"/>
    </x:row>
    <x:row r="30">
      <x:c r="A30" s="19"/>
      <x:c r="B30" s="20"/>
      <x:c r="C30" s="20"/>
      <x:c r="D30" s="20"/>
      <x:c r="E30" s="20"/>
      <x:c r="F30" s="20"/>
      <x:c r="G30" s="20"/>
      <x:c r="H30" s="21"/>
    </x:row>
    <x:row r="31">
      <x:c r="A31" s="19"/>
      <x:c r="B31" s="20"/>
      <x:c r="C31" s="20"/>
      <x:c r="D31" s="20"/>
      <x:c r="E31" s="20"/>
      <x:c r="F31" s="20"/>
      <x:c r="G31" s="20"/>
      <x:c r="H31" s="21"/>
    </x:row>
    <x:row r="32">
      <x:c r="A32" s="19"/>
      <x:c r="B32" s="20"/>
      <x:c r="C32" s="20"/>
      <x:c r="D32" s="20"/>
      <x:c r="E32" s="20"/>
      <x:c r="F32" s="20"/>
      <x:c r="G32" s="20"/>
      <x:c r="H32" s="21"/>
    </x:row>
    <x:row r="33">
      <x:c r="A33" s="19"/>
      <x:c r="B33" s="20"/>
      <x:c r="C33" s="20"/>
      <x:c r="D33" s="20"/>
      <x:c r="E33" s="20"/>
      <x:c r="F33" s="20"/>
      <x:c r="G33" s="20"/>
      <x:c r="H33" s="21"/>
    </x:row>
    <x:row r="34">
      <x:c r="A34" s="19"/>
      <x:c r="B34" s="20"/>
      <x:c r="C34" s="20"/>
      <x:c r="D34" s="20"/>
      <x:c r="E34" s="20"/>
      <x:c r="F34" s="20"/>
      <x:c r="G34" s="20"/>
      <x:c r="H34" s="21"/>
    </x:row>
    <x:row r="35">
      <x:c r="A35" s="19"/>
      <x:c r="B35" s="20"/>
      <x:c r="C35" s="20"/>
      <x:c r="D35" s="20"/>
      <x:c r="E35" s="20"/>
      <x:c r="F35" s="20"/>
      <x:c r="G35" s="20"/>
      <x:c r="H35" s="21"/>
    </x:row>
    <x:row r="36">
      <x:c r="A36" s="19"/>
      <x:c r="B36" s="20"/>
      <x:c r="C36" s="20"/>
      <x:c r="D36" s="20"/>
      <x:c r="E36" s="20"/>
      <x:c r="F36" s="20"/>
      <x:c r="G36" s="20"/>
      <x:c r="H36" s="21"/>
    </x:row>
    <x:row r="37">
      <x:c r="A37" s="19"/>
      <x:c r="B37" s="20"/>
      <x:c r="C37" s="20"/>
      <x:c r="D37" s="20"/>
      <x:c r="E37" s="20"/>
      <x:c r="F37" s="20"/>
      <x:c r="G37" s="20"/>
      <x:c r="H37" s="21"/>
    </x:row>
    <x:row r="38">
      <x:c r="A38" s="19"/>
      <x:c r="B38" s="20"/>
      <x:c r="C38" s="20"/>
      <x:c r="D38" s="20"/>
      <x:c r="E38" s="20"/>
      <x:c r="F38" s="20"/>
      <x:c r="G38" s="20"/>
      <x:c r="H38" s="21"/>
    </x:row>
    <x:row r="39">
      <x:c r="A39" s="19"/>
      <x:c r="B39" s="20"/>
      <x:c r="C39" s="20"/>
      <x:c r="D39" s="20"/>
      <x:c r="E39" s="20"/>
      <x:c r="F39" s="20"/>
      <x:c r="G39" s="20"/>
      <x:c r="H39" s="21"/>
    </x:row>
    <x:row r="40">
      <x:c r="A40" s="19"/>
      <x:c r="B40" s="20"/>
      <x:c r="C40" s="20"/>
      <x:c r="D40" s="20"/>
      <x:c r="E40" s="20"/>
      <x:c r="F40" s="20"/>
      <x:c r="G40" s="20"/>
      <x:c r="H40" s="21"/>
    </x:row>
    <x:row r="41">
      <x:c r="A41" s="19"/>
      <x:c r="B41" s="20"/>
      <x:c r="C41" s="20"/>
      <x:c r="D41" s="20"/>
      <x:c r="E41" s="20"/>
      <x:c r="F41" s="20"/>
      <x:c r="G41" s="20"/>
      <x:c r="H41" s="21"/>
    </x:row>
    <x:row r="42">
      <x:c r="A42" s="19"/>
      <x:c r="B42" s="20"/>
      <x:c r="C42" s="20"/>
      <x:c r="D42" s="20"/>
      <x:c r="E42" s="20"/>
      <x:c r="F42" s="20"/>
      <x:c r="G42" s="20"/>
      <x:c r="H42" s="21"/>
    </x:row>
    <x:row r="43">
      <x:c r="A43" s="19"/>
      <x:c r="B43" s="20"/>
      <x:c r="C43" s="20"/>
      <x:c r="D43" s="20"/>
      <x:c r="E43" s="20"/>
      <x:c r="F43" s="20"/>
      <x:c r="G43" s="20"/>
      <x:c r="H43" s="21"/>
    </x:row>
    <x:row r="44">
      <x:c r="A44" s="19"/>
      <x:c r="B44" s="20"/>
      <x:c r="C44" s="20"/>
      <x:c r="D44" s="20"/>
      <x:c r="E44" s="20"/>
      <x:c r="F44" s="20"/>
      <x:c r="G44" s="20"/>
      <x:c r="H44" s="21"/>
    </x:row>
    <x:row r="45">
      <x:c r="A45" s="19"/>
      <x:c r="B45" s="20"/>
      <x:c r="C45" s="20"/>
      <x:c r="D45" s="20"/>
      <x:c r="E45" s="20"/>
      <x:c r="F45" s="20"/>
      <x:c r="G45" s="20"/>
      <x:c r="H45" s="21"/>
    </x:row>
    <x:row r="46">
      <x:c r="A46" s="19"/>
      <x:c r="B46" s="20"/>
      <x:c r="C46" s="20"/>
      <x:c r="D46" s="20"/>
      <x:c r="E46" s="20"/>
      <x:c r="F46" s="20"/>
      <x:c r="G46" s="20"/>
      <x:c r="H46" s="21"/>
    </x:row>
    <x:row r="47">
      <x:c r="A47" s="19"/>
      <x:c r="B47" s="20"/>
      <x:c r="C47" s="20"/>
      <x:c r="D47" s="20"/>
      <x:c r="E47" s="20"/>
      <x:c r="F47" s="20"/>
      <x:c r="G47" s="20"/>
      <x:c r="H47" s="21"/>
    </x:row>
    <x:row r="48">
      <x:c r="A48" s="19"/>
      <x:c r="B48" s="20"/>
      <x:c r="C48" s="20"/>
      <x:c r="D48" s="20"/>
      <x:c r="E48" s="20"/>
      <x:c r="F48" s="20"/>
      <x:c r="G48" s="20"/>
      <x:c r="H48" s="21"/>
    </x:row>
    <x:row r="49">
      <x:c r="A49" s="19"/>
      <x:c r="B49" s="20"/>
      <x:c r="C49" s="20"/>
      <x:c r="D49" s="20"/>
      <x:c r="E49" s="20"/>
      <x:c r="F49" s="20"/>
      <x:c r="G49" s="20"/>
      <x:c r="H49" s="21"/>
    </x:row>
    <x:row r="50">
      <x:c r="A50" s="19"/>
      <x:c r="B50" s="20"/>
      <x:c r="C50" s="20"/>
      <x:c r="D50" s="20"/>
      <x:c r="E50" s="20"/>
      <x:c r="F50" s="20"/>
      <x:c r="G50" s="20"/>
      <x:c r="H50" s="21"/>
    </x:row>
    <x:row r="51">
      <x:c r="A51" s="19"/>
      <x:c r="B51" s="20"/>
      <x:c r="C51" s="20"/>
      <x:c r="D51" s="20"/>
      <x:c r="E51" s="20"/>
      <x:c r="F51" s="20"/>
      <x:c r="G51" s="20"/>
      <x:c r="H51" s="21"/>
    </x:row>
    <x:row r="52">
      <x:c r="A52" s="19"/>
      <x:c r="B52" s="20"/>
      <x:c r="C52" s="20"/>
      <x:c r="D52" s="20"/>
      <x:c r="E52" s="20"/>
      <x:c r="F52" s="20"/>
      <x:c r="G52" s="20"/>
      <x:c r="H52" s="21"/>
    </x:row>
    <x:row r="53">
      <x:c r="A53" s="19"/>
      <x:c r="B53" s="20"/>
      <x:c r="C53" s="20"/>
      <x:c r="D53" s="20"/>
      <x:c r="E53" s="20"/>
      <x:c r="F53" s="20"/>
      <x:c r="G53" s="20"/>
      <x:c r="H53" s="21"/>
    </x:row>
    <x:row r="54">
      <x:c r="A54" s="19"/>
      <x:c r="B54" s="20"/>
      <x:c r="C54" s="20"/>
      <x:c r="D54" s="20"/>
      <x:c r="E54" s="20"/>
      <x:c r="F54" s="20"/>
      <x:c r="G54" s="20"/>
      <x:c r="H54" s="21"/>
    </x:row>
    <x:row r="55">
      <x:c r="A55" s="19"/>
      <x:c r="B55" s="20"/>
      <x:c r="C55" s="20"/>
      <x:c r="D55" s="20"/>
      <x:c r="E55" s="20"/>
      <x:c r="F55" s="20"/>
      <x:c r="G55" s="20"/>
      <x:c r="H55" s="21"/>
    </x:row>
    <x:row r="56">
      <x:c r="A56" s="19"/>
      <x:c r="B56" s="20"/>
      <x:c r="C56" s="20"/>
      <x:c r="D56" s="20"/>
      <x:c r="E56" s="20"/>
      <x:c r="F56" s="20"/>
      <x:c r="G56" s="20"/>
      <x:c r="H56" s="21"/>
    </x:row>
    <x:row r="57">
      <x:c r="A57" s="19"/>
      <x:c r="B57" s="20"/>
      <x:c r="C57" s="20"/>
      <x:c r="D57" s="20"/>
      <x:c r="E57" s="20"/>
      <x:c r="F57" s="20"/>
      <x:c r="G57" s="20"/>
      <x:c r="H57" s="21"/>
    </x:row>
    <x:row r="58">
      <x:c r="A58" s="19"/>
      <x:c r="B58" s="20"/>
      <x:c r="C58" s="20"/>
      <x:c r="D58" s="20"/>
      <x:c r="E58" s="20"/>
      <x:c r="F58" s="20"/>
      <x:c r="G58" s="20"/>
      <x:c r="H58" s="21"/>
    </x:row>
    <x:row r="59">
      <x:c r="A59" s="19"/>
      <x:c r="B59" s="20"/>
      <x:c r="C59" s="20"/>
      <x:c r="D59" s="20"/>
      <x:c r="E59" s="20"/>
      <x:c r="F59" s="20"/>
      <x:c r="G59" s="20"/>
      <x:c r="H59" s="21"/>
    </x:row>
    <x:row r="60">
      <x:c r="A60" s="19"/>
      <x:c r="B60" s="20"/>
      <x:c r="C60" s="20"/>
      <x:c r="D60" s="20"/>
      <x:c r="E60" s="20"/>
      <x:c r="F60" s="20"/>
      <x:c r="G60" s="20"/>
      <x:c r="H60" s="21"/>
    </x:row>
    <x:row r="61">
      <x:c r="A61" s="19"/>
      <x:c r="B61" s="20"/>
      <x:c r="C61" s="20"/>
      <x:c r="D61" s="20"/>
      <x:c r="E61" s="20"/>
      <x:c r="F61" s="20"/>
      <x:c r="G61" s="20"/>
      <x:c r="H61" s="21"/>
    </x:row>
    <x:row r="62">
      <x:c r="A62" s="19"/>
      <x:c r="B62" s="20"/>
      <x:c r="C62" s="20"/>
      <x:c r="D62" s="20"/>
      <x:c r="E62" s="20"/>
      <x:c r="F62" s="20"/>
      <x:c r="G62" s="20"/>
      <x:c r="H62" s="21"/>
    </x:row>
    <x:row r="63">
      <x:c r="A63" s="19"/>
      <x:c r="B63" s="20"/>
      <x:c r="C63" s="20"/>
      <x:c r="D63" s="20"/>
      <x:c r="E63" s="20"/>
      <x:c r="F63" s="20"/>
      <x:c r="G63" s="20"/>
      <x:c r="H63" s="21"/>
    </x:row>
    <x:row r="64">
      <x:c r="A64" s="19"/>
      <x:c r="B64" s="20"/>
      <x:c r="C64" s="20"/>
      <x:c r="D64" s="20"/>
      <x:c r="E64" s="20"/>
      <x:c r="F64" s="20"/>
      <x:c r="G64" s="20"/>
      <x:c r="H64" s="21"/>
    </x:row>
    <x:row r="65">
      <x:c r="A65" s="19"/>
      <x:c r="B65" s="20"/>
      <x:c r="C65" s="20"/>
      <x:c r="D65" s="20"/>
      <x:c r="E65" s="20"/>
      <x:c r="F65" s="20"/>
      <x:c r="G65" s="20"/>
      <x:c r="H65" s="21"/>
    </x:row>
    <x:row r="66">
      <x:c r="A66" s="19"/>
      <x:c r="B66" s="20"/>
      <x:c r="C66" s="20"/>
      <x:c r="D66" s="20"/>
      <x:c r="E66" s="20"/>
      <x:c r="F66" s="20"/>
      <x:c r="G66" s="20"/>
      <x:c r="H66" s="21"/>
    </x:row>
    <x:row r="67">
      <x:c r="A67" s="19"/>
      <x:c r="B67" s="20"/>
      <x:c r="C67" s="20"/>
      <x:c r="D67" s="20"/>
      <x:c r="E67" s="20"/>
      <x:c r="F67" s="20"/>
      <x:c r="G67" s="20"/>
      <x:c r="H67" s="21"/>
    </x:row>
    <x:row r="68">
      <x:c r="A68" s="19"/>
      <x:c r="B68" s="20"/>
      <x:c r="C68" s="20"/>
      <x:c r="D68" s="20"/>
      <x:c r="E68" s="20"/>
      <x:c r="F68" s="20"/>
      <x:c r="G68" s="20"/>
      <x:c r="H68" s="21"/>
    </x:row>
    <x:row r="69">
      <x:c r="A69" s="19"/>
      <x:c r="B69" s="20"/>
      <x:c r="C69" s="20"/>
      <x:c r="D69" s="20"/>
      <x:c r="E69" s="20"/>
      <x:c r="F69" s="20"/>
      <x:c r="G69" s="20"/>
      <x:c r="H69" s="21"/>
    </x:row>
    <x:row r="70">
      <x:c r="A70" s="19"/>
      <x:c r="B70" s="20"/>
      <x:c r="C70" s="20"/>
      <x:c r="D70" s="20"/>
      <x:c r="E70" s="20"/>
      <x:c r="F70" s="20"/>
      <x:c r="G70" s="20"/>
      <x:c r="H70" s="21"/>
    </x:row>
    <x:row r="71">
      <x:c r="A71" s="19"/>
      <x:c r="B71" s="20"/>
      <x:c r="C71" s="20"/>
      <x:c r="D71" s="20"/>
      <x:c r="E71" s="20"/>
      <x:c r="F71" s="20"/>
      <x:c r="G71" s="20"/>
      <x:c r="H71" s="21"/>
    </x:row>
    <x:row r="72">
      <x:c r="A72" s="19"/>
      <x:c r="B72" s="20"/>
      <x:c r="C72" s="20"/>
      <x:c r="D72" s="20"/>
      <x:c r="E72" s="20"/>
      <x:c r="F72" s="20"/>
      <x:c r="G72" s="20"/>
      <x:c r="H72" s="21"/>
    </x:row>
    <x:row r="73">
      <x:c r="A73" s="19"/>
      <x:c r="B73" s="20"/>
      <x:c r="C73" s="20"/>
      <x:c r="D73" s="20"/>
      <x:c r="E73" s="20"/>
      <x:c r="F73" s="20"/>
      <x:c r="G73" s="20"/>
      <x:c r="H73" s="21"/>
    </x:row>
    <x:row r="74">
      <x:c r="A74" s="19"/>
      <x:c r="B74" s="20"/>
      <x:c r="C74" s="20"/>
      <x:c r="D74" s="20"/>
      <x:c r="E74" s="20"/>
      <x:c r="F74" s="20"/>
      <x:c r="G74" s="20"/>
      <x:c r="H74" s="21"/>
    </x:row>
    <x:row r="75">
      <x:c r="A75" s="19"/>
      <x:c r="B75" s="20"/>
      <x:c r="C75" s="20"/>
      <x:c r="D75" s="20"/>
      <x:c r="E75" s="20"/>
      <x:c r="F75" s="20"/>
      <x:c r="G75" s="20"/>
      <x:c r="H75" s="21"/>
    </x:row>
    <x:row r="76">
      <x:c r="A76" s="19"/>
      <x:c r="B76" s="20"/>
      <x:c r="C76" s="20"/>
      <x:c r="D76" s="20"/>
      <x:c r="E76" s="20"/>
      <x:c r="F76" s="20"/>
      <x:c r="G76" s="20"/>
      <x:c r="H76" s="21"/>
    </x:row>
    <x:row r="77">
      <x:c r="A77" s="19"/>
      <x:c r="B77" s="20"/>
      <x:c r="C77" s="20"/>
      <x:c r="D77" s="20"/>
      <x:c r="E77" s="20"/>
      <x:c r="F77" s="20"/>
      <x:c r="G77" s="20"/>
      <x:c r="H77" s="21"/>
    </x:row>
    <x:row r="78">
      <x:c r="A78" s="19"/>
      <x:c r="B78" s="20"/>
      <x:c r="C78" s="20"/>
      <x:c r="D78" s="20"/>
      <x:c r="E78" s="20"/>
      <x:c r="F78" s="20"/>
      <x:c r="G78" s="20"/>
      <x:c r="H78" s="21"/>
    </x:row>
    <x:row r="79">
      <x:c r="A79" s="19"/>
      <x:c r="B79" s="20"/>
      <x:c r="C79" s="20"/>
      <x:c r="D79" s="20"/>
      <x:c r="E79" s="20"/>
      <x:c r="F79" s="20"/>
      <x:c r="G79" s="20"/>
      <x:c r="H79" s="21"/>
    </x:row>
    <x:row r="80">
      <x:c r="A80" s="19"/>
      <x:c r="B80" s="20"/>
      <x:c r="C80" s="20"/>
      <x:c r="D80" s="20"/>
      <x:c r="E80" s="20"/>
      <x:c r="F80" s="20"/>
      <x:c r="G80" s="20"/>
      <x:c r="H80" s="21"/>
    </x:row>
    <x:row r="81">
      <x:c r="A81" s="19"/>
      <x:c r="B81" s="20"/>
      <x:c r="C81" s="20"/>
      <x:c r="D81" s="20"/>
      <x:c r="E81" s="20"/>
      <x:c r="F81" s="20"/>
      <x:c r="G81" s="20"/>
      <x:c r="H81" s="21"/>
    </x:row>
    <x:row r="82">
      <x:c r="A82" s="19"/>
      <x:c r="B82" s="20"/>
      <x:c r="C82" s="20"/>
      <x:c r="D82" s="20"/>
      <x:c r="E82" s="20"/>
      <x:c r="F82" s="20"/>
      <x:c r="G82" s="20"/>
      <x:c r="H82" s="21"/>
    </x:row>
    <x:row r="83">
      <x:c r="A83" s="19"/>
      <x:c r="B83" s="20"/>
      <x:c r="C83" s="20"/>
      <x:c r="D83" s="20"/>
      <x:c r="E83" s="20"/>
      <x:c r="F83" s="20"/>
      <x:c r="G83" s="20"/>
      <x:c r="H83" s="21"/>
    </x:row>
    <x:row r="84">
      <x:c r="A84" s="19"/>
      <x:c r="B84" s="20"/>
      <x:c r="C84" s="20"/>
      <x:c r="D84" s="20"/>
      <x:c r="E84" s="20"/>
      <x:c r="F84" s="20"/>
      <x:c r="G84" s="20"/>
      <x:c r="H84" s="21"/>
    </x:row>
    <x:row r="85">
      <x:c r="A85" s="19"/>
      <x:c r="B85" s="20"/>
      <x:c r="C85" s="20"/>
      <x:c r="D85" s="20"/>
      <x:c r="E85" s="20"/>
      <x:c r="F85" s="20"/>
      <x:c r="G85" s="20"/>
      <x:c r="H85" s="21"/>
    </x:row>
    <x:row r="86">
      <x:c r="A86" s="19"/>
      <x:c r="B86" s="20"/>
      <x:c r="C86" s="20"/>
      <x:c r="D86" s="20"/>
      <x:c r="E86" s="20"/>
      <x:c r="F86" s="20"/>
      <x:c r="G86" s="20"/>
      <x:c r="H86" s="21"/>
    </x:row>
    <x:row r="87">
      <x:c r="A87" s="19"/>
      <x:c r="B87" s="20"/>
      <x:c r="C87" s="20"/>
      <x:c r="D87" s="20"/>
      <x:c r="E87" s="20"/>
      <x:c r="F87" s="20"/>
      <x:c r="G87" s="20"/>
      <x:c r="H87" s="21"/>
    </x:row>
    <x:row r="88">
      <x:c r="A88" s="19"/>
      <x:c r="B88" s="20"/>
      <x:c r="C88" s="20"/>
      <x:c r="D88" s="20"/>
      <x:c r="E88" s="20"/>
      <x:c r="F88" s="20"/>
      <x:c r="G88" s="20"/>
      <x:c r="H88" s="21"/>
    </x:row>
    <x:row r="89">
      <x:c r="A89" s="19"/>
      <x:c r="B89" s="20"/>
      <x:c r="C89" s="20"/>
      <x:c r="D89" s="20"/>
      <x:c r="E89" s="20"/>
      <x:c r="F89" s="20"/>
      <x:c r="G89" s="20"/>
      <x:c r="H89" s="21"/>
    </x:row>
    <x:row r="90">
      <x:c r="A90" s="19"/>
      <x:c r="B90" s="20"/>
      <x:c r="C90" s="20"/>
      <x:c r="D90" s="20"/>
      <x:c r="E90" s="20"/>
      <x:c r="F90" s="20"/>
      <x:c r="G90" s="20"/>
      <x:c r="H90" s="21"/>
    </x:row>
    <x:row r="91">
      <x:c r="A91" s="19"/>
      <x:c r="B91" s="20"/>
      <x:c r="C91" s="20"/>
      <x:c r="D91" s="20"/>
      <x:c r="E91" s="20"/>
      <x:c r="F91" s="20"/>
      <x:c r="G91" s="20"/>
      <x:c r="H91" s="21"/>
    </x:row>
    <x:row r="92">
      <x:c r="A92" s="19"/>
      <x:c r="B92" s="20"/>
      <x:c r="C92" s="20"/>
      <x:c r="D92" s="20"/>
      <x:c r="E92" s="20"/>
      <x:c r="F92" s="20"/>
      <x:c r="G92" s="20"/>
      <x:c r="H92" s="21"/>
    </x:row>
    <x:row r="93">
      <x:c r="A93" s="19"/>
      <x:c r="B93" s="20"/>
      <x:c r="C93" s="20"/>
      <x:c r="D93" s="20"/>
      <x:c r="E93" s="20"/>
      <x:c r="F93" s="20"/>
      <x:c r="G93" s="20"/>
      <x:c r="H93" s="21"/>
    </x:row>
    <x:row r="94">
      <x:c r="A94" s="19"/>
      <x:c r="B94" s="20"/>
      <x:c r="C94" s="20"/>
      <x:c r="D94" s="20"/>
      <x:c r="E94" s="20"/>
      <x:c r="F94" s="20"/>
      <x:c r="G94" s="20"/>
      <x:c r="H94" s="21"/>
    </x:row>
    <x:row r="95">
      <x:c r="A95" s="19"/>
      <x:c r="B95" s="20"/>
      <x:c r="C95" s="20"/>
      <x:c r="D95" s="20"/>
      <x:c r="E95" s="20"/>
      <x:c r="F95" s="20"/>
      <x:c r="G95" s="20"/>
      <x:c r="H95" s="21"/>
    </x:row>
    <x:row r="96">
      <x:c r="A96" s="19"/>
      <x:c r="B96" s="20"/>
      <x:c r="C96" s="20"/>
      <x:c r="D96" s="20"/>
      <x:c r="E96" s="20"/>
      <x:c r="F96" s="20"/>
      <x:c r="G96" s="20"/>
      <x:c r="H96" s="21"/>
    </x:row>
    <x:row r="97">
      <x:c r="A97" s="19"/>
      <x:c r="B97" s="20"/>
      <x:c r="C97" s="20"/>
      <x:c r="D97" s="20"/>
      <x:c r="E97" s="20"/>
      <x:c r="F97" s="20"/>
      <x:c r="G97" s="20"/>
      <x:c r="H97" s="21"/>
    </x:row>
    <x:row r="98">
      <x:c r="A98" s="19"/>
      <x:c r="B98" s="20"/>
      <x:c r="C98" s="20"/>
      <x:c r="D98" s="20"/>
      <x:c r="E98" s="20"/>
      <x:c r="F98" s="20"/>
      <x:c r="G98" s="20"/>
      <x:c r="H98" s="21"/>
    </x:row>
    <x:row r="99">
      <x:c r="A99" s="19"/>
      <x:c r="B99" s="20"/>
      <x:c r="C99" s="20"/>
      <x:c r="D99" s="20"/>
      <x:c r="E99" s="20"/>
      <x:c r="F99" s="20"/>
      <x:c r="G99" s="20"/>
      <x:c r="H99" s="21"/>
    </x:row>
    <x:row r="100">
      <x:c r="A100" s="19"/>
      <x:c r="B100" s="20"/>
      <x:c r="C100" s="20"/>
      <x:c r="D100" s="20"/>
      <x:c r="E100" s="20"/>
      <x:c r="F100" s="20"/>
      <x:c r="G100" s="20"/>
      <x:c r="H100" s="21"/>
    </x:row>
    <x:row r="101">
      <x:c r="A101" s="19"/>
      <x:c r="B101" s="20"/>
      <x:c r="C101" s="20"/>
      <x:c r="D101" s="20"/>
      <x:c r="E101" s="20"/>
      <x:c r="F101" s="20"/>
      <x:c r="G101" s="20"/>
      <x:c r="H101" s="21"/>
    </x:row>
    <x:row r="102">
      <x:c r="A102" s="19"/>
      <x:c r="B102" s="20"/>
      <x:c r="C102" s="20"/>
      <x:c r="D102" s="20"/>
      <x:c r="E102" s="20"/>
      <x:c r="F102" s="20"/>
      <x:c r="G102" s="20"/>
      <x:c r="H102" s="21"/>
    </x:row>
    <x:row r="103">
      <x:c r="A103" s="19"/>
      <x:c r="B103" s="20"/>
      <x:c r="C103" s="20"/>
      <x:c r="D103" s="20"/>
      <x:c r="E103" s="20"/>
      <x:c r="F103" s="20"/>
      <x:c r="G103" s="20"/>
      <x:c r="H103" s="21"/>
    </x:row>
    <x:row r="104">
      <x:c r="A104" s="19"/>
      <x:c r="B104" s="20"/>
      <x:c r="C104" s="20"/>
      <x:c r="D104" s="20"/>
      <x:c r="E104" s="20"/>
      <x:c r="F104" s="20"/>
      <x:c r="G104" s="20"/>
      <x:c r="H104" s="21"/>
    </x:row>
    <x:row r="105">
      <x:c r="A105" s="19"/>
      <x:c r="B105" s="20"/>
      <x:c r="C105" s="20"/>
      <x:c r="D105" s="20"/>
      <x:c r="E105" s="20"/>
      <x:c r="F105" s="20"/>
      <x:c r="G105" s="20"/>
      <x:c r="H105" s="21"/>
    </x:row>
    <x:row r="106">
      <x:c r="A106" s="19"/>
      <x:c r="B106" s="20"/>
      <x:c r="C106" s="20"/>
      <x:c r="D106" s="20"/>
      <x:c r="E106" s="20"/>
      <x:c r="F106" s="20"/>
      <x:c r="G106" s="20"/>
      <x:c r="H106" s="21"/>
    </x:row>
    <x:row r="107">
      <x:c r="A107" s="19"/>
      <x:c r="B107" s="20"/>
      <x:c r="C107" s="20"/>
      <x:c r="D107" s="20"/>
      <x:c r="E107" s="20"/>
      <x:c r="F107" s="20"/>
      <x:c r="G107" s="20"/>
      <x:c r="H107" s="21"/>
    </x:row>
    <x:row r="108">
      <x:c r="A108" s="19"/>
      <x:c r="B108" s="20"/>
      <x:c r="C108" s="20"/>
      <x:c r="D108" s="20"/>
      <x:c r="E108" s="20"/>
      <x:c r="F108" s="20"/>
      <x:c r="G108" s="20"/>
      <x:c r="H108" s="21"/>
    </x:row>
    <x:row r="109">
      <x:c r="A109" s="19"/>
      <x:c r="B109" s="20"/>
      <x:c r="C109" s="20"/>
      <x:c r="D109" s="20"/>
      <x:c r="E109" s="20"/>
      <x:c r="F109" s="20"/>
      <x:c r="G109" s="20"/>
      <x:c r="H109" s="21"/>
    </x:row>
    <x:row r="110">
      <x:c r="A110" s="19"/>
      <x:c r="B110" s="20"/>
      <x:c r="C110" s="20"/>
      <x:c r="D110" s="20"/>
      <x:c r="E110" s="20"/>
      <x:c r="F110" s="20"/>
      <x:c r="G110" s="20"/>
      <x:c r="H110" s="21"/>
    </x:row>
    <x:row r="111">
      <x:c r="A111" s="19"/>
      <x:c r="B111" s="20"/>
      <x:c r="C111" s="20"/>
      <x:c r="D111" s="20"/>
      <x:c r="E111" s="20"/>
      <x:c r="F111" s="20"/>
      <x:c r="G111" s="20"/>
      <x:c r="H111" s="21"/>
    </x:row>
    <x:row r="112">
      <x:c r="A112" s="19"/>
      <x:c r="B112" s="20"/>
      <x:c r="C112" s="20"/>
      <x:c r="D112" s="20"/>
      <x:c r="E112" s="20"/>
      <x:c r="F112" s="20"/>
      <x:c r="G112" s="20"/>
      <x:c r="H112" s="21"/>
    </x:row>
    <x:row r="113">
      <x:c r="A113" s="19"/>
      <x:c r="B113" s="20"/>
      <x:c r="C113" s="20"/>
      <x:c r="D113" s="20"/>
      <x:c r="E113" s="20"/>
      <x:c r="F113" s="20"/>
      <x:c r="G113" s="20"/>
      <x:c r="H113" s="21"/>
    </x:row>
    <x:row r="114">
      <x:c r="A114" s="19"/>
      <x:c r="B114" s="20"/>
      <x:c r="C114" s="20"/>
      <x:c r="D114" s="20"/>
      <x:c r="E114" s="20"/>
      <x:c r="F114" s="20"/>
      <x:c r="G114" s="20"/>
      <x:c r="H114" s="21"/>
    </x:row>
    <x:row r="115">
      <x:c r="A115" s="19"/>
      <x:c r="B115" s="20"/>
      <x:c r="C115" s="20"/>
      <x:c r="D115" s="20"/>
      <x:c r="E115" s="20"/>
      <x:c r="F115" s="20"/>
      <x:c r="G115" s="20"/>
      <x:c r="H115" s="21"/>
    </x:row>
    <x:row r="116">
      <x:c r="A116" s="19"/>
      <x:c r="B116" s="20"/>
      <x:c r="C116" s="20"/>
      <x:c r="D116" s="20"/>
      <x:c r="E116" s="20"/>
      <x:c r="F116" s="20"/>
      <x:c r="G116" s="20"/>
      <x:c r="H116" s="21"/>
    </x:row>
    <x:row r="117">
      <x:c r="A117" s="19"/>
      <x:c r="B117" s="20"/>
      <x:c r="C117" s="20"/>
      <x:c r="D117" s="20"/>
      <x:c r="E117" s="20"/>
      <x:c r="F117" s="20"/>
      <x:c r="G117" s="20"/>
      <x:c r="H117" s="21"/>
    </x:row>
    <x:row r="118">
      <x:c r="A118" s="19"/>
      <x:c r="B118" s="20"/>
      <x:c r="C118" s="20"/>
      <x:c r="D118" s="20"/>
      <x:c r="E118" s="20"/>
      <x:c r="F118" s="20"/>
      <x:c r="G118" s="20"/>
      <x:c r="H118" s="21"/>
    </x:row>
    <x:row r="119">
      <x:c r="A119" s="19"/>
      <x:c r="B119" s="20"/>
      <x:c r="C119" s="20"/>
      <x:c r="D119" s="20"/>
      <x:c r="E119" s="20"/>
      <x:c r="F119" s="20"/>
      <x:c r="G119" s="20"/>
      <x:c r="H119" s="21"/>
    </x:row>
    <x:row r="120">
      <x:c r="A120" s="19"/>
      <x:c r="B120" s="20"/>
      <x:c r="C120" s="20"/>
      <x:c r="D120" s="20"/>
      <x:c r="E120" s="20"/>
      <x:c r="F120" s="20"/>
      <x:c r="G120" s="20"/>
      <x:c r="H120" s="21"/>
    </x:row>
    <x:row r="121">
      <x:c r="A121" s="19"/>
      <x:c r="B121" s="20"/>
      <x:c r="C121" s="20"/>
      <x:c r="D121" s="20"/>
      <x:c r="E121" s="20"/>
      <x:c r="F121" s="20"/>
      <x:c r="G121" s="20"/>
      <x:c r="H121" s="21"/>
    </x:row>
    <x:row r="122">
      <x:c r="A122" s="19"/>
      <x:c r="B122" s="20"/>
      <x:c r="C122" s="20"/>
      <x:c r="D122" s="20"/>
      <x:c r="E122" s="20"/>
      <x:c r="F122" s="20"/>
      <x:c r="G122" s="20"/>
      <x:c r="H122" s="21"/>
    </x:row>
    <x:row r="123">
      <x:c r="A123" s="19"/>
      <x:c r="B123" s="20"/>
      <x:c r="C123" s="20"/>
      <x:c r="D123" s="20"/>
      <x:c r="E123" s="20"/>
      <x:c r="F123" s="20"/>
      <x:c r="G123" s="20"/>
      <x:c r="H123" s="21"/>
    </x:row>
    <x:row r="124">
      <x:c r="A124" s="19"/>
      <x:c r="B124" s="20"/>
      <x:c r="C124" s="20"/>
      <x:c r="D124" s="20"/>
      <x:c r="E124" s="20"/>
      <x:c r="F124" s="20"/>
      <x:c r="G124" s="20"/>
      <x:c r="H124" s="21"/>
    </x:row>
    <x:row r="125">
      <x:c r="A125" s="19"/>
      <x:c r="B125" s="20"/>
      <x:c r="C125" s="20"/>
      <x:c r="D125" s="20"/>
      <x:c r="E125" s="20"/>
      <x:c r="F125" s="20"/>
      <x:c r="G125" s="20"/>
      <x:c r="H125" s="21"/>
    </x:row>
    <x:row r="126">
      <x:c r="A126" s="19"/>
      <x:c r="B126" s="20"/>
      <x:c r="C126" s="20"/>
      <x:c r="D126" s="20"/>
      <x:c r="E126" s="20"/>
      <x:c r="F126" s="20"/>
      <x:c r="G126" s="20"/>
      <x:c r="H126" s="21"/>
    </x:row>
    <x:row r="127">
      <x:c r="A127" s="19"/>
      <x:c r="B127" s="20"/>
      <x:c r="C127" s="20"/>
      <x:c r="D127" s="20"/>
      <x:c r="E127" s="20"/>
      <x:c r="F127" s="20"/>
      <x:c r="G127" s="20"/>
      <x:c r="H127" s="21"/>
    </x:row>
    <x:row r="128">
      <x:c r="A128" s="19"/>
      <x:c r="B128" s="20"/>
      <x:c r="C128" s="20"/>
      <x:c r="D128" s="20"/>
      <x:c r="E128" s="20"/>
      <x:c r="F128" s="20"/>
      <x:c r="G128" s="20"/>
      <x:c r="H128" s="21"/>
    </x:row>
    <x:row r="129">
      <x:c r="A129" s="19"/>
      <x:c r="B129" s="20"/>
      <x:c r="C129" s="20"/>
      <x:c r="D129" s="20"/>
      <x:c r="E129" s="20"/>
      <x:c r="F129" s="20"/>
      <x:c r="G129" s="20"/>
      <x:c r="H129" s="21"/>
    </x:row>
    <x:row r="130">
      <x:c r="A130" s="19"/>
      <x:c r="B130" s="20"/>
      <x:c r="C130" s="20"/>
      <x:c r="D130" s="20"/>
      <x:c r="E130" s="20"/>
      <x:c r="F130" s="20"/>
      <x:c r="G130" s="20"/>
      <x:c r="H130" s="21"/>
    </x:row>
    <x:row r="131">
      <x:c r="A131" s="19"/>
      <x:c r="B131" s="20"/>
      <x:c r="C131" s="20"/>
      <x:c r="D131" s="20"/>
      <x:c r="E131" s="20"/>
      <x:c r="F131" s="20"/>
      <x:c r="G131" s="20"/>
      <x:c r="H131" s="21"/>
    </x:row>
    <x:row r="132">
      <x:c r="A132" s="19"/>
      <x:c r="B132" s="20"/>
      <x:c r="C132" s="20"/>
      <x:c r="D132" s="20"/>
      <x:c r="E132" s="20"/>
      <x:c r="F132" s="20"/>
      <x:c r="G132" s="20"/>
      <x:c r="H132" s="21"/>
    </x:row>
    <x:row r="133">
      <x:c r="A133" s="19"/>
      <x:c r="B133" s="20"/>
      <x:c r="C133" s="20"/>
      <x:c r="D133" s="20"/>
      <x:c r="E133" s="20"/>
      <x:c r="F133" s="20"/>
      <x:c r="G133" s="20"/>
      <x:c r="H133" s="21"/>
    </x:row>
    <x:row r="134">
      <x:c r="A134" s="19"/>
      <x:c r="B134" s="20"/>
      <x:c r="C134" s="20"/>
      <x:c r="D134" s="20"/>
      <x:c r="E134" s="20"/>
      <x:c r="F134" s="20"/>
      <x:c r="G134" s="20"/>
      <x:c r="H134" s="21"/>
    </x:row>
    <x:row r="135">
      <x:c r="A135" s="19"/>
      <x:c r="B135" s="20"/>
      <x:c r="C135" s="20"/>
      <x:c r="D135" s="20"/>
      <x:c r="E135" s="20"/>
      <x:c r="F135" s="20"/>
      <x:c r="G135" s="20"/>
      <x:c r="H135" s="21"/>
    </x:row>
    <x:row r="136">
      <x:c r="A136" s="19"/>
      <x:c r="B136" s="20"/>
      <x:c r="C136" s="20"/>
      <x:c r="D136" s="20"/>
      <x:c r="E136" s="20"/>
      <x:c r="F136" s="20"/>
      <x:c r="G136" s="20"/>
      <x:c r="H136" s="21"/>
    </x:row>
    <x:row r="137">
      <x:c r="A137" s="19"/>
      <x:c r="B137" s="20"/>
      <x:c r="C137" s="20"/>
      <x:c r="D137" s="20"/>
      <x:c r="E137" s="20"/>
      <x:c r="F137" s="20"/>
      <x:c r="G137" s="20"/>
      <x:c r="H137" s="21"/>
    </x:row>
    <x:row r="138">
      <x:c r="A138" s="19"/>
      <x:c r="B138" s="20"/>
      <x:c r="C138" s="20"/>
      <x:c r="D138" s="20"/>
      <x:c r="E138" s="20"/>
      <x:c r="F138" s="20"/>
      <x:c r="G138" s="20"/>
      <x:c r="H138" s="21"/>
    </x:row>
    <x:row r="139">
      <x:c r="A139" s="19"/>
      <x:c r="B139" s="20"/>
      <x:c r="C139" s="20"/>
      <x:c r="D139" s="20"/>
      <x:c r="E139" s="20"/>
      <x:c r="F139" s="20"/>
      <x:c r="G139" s="20"/>
      <x:c r="H139" s="21"/>
    </x:row>
    <x:row r="140">
      <x:c r="A140" s="19"/>
      <x:c r="B140" s="20"/>
      <x:c r="C140" s="20"/>
      <x:c r="D140" s="20"/>
      <x:c r="E140" s="20"/>
      <x:c r="F140" s="20"/>
      <x:c r="G140" s="20"/>
      <x:c r="H140" s="21"/>
    </x:row>
    <x:row r="141">
      <x:c r="A141" s="19"/>
      <x:c r="B141" s="20"/>
      <x:c r="C141" s="20"/>
      <x:c r="D141" s="20"/>
      <x:c r="E141" s="20"/>
      <x:c r="F141" s="20"/>
      <x:c r="G141" s="20"/>
      <x:c r="H141" s="21"/>
    </x:row>
    <x:row r="142">
      <x:c r="A142" s="19"/>
      <x:c r="B142" s="20"/>
      <x:c r="C142" s="20"/>
      <x:c r="D142" s="20"/>
      <x:c r="E142" s="20"/>
      <x:c r="F142" s="20"/>
      <x:c r="G142" s="20"/>
      <x:c r="H142" s="21"/>
    </x:row>
    <x:row r="143">
      <x:c r="A143" s="19"/>
      <x:c r="B143" s="20"/>
      <x:c r="C143" s="20"/>
      <x:c r="D143" s="20"/>
      <x:c r="E143" s="20"/>
      <x:c r="F143" s="20"/>
      <x:c r="G143" s="20"/>
      <x:c r="H143" s="21"/>
    </x:row>
    <x:row r="144">
      <x:c r="A144" s="19"/>
      <x:c r="B144" s="20"/>
      <x:c r="C144" s="20"/>
      <x:c r="D144" s="20"/>
      <x:c r="E144" s="20"/>
      <x:c r="F144" s="20"/>
      <x:c r="G144" s="20"/>
      <x:c r="H144" s="21"/>
    </x:row>
    <x:row r="145">
      <x:c r="A145" s="19"/>
      <x:c r="B145" s="20"/>
      <x:c r="C145" s="20"/>
      <x:c r="D145" s="20"/>
      <x:c r="E145" s="20"/>
      <x:c r="F145" s="20"/>
      <x:c r="G145" s="20"/>
      <x:c r="H145" s="21"/>
    </x:row>
    <x:row r="146">
      <x:c r="A146" s="19"/>
      <x:c r="B146" s="20"/>
      <x:c r="C146" s="20"/>
      <x:c r="D146" s="20"/>
      <x:c r="E146" s="20"/>
      <x:c r="F146" s="20"/>
      <x:c r="G146" s="20"/>
      <x:c r="H146" s="21"/>
    </x:row>
    <x:row r="147">
      <x:c r="A147" s="19"/>
      <x:c r="B147" s="20"/>
      <x:c r="C147" s="20"/>
      <x:c r="D147" s="20"/>
      <x:c r="E147" s="20"/>
      <x:c r="F147" s="20"/>
      <x:c r="G147" s="20"/>
      <x:c r="H147" s="21"/>
    </x:row>
    <x:row r="148">
      <x:c r="A148" s="19"/>
      <x:c r="B148" s="20"/>
      <x:c r="C148" s="20"/>
      <x:c r="D148" s="20"/>
      <x:c r="E148" s="20"/>
      <x:c r="F148" s="20"/>
      <x:c r="G148" s="20"/>
      <x:c r="H148" s="21"/>
    </x:row>
    <x:row r="149">
      <x:c r="A149" s="19"/>
      <x:c r="B149" s="20"/>
      <x:c r="C149" s="20"/>
      <x:c r="D149" s="20"/>
      <x:c r="E149" s="20"/>
      <x:c r="F149" s="20"/>
      <x:c r="G149" s="20"/>
      <x:c r="H149" s="21"/>
    </x:row>
    <x:row r="150">
      <x:c r="A150" s="19"/>
      <x:c r="B150" s="20"/>
      <x:c r="C150" s="20"/>
      <x:c r="D150" s="20"/>
      <x:c r="E150" s="20"/>
      <x:c r="F150" s="20"/>
      <x:c r="G150" s="20"/>
      <x:c r="H150" s="21"/>
    </x:row>
    <x:row r="151">
      <x:c r="A151" s="19"/>
      <x:c r="B151" s="20"/>
      <x:c r="C151" s="20"/>
      <x:c r="D151" s="20"/>
      <x:c r="E151" s="20"/>
      <x:c r="F151" s="20"/>
      <x:c r="G151" s="20"/>
      <x:c r="H151" s="21"/>
    </x:row>
    <x:row r="152">
      <x:c r="A152" s="19"/>
      <x:c r="B152" s="20"/>
      <x:c r="C152" s="20"/>
      <x:c r="D152" s="20"/>
      <x:c r="E152" s="20"/>
      <x:c r="F152" s="20"/>
      <x:c r="G152" s="20"/>
      <x:c r="H152" s="21"/>
    </x:row>
    <x:row r="153">
      <x:c r="A153" s="19"/>
      <x:c r="B153" s="20"/>
      <x:c r="C153" s="20"/>
      <x:c r="D153" s="20"/>
      <x:c r="E153" s="20"/>
      <x:c r="F153" s="20"/>
      <x:c r="G153" s="20"/>
      <x:c r="H153" s="21"/>
    </x:row>
    <x:row r="154">
      <x:c r="A154" s="19"/>
      <x:c r="B154" s="20"/>
      <x:c r="C154" s="20"/>
      <x:c r="D154" s="20"/>
      <x:c r="E154" s="20"/>
      <x:c r="F154" s="20"/>
      <x:c r="G154" s="20"/>
      <x:c r="H154" s="21"/>
    </x:row>
    <x:row r="155">
      <x:c r="A155" s="19"/>
      <x:c r="B155" s="20"/>
      <x:c r="C155" s="20"/>
      <x:c r="D155" s="20"/>
      <x:c r="E155" s="20"/>
      <x:c r="F155" s="20"/>
      <x:c r="G155" s="20"/>
      <x:c r="H155" s="21"/>
    </x:row>
    <x:row r="156">
      <x:c r="A156" s="19"/>
      <x:c r="B156" s="20"/>
      <x:c r="C156" s="20"/>
      <x:c r="D156" s="20"/>
      <x:c r="E156" s="20"/>
      <x:c r="F156" s="20"/>
      <x:c r="G156" s="20"/>
      <x:c r="H156" s="21"/>
    </x:row>
    <x:row r="157">
      <x:c r="A157" s="19"/>
      <x:c r="B157" s="20"/>
      <x:c r="C157" s="20"/>
      <x:c r="D157" s="20"/>
      <x:c r="E157" s="20"/>
      <x:c r="F157" s="20"/>
      <x:c r="G157" s="20"/>
      <x:c r="H157" s="21"/>
    </x:row>
    <x:row r="158">
      <x:c r="A158" s="19"/>
      <x:c r="B158" s="20"/>
      <x:c r="C158" s="20"/>
      <x:c r="D158" s="20"/>
      <x:c r="E158" s="20"/>
      <x:c r="F158" s="20"/>
      <x:c r="G158" s="20"/>
      <x:c r="H158" s="21"/>
    </x:row>
    <x:row r="159">
      <x:c r="A159" s="19"/>
      <x:c r="B159" s="20"/>
      <x:c r="C159" s="20"/>
      <x:c r="D159" s="20"/>
      <x:c r="E159" s="20"/>
      <x:c r="F159" s="20"/>
      <x:c r="G159" s="20"/>
      <x:c r="H159" s="21"/>
    </x:row>
    <x:row r="160">
      <x:c r="A160" s="19"/>
      <x:c r="B160" s="20"/>
      <x:c r="C160" s="20"/>
      <x:c r="D160" s="20"/>
      <x:c r="E160" s="20"/>
      <x:c r="F160" s="20"/>
      <x:c r="G160" s="20"/>
      <x:c r="H160" s="21"/>
    </x:row>
    <x:row r="161">
      <x:c r="A161" s="19"/>
      <x:c r="B161" s="20"/>
      <x:c r="C161" s="20"/>
      <x:c r="D161" s="20"/>
      <x:c r="E161" s="20"/>
      <x:c r="F161" s="20"/>
      <x:c r="G161" s="20"/>
      <x:c r="H161" s="21"/>
    </x:row>
    <x:row r="162">
      <x:c r="A162" s="19"/>
      <x:c r="B162" s="20"/>
      <x:c r="C162" s="20"/>
      <x:c r="D162" s="20"/>
      <x:c r="E162" s="20"/>
      <x:c r="F162" s="20"/>
      <x:c r="G162" s="20"/>
      <x:c r="H162" s="21"/>
    </x:row>
    <x:row r="163">
      <x:c r="A163" s="19"/>
      <x:c r="B163" s="20"/>
      <x:c r="C163" s="20"/>
      <x:c r="D163" s="20"/>
      <x:c r="E163" s="20"/>
      <x:c r="F163" s="20"/>
      <x:c r="G163" s="20"/>
      <x:c r="H163" s="21"/>
    </x:row>
    <x:row r="164">
      <x:c r="A164" s="19"/>
      <x:c r="B164" s="20"/>
      <x:c r="C164" s="20"/>
      <x:c r="D164" s="20"/>
      <x:c r="E164" s="20"/>
      <x:c r="F164" s="20"/>
      <x:c r="G164" s="20"/>
      <x:c r="H164" s="21"/>
    </x:row>
    <x:row r="165">
      <x:c r="A165" s="19"/>
      <x:c r="B165" s="20"/>
      <x:c r="C165" s="20"/>
      <x:c r="D165" s="20"/>
      <x:c r="E165" s="20"/>
      <x:c r="F165" s="20"/>
      <x:c r="G165" s="20"/>
      <x:c r="H165" s="21"/>
    </x:row>
    <x:row r="166">
      <x:c r="A166" s="19"/>
      <x:c r="B166" s="20"/>
      <x:c r="C166" s="20"/>
      <x:c r="D166" s="20"/>
      <x:c r="E166" s="20"/>
      <x:c r="F166" s="20"/>
      <x:c r="G166" s="20"/>
      <x:c r="H166" s="21"/>
    </x:row>
    <x:row r="167">
      <x:c r="A167" s="19"/>
      <x:c r="B167" s="20"/>
      <x:c r="C167" s="20"/>
      <x:c r="D167" s="20"/>
      <x:c r="E167" s="20"/>
      <x:c r="F167" s="20"/>
      <x:c r="G167" s="20"/>
      <x:c r="H167" s="21"/>
    </x:row>
    <x:row r="168">
      <x:c r="A168" s="19"/>
      <x:c r="B168" s="20"/>
      <x:c r="C168" s="20"/>
      <x:c r="D168" s="20"/>
      <x:c r="E168" s="20"/>
      <x:c r="F168" s="20"/>
      <x:c r="G168" s="20"/>
      <x:c r="H168" s="21"/>
    </x:row>
    <x:row r="169">
      <x:c r="A169" s="19"/>
      <x:c r="B169" s="20"/>
      <x:c r="C169" s="20"/>
      <x:c r="D169" s="20"/>
      <x:c r="E169" s="20"/>
      <x:c r="F169" s="20"/>
      <x:c r="G169" s="20"/>
      <x:c r="H169" s="21"/>
    </x:row>
    <x:row r="170">
      <x:c r="A170" s="19"/>
      <x:c r="B170" s="20"/>
      <x:c r="C170" s="20"/>
      <x:c r="D170" s="20"/>
      <x:c r="E170" s="20"/>
      <x:c r="F170" s="20"/>
      <x:c r="G170" s="20"/>
      <x:c r="H170" s="21"/>
    </x:row>
    <x:row r="171">
      <x:c r="A171" s="19"/>
      <x:c r="B171" s="20"/>
      <x:c r="C171" s="20"/>
      <x:c r="D171" s="20"/>
      <x:c r="E171" s="20"/>
      <x:c r="F171" s="20"/>
      <x:c r="G171" s="20"/>
      <x:c r="H171" s="21"/>
    </x:row>
    <x:row r="172">
      <x:c r="A172" s="19"/>
      <x:c r="B172" s="20"/>
      <x:c r="C172" s="20"/>
      <x:c r="D172" s="20"/>
      <x:c r="E172" s="20"/>
      <x:c r="F172" s="20"/>
      <x:c r="G172" s="20"/>
      <x:c r="H172" s="21"/>
    </x:row>
    <x:row r="173">
      <x:c r="A173" s="19"/>
      <x:c r="B173" s="20"/>
      <x:c r="C173" s="20"/>
      <x:c r="D173" s="20"/>
      <x:c r="E173" s="20"/>
      <x:c r="F173" s="20"/>
      <x:c r="G173" s="20"/>
      <x:c r="H173" s="21"/>
    </x:row>
    <x:row r="174">
      <x:c r="A174" s="19"/>
      <x:c r="B174" s="20"/>
      <x:c r="C174" s="20"/>
      <x:c r="D174" s="20"/>
      <x:c r="E174" s="20"/>
      <x:c r="F174" s="20"/>
      <x:c r="G174" s="20"/>
      <x:c r="H174" s="21"/>
    </x:row>
    <x:row r="175">
      <x:c r="A175" s="19"/>
      <x:c r="B175" s="20"/>
      <x:c r="C175" s="20"/>
      <x:c r="D175" s="20"/>
      <x:c r="E175" s="20"/>
      <x:c r="F175" s="20"/>
      <x:c r="G175" s="20"/>
      <x:c r="H175" s="21"/>
    </x:row>
    <x:row r="176">
      <x:c r="A176" s="19"/>
      <x:c r="B176" s="20"/>
      <x:c r="C176" s="20"/>
      <x:c r="D176" s="20"/>
      <x:c r="E176" s="20"/>
      <x:c r="F176" s="20"/>
      <x:c r="G176" s="20"/>
      <x:c r="H176" s="21"/>
    </x:row>
    <x:row r="177">
      <x:c r="A177" s="19"/>
      <x:c r="B177" s="20"/>
      <x:c r="C177" s="20"/>
      <x:c r="D177" s="20"/>
      <x:c r="E177" s="20"/>
      <x:c r="F177" s="20"/>
      <x:c r="G177" s="20"/>
      <x:c r="H177" s="21"/>
    </x:row>
    <x:row r="178">
      <x:c r="A178" s="19"/>
      <x:c r="B178" s="20"/>
      <x:c r="C178" s="20"/>
      <x:c r="D178" s="20"/>
      <x:c r="E178" s="20"/>
      <x:c r="F178" s="20"/>
      <x:c r="G178" s="20"/>
      <x:c r="H178" s="21"/>
    </x:row>
    <x:row r="179">
      <x:c r="A179" s="19"/>
      <x:c r="B179" s="20"/>
      <x:c r="C179" s="20"/>
      <x:c r="D179" s="20"/>
      <x:c r="E179" s="20"/>
      <x:c r="F179" s="20"/>
      <x:c r="G179" s="20"/>
      <x:c r="H179" s="21"/>
    </x:row>
    <x:row r="180">
      <x:c r="A180" s="19"/>
      <x:c r="B180" s="20"/>
      <x:c r="C180" s="20"/>
      <x:c r="D180" s="20"/>
      <x:c r="E180" s="20"/>
      <x:c r="F180" s="20"/>
      <x:c r="G180" s="20"/>
      <x:c r="H180" s="21"/>
    </x:row>
    <x:row r="181">
      <x:c r="A181" s="19"/>
      <x:c r="B181" s="20"/>
      <x:c r="C181" s="20"/>
      <x:c r="D181" s="20"/>
      <x:c r="E181" s="20"/>
      <x:c r="F181" s="20"/>
      <x:c r="G181" s="20"/>
      <x:c r="H181" s="21"/>
    </x:row>
    <x:row r="182">
      <x:c r="A182" s="19"/>
      <x:c r="B182" s="20"/>
      <x:c r="C182" s="20"/>
      <x:c r="D182" s="20"/>
      <x:c r="E182" s="20"/>
      <x:c r="F182" s="20"/>
      <x:c r="G182" s="20"/>
      <x:c r="H182" s="21"/>
    </x:row>
    <x:row r="183">
      <x:c r="A183" s="19"/>
      <x:c r="B183" s="20"/>
      <x:c r="C183" s="20"/>
      <x:c r="D183" s="20"/>
      <x:c r="E183" s="20"/>
      <x:c r="F183" s="20"/>
      <x:c r="G183" s="20"/>
      <x:c r="H183" s="21"/>
    </x:row>
    <x:row r="184">
      <x:c r="A184" s="19"/>
      <x:c r="B184" s="20"/>
      <x:c r="C184" s="20"/>
      <x:c r="D184" s="20"/>
      <x:c r="E184" s="20"/>
      <x:c r="F184" s="20"/>
      <x:c r="G184" s="20"/>
      <x:c r="H184" s="21"/>
    </x:row>
    <x:row r="185">
      <x:c r="A185" s="19"/>
      <x:c r="B185" s="20"/>
      <x:c r="C185" s="20"/>
      <x:c r="D185" s="20"/>
      <x:c r="E185" s="20"/>
      <x:c r="F185" s="20"/>
      <x:c r="G185" s="20"/>
      <x:c r="H185" s="21"/>
    </x:row>
    <x:row r="186">
      <x:c r="A186" s="19"/>
      <x:c r="B186" s="20"/>
      <x:c r="C186" s="20"/>
      <x:c r="D186" s="20"/>
      <x:c r="E186" s="20"/>
      <x:c r="F186" s="20"/>
      <x:c r="G186" s="20"/>
      <x:c r="H186" s="21"/>
    </x:row>
    <x:row r="187">
      <x:c r="A187" s="19"/>
      <x:c r="B187" s="20"/>
      <x:c r="C187" s="20"/>
      <x:c r="D187" s="20"/>
      <x:c r="E187" s="20"/>
      <x:c r="F187" s="20"/>
      <x:c r="G187" s="20"/>
      <x:c r="H187" s="21"/>
    </x:row>
    <x:row r="188">
      <x:c r="A188" s="19"/>
      <x:c r="B188" s="20"/>
      <x:c r="C188" s="20"/>
      <x:c r="D188" s="20"/>
      <x:c r="E188" s="20"/>
      <x:c r="F188" s="20"/>
      <x:c r="G188" s="20"/>
      <x:c r="H188" s="21"/>
    </x:row>
    <x:row r="189">
      <x:c r="A189" s="19"/>
      <x:c r="B189" s="20"/>
      <x:c r="C189" s="20"/>
      <x:c r="D189" s="20"/>
      <x:c r="E189" s="20"/>
      <x:c r="F189" s="20"/>
      <x:c r="G189" s="20"/>
      <x:c r="H189" s="21"/>
    </x:row>
    <x:row r="190">
      <x:c r="A190" s="19"/>
      <x:c r="B190" s="20"/>
      <x:c r="C190" s="20"/>
      <x:c r="D190" s="20"/>
      <x:c r="E190" s="20"/>
      <x:c r="F190" s="20"/>
      <x:c r="G190" s="20"/>
      <x:c r="H190" s="21"/>
    </x:row>
    <x:row r="191">
      <x:c r="A191" s="19"/>
      <x:c r="B191" s="20"/>
      <x:c r="C191" s="20"/>
      <x:c r="D191" s="20"/>
      <x:c r="E191" s="20"/>
      <x:c r="F191" s="20"/>
      <x:c r="G191" s="20"/>
      <x:c r="H191" s="21"/>
    </x:row>
    <x:row r="192">
      <x:c r="A192" s="19"/>
      <x:c r="B192" s="20"/>
      <x:c r="C192" s="20"/>
      <x:c r="D192" s="20"/>
      <x:c r="E192" s="20"/>
      <x:c r="F192" s="20"/>
      <x:c r="G192" s="20"/>
      <x:c r="H192" s="21"/>
    </x:row>
    <x:row r="193">
      <x:c r="A193" s="19"/>
      <x:c r="B193" s="20"/>
      <x:c r="C193" s="20"/>
      <x:c r="D193" s="20"/>
      <x:c r="E193" s="20"/>
      <x:c r="F193" s="20"/>
      <x:c r="G193" s="20"/>
      <x:c r="H193" s="21"/>
    </x:row>
    <x:row r="194">
      <x:c r="A194" s="19"/>
      <x:c r="B194" s="20"/>
      <x:c r="C194" s="20"/>
      <x:c r="D194" s="20"/>
      <x:c r="E194" s="20"/>
      <x:c r="F194" s="20"/>
      <x:c r="G194" s="20"/>
      <x:c r="H194" s="21"/>
    </x:row>
    <x:row r="195">
      <x:c r="A195" s="19"/>
      <x:c r="B195" s="20"/>
      <x:c r="C195" s="20"/>
      <x:c r="D195" s="20"/>
      <x:c r="E195" s="20"/>
      <x:c r="F195" s="20"/>
      <x:c r="G195" s="20"/>
      <x:c r="H195" s="21"/>
    </x:row>
    <x:row r="196">
      <x:c r="A196" s="19"/>
      <x:c r="B196" s="20"/>
      <x:c r="C196" s="20"/>
      <x:c r="D196" s="20"/>
      <x:c r="E196" s="20"/>
      <x:c r="F196" s="20"/>
      <x:c r="G196" s="20"/>
      <x:c r="H196" s="21"/>
    </x:row>
    <x:row r="197">
      <x:c r="A197" s="19"/>
      <x:c r="B197" s="20"/>
      <x:c r="C197" s="20"/>
      <x:c r="D197" s="20"/>
      <x:c r="E197" s="20"/>
      <x:c r="F197" s="20"/>
      <x:c r="G197" s="20"/>
      <x:c r="H197" s="21"/>
    </x:row>
    <x:row r="198">
      <x:c r="A198" s="19"/>
      <x:c r="B198" s="20"/>
      <x:c r="C198" s="20"/>
      <x:c r="D198" s="20"/>
      <x:c r="E198" s="20"/>
      <x:c r="F198" s="20"/>
      <x:c r="G198" s="20"/>
      <x:c r="H198" s="21"/>
    </x:row>
    <x:row r="199">
      <x:c r="A199" s="19"/>
      <x:c r="B199" s="20"/>
      <x:c r="C199" s="20"/>
      <x:c r="D199" s="20"/>
      <x:c r="E199" s="20"/>
      <x:c r="F199" s="20"/>
      <x:c r="G199" s="20"/>
      <x:c r="H199" s="21"/>
    </x:row>
    <x:row r="200">
      <x:c r="A200" s="19"/>
      <x:c r="B200" s="20"/>
      <x:c r="C200" s="20"/>
      <x:c r="D200" s="20"/>
      <x:c r="E200" s="20"/>
      <x:c r="F200" s="20"/>
      <x:c r="G200" s="20"/>
      <x:c r="H200" s="21"/>
    </x:row>
    <x:row r="201">
      <x:c r="A201" s="19"/>
      <x:c r="B201" s="20"/>
      <x:c r="C201" s="20"/>
      <x:c r="D201" s="20"/>
      <x:c r="E201" s="20"/>
      <x:c r="F201" s="20"/>
      <x:c r="G201" s="20"/>
      <x:c r="H201" s="21"/>
    </x:row>
    <x:row r="202">
      <x:c r="A202" s="19"/>
      <x:c r="B202" s="20"/>
      <x:c r="C202" s="20"/>
      <x:c r="D202" s="20"/>
      <x:c r="E202" s="20"/>
      <x:c r="F202" s="20"/>
      <x:c r="G202" s="20"/>
      <x:c r="H202" s="21"/>
    </x:row>
    <x:row r="203">
      <x:c r="A203" s="22"/>
      <x:c r="B203" s="23"/>
      <x:c r="C203" s="23"/>
      <x:c r="D203" s="23"/>
      <x:c r="E203" s="23"/>
      <x:c r="F203" s="23"/>
      <x:c r="G203" s="23"/>
      <x:c r="H203" s="24"/>
    </x:row>
  </x:sheetData>
  <x:mergeCells>
    <x:mergeCell ref="A1:H1"/>
  </x:mergeCells>
  <x:dataValidations count="3">
    <x:dataValidation type="list" sqref="C4:C203">
      <x:formula1>"Sociétaire,Aspirant,Compagnon"</x:formula1>
    </x:dataValidation>
    <x:dataValidation type="list" sqref="D4:D203">
      <x:formula1>"Paris,Autre"</x:formula1>
    </x:dataValidation>
    <x:dataValidation type="list" sqref="G4:G203">
      <x:formula1>"Oui,Non"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7.78000020980835" hidden="0" customWidth="1"/>
    <x:col min="3" max="3" width="12.220000267028809" hidden="0" customWidth="1"/>
    <x:col min="4" max="4" width="28.889999389648438" hidden="0" customWidth="1"/>
    <x:col min="5" max="5" width="20" hidden="0" customWidth="1"/>
    <x:col min="6" max="6" width="10" hidden="0" customWidth="1"/>
    <x:col min="7" max="7" width="10" hidden="0" customWidth="1"/>
    <x:col min="8" max="8" width="20" hidden="0" customWidth="1"/>
    <x:col min="9" max="9" width="11.109999656677246" hidden="0" customWidth="1"/>
    <x:col min="10" max="10" width="13.329999923706055" hidden="0" customWidth="1"/>
    <x:col min="11" max="11" width="7.78000020980835" hidden="0" customWidth="1"/>
    <x:col min="12" max="12" width="24.440000534057617" hidden="0" customWidth="1"/>
  </x:cols>
  <x:sheetData>
    <x:row r="1">
      <x:c r="A1" s="4" t="str">
        <x:v>Calendrier annuel des réunions, cours et événements</x:v>
      </x:c>
      <x:c r="B1" s="4" t="str">
        <x:v>Calendrier annuel des réunions, cours et événements</x:v>
      </x:c>
      <x:c r="C1" s="4" t="str">
        <x:v>Calendrier annuel des réunions, cours et événements</x:v>
      </x:c>
      <x:c r="D1" s="4" t="str">
        <x:v>Calendrier annuel des réunions, cours et événements</x:v>
      </x:c>
      <x:c r="E1" s="4" t="str">
        <x:v>Calendrier annuel des réunions, cours et événements</x:v>
      </x:c>
      <x:c r="F1" s="4" t="str">
        <x:v>Calendrier annuel des réunions, cours et événements</x:v>
      </x:c>
      <x:c r="G1" s="4" t="str">
        <x:v>Calendrier annuel des réunions, cours et événements</x:v>
      </x:c>
      <x:c r="H1" s="4" t="str">
        <x:v>Calendrier annuel des réunions, cours et événements</x:v>
      </x:c>
      <x:c r="I1" s="4" t="str">
        <x:v>Calendrier annuel des réunions, cours et événements</x:v>
      </x:c>
      <x:c r="J1" s="4" t="str">
        <x:v>Calendrier annuel des réunions, cours et événements</x:v>
      </x:c>
      <x:c r="K1" s="4" t="str">
        <x:v>Calendrier annuel des réunions, cours et événements</x:v>
      </x:c>
      <x:c r="L1" s="4" t="str">
        <x:v>Calendrier annuel des réunions, cours et événements</x:v>
      </x:c>
    </x:row>
    <x:row r="3">
      <x:c r="A3" s="16" t="str">
        <x:v>ID_Evenement</x:v>
      </x:c>
      <x:c r="B3" s="17" t="str">
        <x:v>Annee</x:v>
      </x:c>
      <x:c r="C3" s="17" t="str">
        <x:v>Date</x:v>
      </x:c>
      <x:c r="D3" s="17" t="str">
        <x:v>Titre</x:v>
      </x:c>
      <x:c r="E3" s="17" t="str">
        <x:v>Type_Evenement</x:v>
      </x:c>
      <x:c r="F3" s="17" t="str">
        <x:v>Heure_Debut</x:v>
      </x:c>
      <x:c r="G3" s="17" t="str">
        <x:v>Heure_Fin</x:v>
      </x:c>
      <x:c r="H3" s="17" t="str">
        <x:v>Lieu</x:v>
      </x:c>
      <x:c r="I3" s="17" t="str">
        <x:v>Cayenne</x:v>
      </x:c>
      <x:c r="J3" s="17" t="str">
        <x:v>Categorie_CR</x:v>
      </x:c>
      <x:c r="K3" s="17" t="str">
        <x:v>Actif</x:v>
      </x:c>
      <x:c r="L3" s="18" t="str">
        <x:v>Commentaire</x:v>
      </x:c>
    </x:row>
    <x:row r="4">
      <x:c r="A4" s="19" t="str">
        <x:v>EVT-2026-JEUNES-01</x:v>
      </x:c>
      <x:c r="B4" s="20" t="n">
        <x:v>2026</x:v>
      </x:c>
      <x:c r="C4" s="25" t="n">
        <x:v>46037</x:v>
      </x:c>
      <x:c r="D4" s="20" t="str">
        <x:v>Réunion des jeunes janvier</x:v>
      </x:c>
      <x:c r="E4" s="20" t="str">
        <x:v>Réunion des jeunes</x:v>
      </x:c>
      <x:c r="F4" s="20" t="str">
        <x:v>20:00</x:v>
      </x:c>
      <x:c r="G4" s="20" t="str">
        <x:v>22:00</x:v>
      </x:c>
      <x:c r="H4" s="20" t="str">
        <x:v>Cayenne de Paris</x:v>
      </x:c>
      <x:c r="I4" s="20" t="str">
        <x:v>Paris</x:v>
      </x:c>
      <x:c r="J4" s="20" t="str">
        <x:v>Réunion</x:v>
      </x:c>
      <x:c r="K4" s="20" t="str">
        <x:v>Oui</x:v>
      </x:c>
      <x:c r="L4" s="21" t="str">
        <x:v>Exemple à ajuster</x:v>
      </x:c>
    </x:row>
    <x:row r="5">
      <x:c r="A5" s="19" t="str">
        <x:v>EVT-2026-COMPAGNONS-01</x:v>
      </x:c>
      <x:c r="B5" s="20" t="n">
        <x:v>2026</x:v>
      </x:c>
      <x:c r="C5" s="25" t="n">
        <x:v>46065</x:v>
      </x:c>
      <x:c r="D5" s="20" t="str">
        <x:v>Réunion compagnon février</x:v>
      </x:c>
      <x:c r="E5" s="20" t="str">
        <x:v>Réunion compagnon</x:v>
      </x:c>
      <x:c r="F5" s="20" t="str">
        <x:v>20:00</x:v>
      </x:c>
      <x:c r="G5" s="20" t="str">
        <x:v>22:00</x:v>
      </x:c>
      <x:c r="H5" s="20" t="str">
        <x:v>Cayenne de Paris</x:v>
      </x:c>
      <x:c r="I5" s="20" t="str">
        <x:v>Paris</x:v>
      </x:c>
      <x:c r="J5" s="20" t="str">
        <x:v>Réunion</x:v>
      </x:c>
      <x:c r="K5" s="20" t="str">
        <x:v>Oui</x:v>
      </x:c>
      <x:c r="L5" s="21" t="str">
        <x:v>Exemple à ajuster</x:v>
      </x:c>
    </x:row>
    <x:row r="6">
      <x:c r="A6" s="19" t="str">
        <x:v>EVT-2026-COURS-01</x:v>
      </x:c>
      <x:c r="B6" s="20" t="n">
        <x:v>2026</x:v>
      </x:c>
      <x:c r="C6" s="25" t="n">
        <x:v>46095</x:v>
      </x:c>
      <x:c r="D6" s="20" t="str">
        <x:v>Cours en Cayenne</x:v>
      </x:c>
      <x:c r="E6" s="20" t="str">
        <x:v>Cours en Cayenne</x:v>
      </x:c>
      <x:c r="F6" s="20" t="str">
        <x:v>09:00</x:v>
      </x:c>
      <x:c r="G6" s="20" t="str">
        <x:v>12:00</x:v>
      </x:c>
      <x:c r="H6" s="20" t="str">
        <x:v>Cayenne de Paris</x:v>
      </x:c>
      <x:c r="I6" s="20" t="str">
        <x:v>Paris</x:v>
      </x:c>
      <x:c r="J6" s="20" t="str">
        <x:v>Cours</x:v>
      </x:c>
      <x:c r="K6" s="20" t="str">
        <x:v>Oui</x:v>
      </x:c>
      <x:c r="L6" s="21" t="str">
        <x:v>Date exemple</x:v>
      </x:c>
    </x:row>
    <x:row r="7">
      <x:c r="A7" s="19" t="str">
        <x:v>EVT-2026-FETE-JUIN</x:v>
      </x:c>
      <x:c r="B7" s="20" t="n">
        <x:v>2026</x:v>
      </x:c>
      <x:c r="C7" s="25" t="n">
        <x:v>46193</x:v>
      </x:c>
      <x:c r="D7" s="20" t="str">
        <x:v>Fête de juin</x:v>
      </x:c>
      <x:c r="E7" s="20" t="str">
        <x:v>Fête de juin</x:v>
      </x:c>
      <x:c r="F7" s="20" t="str">
        <x:v>08:00</x:v>
      </x:c>
      <x:c r="G7" s="20" t="str">
        <x:v>23:00</x:v>
      </x:c>
      <x:c r="H7" s="20" t="str">
        <x:v>Cayenne de Paris</x:v>
      </x:c>
      <x:c r="I7" s="20" t="str">
        <x:v>Paris</x:v>
      </x:c>
      <x:c r="J7" s="20" t="str">
        <x:v>Événement</x:v>
      </x:c>
      <x:c r="K7" s="20" t="str">
        <x:v>Oui</x:v>
      </x:c>
      <x:c r="L7" s="21" t="str">
        <x:v>Date à confirmer</x:v>
      </x:c>
    </x:row>
    <x:row r="8">
      <x:c r="A8" s="19" t="str">
        <x:v>EVT-2026-JEP</x:v>
      </x:c>
      <x:c r="B8" s="20" t="n">
        <x:v>2026</x:v>
      </x:c>
      <x:c r="C8" s="25" t="n">
        <x:v>46284</x:v>
      </x:c>
      <x:c r="D8" s="20" t="str">
        <x:v>Journées européennes du patrimoine</x:v>
      </x:c>
      <x:c r="E8" s="20" t="str">
        <x:v>JEP</x:v>
      </x:c>
      <x:c r="F8" s="20" t="str">
        <x:v>09:00</x:v>
      </x:c>
      <x:c r="G8" s="20" t="str">
        <x:v>18:00</x:v>
      </x:c>
      <x:c r="H8" s="20" t="str">
        <x:v>Cayenne de Paris</x:v>
      </x:c>
      <x:c r="I8" s="20" t="str">
        <x:v>Paris</x:v>
      </x:c>
      <x:c r="J8" s="20" t="str">
        <x:v>Événement</x:v>
      </x:c>
      <x:c r="K8" s="20" t="str">
        <x:v>Oui</x:v>
      </x:c>
      <x:c r="L8" s="21" t="str">
        <x:v>Date à confirmer</x:v>
      </x:c>
    </x:row>
    <x:row r="9">
      <x:c r="A9" s="19" t="str">
        <x:v>EVT-2026-FETE-NOVEMBRE</x:v>
      </x:c>
      <x:c r="B9" s="20" t="n">
        <x:v>2026</x:v>
      </x:c>
      <x:c r="C9" s="25" t="n">
        <x:v>46347</x:v>
      </x:c>
      <x:c r="D9" s="20" t="str">
        <x:v>Fête de novembre</x:v>
      </x:c>
      <x:c r="E9" s="20" t="str">
        <x:v>Fête de novembre</x:v>
      </x:c>
      <x:c r="F9" s="20" t="str">
        <x:v>08:00</x:v>
      </x:c>
      <x:c r="G9" s="20" t="str">
        <x:v>23:00</x:v>
      </x:c>
      <x:c r="H9" s="20" t="str">
        <x:v>Cayenne de Paris</x:v>
      </x:c>
      <x:c r="I9" s="20" t="str">
        <x:v>Paris</x:v>
      </x:c>
      <x:c r="J9" s="20" t="str">
        <x:v>Événement</x:v>
      </x:c>
      <x:c r="K9" s="20" t="str">
        <x:v>Oui</x:v>
      </x:c>
      <x:c r="L9" s="21" t="str">
        <x:v>Date à confirmer</x:v>
      </x:c>
    </x:row>
    <x:row r="10">
      <x:c r="A10" s="19"/>
      <x:c r="B10" s="20"/>
      <x:c r="C10" s="25"/>
      <x:c r="D10" s="20"/>
      <x:c r="E10" s="20"/>
      <x:c r="F10" s="20"/>
      <x:c r="G10" s="20"/>
      <x:c r="H10" s="20"/>
      <x:c r="I10" s="20"/>
      <x:c r="J10" s="20"/>
      <x:c r="K10" s="20"/>
      <x:c r="L10" s="21"/>
    </x:row>
    <x:row r="11">
      <x:c r="A11" s="19"/>
      <x:c r="B11" s="20"/>
      <x:c r="C11" s="25"/>
      <x:c r="D11" s="20"/>
      <x:c r="E11" s="20"/>
      <x:c r="F11" s="20"/>
      <x:c r="G11" s="20"/>
      <x:c r="H11" s="20"/>
      <x:c r="I11" s="20"/>
      <x:c r="J11" s="20"/>
      <x:c r="K11" s="20"/>
      <x:c r="L11" s="21"/>
    </x:row>
    <x:row r="12">
      <x:c r="A12" s="19"/>
      <x:c r="B12" s="20"/>
      <x:c r="C12" s="25"/>
      <x:c r="D12" s="20"/>
      <x:c r="E12" s="20"/>
      <x:c r="F12" s="20"/>
      <x:c r="G12" s="20"/>
      <x:c r="H12" s="20"/>
      <x:c r="I12" s="20"/>
      <x:c r="J12" s="20"/>
      <x:c r="K12" s="20"/>
      <x:c r="L12" s="21"/>
    </x:row>
    <x:row r="13">
      <x:c r="A13" s="19"/>
      <x:c r="B13" s="20"/>
      <x:c r="C13" s="25"/>
      <x:c r="D13" s="20"/>
      <x:c r="E13" s="20"/>
      <x:c r="F13" s="20"/>
      <x:c r="G13" s="20"/>
      <x:c r="H13" s="20"/>
      <x:c r="I13" s="20"/>
      <x:c r="J13" s="20"/>
      <x:c r="K13" s="20"/>
      <x:c r="L13" s="21"/>
    </x:row>
    <x:row r="14">
      <x:c r="A14" s="19"/>
      <x:c r="B14" s="20"/>
      <x:c r="C14" s="25"/>
      <x:c r="D14" s="20"/>
      <x:c r="E14" s="20"/>
      <x:c r="F14" s="20"/>
      <x:c r="G14" s="20"/>
      <x:c r="H14" s="20"/>
      <x:c r="I14" s="20"/>
      <x:c r="J14" s="20"/>
      <x:c r="K14" s="20"/>
      <x:c r="L14" s="21"/>
    </x:row>
    <x:row r="15">
      <x:c r="A15" s="19"/>
      <x:c r="B15" s="20"/>
      <x:c r="C15" s="25"/>
      <x:c r="D15" s="20"/>
      <x:c r="E15" s="20"/>
      <x:c r="F15" s="20"/>
      <x:c r="G15" s="20"/>
      <x:c r="H15" s="20"/>
      <x:c r="I15" s="20"/>
      <x:c r="J15" s="20"/>
      <x:c r="K15" s="20"/>
      <x:c r="L15" s="21"/>
    </x:row>
    <x:row r="16">
      <x:c r="A16" s="19"/>
      <x:c r="B16" s="20"/>
      <x:c r="C16" s="25"/>
      <x:c r="D16" s="20"/>
      <x:c r="E16" s="20"/>
      <x:c r="F16" s="20"/>
      <x:c r="G16" s="20"/>
      <x:c r="H16" s="20"/>
      <x:c r="I16" s="20"/>
      <x:c r="J16" s="20"/>
      <x:c r="K16" s="20"/>
      <x:c r="L16" s="21"/>
    </x:row>
    <x:row r="17">
      <x:c r="A17" s="19"/>
      <x:c r="B17" s="20"/>
      <x:c r="C17" s="25"/>
      <x:c r="D17" s="20"/>
      <x:c r="E17" s="20"/>
      <x:c r="F17" s="20"/>
      <x:c r="G17" s="20"/>
      <x:c r="H17" s="20"/>
      <x:c r="I17" s="20"/>
      <x:c r="J17" s="20"/>
      <x:c r="K17" s="20"/>
      <x:c r="L17" s="21"/>
    </x:row>
    <x:row r="18">
      <x:c r="A18" s="19"/>
      <x:c r="B18" s="20"/>
      <x:c r="C18" s="25"/>
      <x:c r="D18" s="20"/>
      <x:c r="E18" s="20"/>
      <x:c r="F18" s="20"/>
      <x:c r="G18" s="20"/>
      <x:c r="H18" s="20"/>
      <x:c r="I18" s="20"/>
      <x:c r="J18" s="20"/>
      <x:c r="K18" s="20"/>
      <x:c r="L18" s="21"/>
    </x:row>
    <x:row r="19">
      <x:c r="A19" s="19"/>
      <x:c r="B19" s="20"/>
      <x:c r="C19" s="25"/>
      <x:c r="D19" s="20"/>
      <x:c r="E19" s="20"/>
      <x:c r="F19" s="20"/>
      <x:c r="G19" s="20"/>
      <x:c r="H19" s="20"/>
      <x:c r="I19" s="20"/>
      <x:c r="J19" s="20"/>
      <x:c r="K19" s="20"/>
      <x:c r="L19" s="21"/>
    </x:row>
    <x:row r="20">
      <x:c r="A20" s="19"/>
      <x:c r="B20" s="20"/>
      <x:c r="C20" s="25"/>
      <x:c r="D20" s="20"/>
      <x:c r="E20" s="20"/>
      <x:c r="F20" s="20"/>
      <x:c r="G20" s="20"/>
      <x:c r="H20" s="20"/>
      <x:c r="I20" s="20"/>
      <x:c r="J20" s="20"/>
      <x:c r="K20" s="20"/>
      <x:c r="L20" s="21"/>
    </x:row>
    <x:row r="21">
      <x:c r="A21" s="19"/>
      <x:c r="B21" s="20"/>
      <x:c r="C21" s="25"/>
      <x:c r="D21" s="20"/>
      <x:c r="E21" s="20"/>
      <x:c r="F21" s="20"/>
      <x:c r="G21" s="20"/>
      <x:c r="H21" s="20"/>
      <x:c r="I21" s="20"/>
      <x:c r="J21" s="20"/>
      <x:c r="K21" s="20"/>
      <x:c r="L21" s="21"/>
    </x:row>
    <x:row r="22">
      <x:c r="A22" s="19"/>
      <x:c r="B22" s="20"/>
      <x:c r="C22" s="25"/>
      <x:c r="D22" s="20"/>
      <x:c r="E22" s="20"/>
      <x:c r="F22" s="20"/>
      <x:c r="G22" s="20"/>
      <x:c r="H22" s="20"/>
      <x:c r="I22" s="20"/>
      <x:c r="J22" s="20"/>
      <x:c r="K22" s="20"/>
      <x:c r="L22" s="21"/>
    </x:row>
    <x:row r="23">
      <x:c r="A23" s="19"/>
      <x:c r="B23" s="20"/>
      <x:c r="C23" s="25"/>
      <x:c r="D23" s="20"/>
      <x:c r="E23" s="20"/>
      <x:c r="F23" s="20"/>
      <x:c r="G23" s="20"/>
      <x:c r="H23" s="20"/>
      <x:c r="I23" s="20"/>
      <x:c r="J23" s="20"/>
      <x:c r="K23" s="20"/>
      <x:c r="L23" s="21"/>
    </x:row>
    <x:row r="24">
      <x:c r="A24" s="19"/>
      <x:c r="B24" s="20"/>
      <x:c r="C24" s="25"/>
      <x:c r="D24" s="20"/>
      <x:c r="E24" s="20"/>
      <x:c r="F24" s="20"/>
      <x:c r="G24" s="20"/>
      <x:c r="H24" s="20"/>
      <x:c r="I24" s="20"/>
      <x:c r="J24" s="20"/>
      <x:c r="K24" s="20"/>
      <x:c r="L24" s="21"/>
    </x:row>
    <x:row r="25">
      <x:c r="A25" s="19"/>
      <x:c r="B25" s="20"/>
      <x:c r="C25" s="25"/>
      <x:c r="D25" s="20"/>
      <x:c r="E25" s="20"/>
      <x:c r="F25" s="20"/>
      <x:c r="G25" s="20"/>
      <x:c r="H25" s="20"/>
      <x:c r="I25" s="20"/>
      <x:c r="J25" s="20"/>
      <x:c r="K25" s="20"/>
      <x:c r="L25" s="21"/>
    </x:row>
    <x:row r="26">
      <x:c r="A26" s="19"/>
      <x:c r="B26" s="20"/>
      <x:c r="C26" s="25"/>
      <x:c r="D26" s="20"/>
      <x:c r="E26" s="20"/>
      <x:c r="F26" s="20"/>
      <x:c r="G26" s="20"/>
      <x:c r="H26" s="20"/>
      <x:c r="I26" s="20"/>
      <x:c r="J26" s="20"/>
      <x:c r="K26" s="20"/>
      <x:c r="L26" s="21"/>
    </x:row>
    <x:row r="27">
      <x:c r="A27" s="19"/>
      <x:c r="B27" s="20"/>
      <x:c r="C27" s="25"/>
      <x:c r="D27" s="20"/>
      <x:c r="E27" s="20"/>
      <x:c r="F27" s="20"/>
      <x:c r="G27" s="20"/>
      <x:c r="H27" s="20"/>
      <x:c r="I27" s="20"/>
      <x:c r="J27" s="20"/>
      <x:c r="K27" s="20"/>
      <x:c r="L27" s="21"/>
    </x:row>
    <x:row r="28">
      <x:c r="A28" s="19"/>
      <x:c r="B28" s="20"/>
      <x:c r="C28" s="25"/>
      <x:c r="D28" s="20"/>
      <x:c r="E28" s="20"/>
      <x:c r="F28" s="20"/>
      <x:c r="G28" s="20"/>
      <x:c r="H28" s="20"/>
      <x:c r="I28" s="20"/>
      <x:c r="J28" s="20"/>
      <x:c r="K28" s="20"/>
      <x:c r="L28" s="21"/>
    </x:row>
    <x:row r="29">
      <x:c r="A29" s="19"/>
      <x:c r="B29" s="20"/>
      <x:c r="C29" s="25"/>
      <x:c r="D29" s="20"/>
      <x:c r="E29" s="20"/>
      <x:c r="F29" s="20"/>
      <x:c r="G29" s="20"/>
      <x:c r="H29" s="20"/>
      <x:c r="I29" s="20"/>
      <x:c r="J29" s="20"/>
      <x:c r="K29" s="20"/>
      <x:c r="L29" s="21"/>
    </x:row>
    <x:row r="30">
      <x:c r="A30" s="19"/>
      <x:c r="B30" s="20"/>
      <x:c r="C30" s="25"/>
      <x:c r="D30" s="20"/>
      <x:c r="E30" s="20"/>
      <x:c r="F30" s="20"/>
      <x:c r="G30" s="20"/>
      <x:c r="H30" s="20"/>
      <x:c r="I30" s="20"/>
      <x:c r="J30" s="20"/>
      <x:c r="K30" s="20"/>
      <x:c r="L30" s="21"/>
    </x:row>
    <x:row r="31">
      <x:c r="A31" s="19"/>
      <x:c r="B31" s="20"/>
      <x:c r="C31" s="25"/>
      <x:c r="D31" s="20"/>
      <x:c r="E31" s="20"/>
      <x:c r="F31" s="20"/>
      <x:c r="G31" s="20"/>
      <x:c r="H31" s="20"/>
      <x:c r="I31" s="20"/>
      <x:c r="J31" s="20"/>
      <x:c r="K31" s="20"/>
      <x:c r="L31" s="21"/>
    </x:row>
    <x:row r="32">
      <x:c r="A32" s="19"/>
      <x:c r="B32" s="20"/>
      <x:c r="C32" s="25"/>
      <x:c r="D32" s="20"/>
      <x:c r="E32" s="20"/>
      <x:c r="F32" s="20"/>
      <x:c r="G32" s="20"/>
      <x:c r="H32" s="20"/>
      <x:c r="I32" s="20"/>
      <x:c r="J32" s="20"/>
      <x:c r="K32" s="20"/>
      <x:c r="L32" s="21"/>
    </x:row>
    <x:row r="33">
      <x:c r="A33" s="19"/>
      <x:c r="B33" s="20"/>
      <x:c r="C33" s="25"/>
      <x:c r="D33" s="20"/>
      <x:c r="E33" s="20"/>
      <x:c r="F33" s="20"/>
      <x:c r="G33" s="20"/>
      <x:c r="H33" s="20"/>
      <x:c r="I33" s="20"/>
      <x:c r="J33" s="20"/>
      <x:c r="K33" s="20"/>
      <x:c r="L33" s="21"/>
    </x:row>
    <x:row r="34">
      <x:c r="A34" s="19"/>
      <x:c r="B34" s="20"/>
      <x:c r="C34" s="25"/>
      <x:c r="D34" s="20"/>
      <x:c r="E34" s="20"/>
      <x:c r="F34" s="20"/>
      <x:c r="G34" s="20"/>
      <x:c r="H34" s="20"/>
      <x:c r="I34" s="20"/>
      <x:c r="J34" s="20"/>
      <x:c r="K34" s="20"/>
      <x:c r="L34" s="21"/>
    </x:row>
    <x:row r="35">
      <x:c r="A35" s="19"/>
      <x:c r="B35" s="20"/>
      <x:c r="C35" s="25"/>
      <x:c r="D35" s="20"/>
      <x:c r="E35" s="20"/>
      <x:c r="F35" s="20"/>
      <x:c r="G35" s="20"/>
      <x:c r="H35" s="20"/>
      <x:c r="I35" s="20"/>
      <x:c r="J35" s="20"/>
      <x:c r="K35" s="20"/>
      <x:c r="L35" s="21"/>
    </x:row>
    <x:row r="36">
      <x:c r="A36" s="19"/>
      <x:c r="B36" s="20"/>
      <x:c r="C36" s="25"/>
      <x:c r="D36" s="20"/>
      <x:c r="E36" s="20"/>
      <x:c r="F36" s="20"/>
      <x:c r="G36" s="20"/>
      <x:c r="H36" s="20"/>
      <x:c r="I36" s="20"/>
      <x:c r="J36" s="20"/>
      <x:c r="K36" s="20"/>
      <x:c r="L36" s="21"/>
    </x:row>
    <x:row r="37">
      <x:c r="A37" s="19"/>
      <x:c r="B37" s="20"/>
      <x:c r="C37" s="25"/>
      <x:c r="D37" s="20"/>
      <x:c r="E37" s="20"/>
      <x:c r="F37" s="20"/>
      <x:c r="G37" s="20"/>
      <x:c r="H37" s="20"/>
      <x:c r="I37" s="20"/>
      <x:c r="J37" s="20"/>
      <x:c r="K37" s="20"/>
      <x:c r="L37" s="21"/>
    </x:row>
    <x:row r="38">
      <x:c r="A38" s="19"/>
      <x:c r="B38" s="20"/>
      <x:c r="C38" s="25"/>
      <x:c r="D38" s="20"/>
      <x:c r="E38" s="20"/>
      <x:c r="F38" s="20"/>
      <x:c r="G38" s="20"/>
      <x:c r="H38" s="20"/>
      <x:c r="I38" s="20"/>
      <x:c r="J38" s="20"/>
      <x:c r="K38" s="20"/>
      <x:c r="L38" s="21"/>
    </x:row>
    <x:row r="39">
      <x:c r="A39" s="19"/>
      <x:c r="B39" s="20"/>
      <x:c r="C39" s="25"/>
      <x:c r="D39" s="20"/>
      <x:c r="E39" s="20"/>
      <x:c r="F39" s="20"/>
      <x:c r="G39" s="20"/>
      <x:c r="H39" s="20"/>
      <x:c r="I39" s="20"/>
      <x:c r="J39" s="20"/>
      <x:c r="K39" s="20"/>
      <x:c r="L39" s="21"/>
    </x:row>
    <x:row r="40">
      <x:c r="A40" s="19"/>
      <x:c r="B40" s="20"/>
      <x:c r="C40" s="25"/>
      <x:c r="D40" s="20"/>
      <x:c r="E40" s="20"/>
      <x:c r="F40" s="20"/>
      <x:c r="G40" s="20"/>
      <x:c r="H40" s="20"/>
      <x:c r="I40" s="20"/>
      <x:c r="J40" s="20"/>
      <x:c r="K40" s="20"/>
      <x:c r="L40" s="21"/>
    </x:row>
    <x:row r="41">
      <x:c r="A41" s="19"/>
      <x:c r="B41" s="20"/>
      <x:c r="C41" s="25"/>
      <x:c r="D41" s="20"/>
      <x:c r="E41" s="20"/>
      <x:c r="F41" s="20"/>
      <x:c r="G41" s="20"/>
      <x:c r="H41" s="20"/>
      <x:c r="I41" s="20"/>
      <x:c r="J41" s="20"/>
      <x:c r="K41" s="20"/>
      <x:c r="L41" s="21"/>
    </x:row>
    <x:row r="42">
      <x:c r="A42" s="19"/>
      <x:c r="B42" s="20"/>
      <x:c r="C42" s="25"/>
      <x:c r="D42" s="20"/>
      <x:c r="E42" s="20"/>
      <x:c r="F42" s="20"/>
      <x:c r="G42" s="20"/>
      <x:c r="H42" s="20"/>
      <x:c r="I42" s="20"/>
      <x:c r="J42" s="20"/>
      <x:c r="K42" s="20"/>
      <x:c r="L42" s="21"/>
    </x:row>
    <x:row r="43">
      <x:c r="A43" s="19"/>
      <x:c r="B43" s="20"/>
      <x:c r="C43" s="25"/>
      <x:c r="D43" s="20"/>
      <x:c r="E43" s="20"/>
      <x:c r="F43" s="20"/>
      <x:c r="G43" s="20"/>
      <x:c r="H43" s="20"/>
      <x:c r="I43" s="20"/>
      <x:c r="J43" s="20"/>
      <x:c r="K43" s="20"/>
      <x:c r="L43" s="21"/>
    </x:row>
    <x:row r="44">
      <x:c r="A44" s="19"/>
      <x:c r="B44" s="20"/>
      <x:c r="C44" s="25"/>
      <x:c r="D44" s="20"/>
      <x:c r="E44" s="20"/>
      <x:c r="F44" s="20"/>
      <x:c r="G44" s="20"/>
      <x:c r="H44" s="20"/>
      <x:c r="I44" s="20"/>
      <x:c r="J44" s="20"/>
      <x:c r="K44" s="20"/>
      <x:c r="L44" s="21"/>
    </x:row>
    <x:row r="45">
      <x:c r="A45" s="19"/>
      <x:c r="B45" s="20"/>
      <x:c r="C45" s="25"/>
      <x:c r="D45" s="20"/>
      <x:c r="E45" s="20"/>
      <x:c r="F45" s="20"/>
      <x:c r="G45" s="20"/>
      <x:c r="H45" s="20"/>
      <x:c r="I45" s="20"/>
      <x:c r="J45" s="20"/>
      <x:c r="K45" s="20"/>
      <x:c r="L45" s="21"/>
    </x:row>
    <x:row r="46">
      <x:c r="A46" s="19"/>
      <x:c r="B46" s="20"/>
      <x:c r="C46" s="25"/>
      <x:c r="D46" s="20"/>
      <x:c r="E46" s="20"/>
      <x:c r="F46" s="20"/>
      <x:c r="G46" s="20"/>
      <x:c r="H46" s="20"/>
      <x:c r="I46" s="20"/>
      <x:c r="J46" s="20"/>
      <x:c r="K46" s="20"/>
      <x:c r="L46" s="21"/>
    </x:row>
    <x:row r="47">
      <x:c r="A47" s="19"/>
      <x:c r="B47" s="20"/>
      <x:c r="C47" s="25"/>
      <x:c r="D47" s="20"/>
      <x:c r="E47" s="20"/>
      <x:c r="F47" s="20"/>
      <x:c r="G47" s="20"/>
      <x:c r="H47" s="20"/>
      <x:c r="I47" s="20"/>
      <x:c r="J47" s="20"/>
      <x:c r="K47" s="20"/>
      <x:c r="L47" s="21"/>
    </x:row>
    <x:row r="48">
      <x:c r="A48" s="19"/>
      <x:c r="B48" s="20"/>
      <x:c r="C48" s="25"/>
      <x:c r="D48" s="20"/>
      <x:c r="E48" s="20"/>
      <x:c r="F48" s="20"/>
      <x:c r="G48" s="20"/>
      <x:c r="H48" s="20"/>
      <x:c r="I48" s="20"/>
      <x:c r="J48" s="20"/>
      <x:c r="K48" s="20"/>
      <x:c r="L48" s="21"/>
    </x:row>
    <x:row r="49">
      <x:c r="A49" s="19"/>
      <x:c r="B49" s="20"/>
      <x:c r="C49" s="25"/>
      <x:c r="D49" s="20"/>
      <x:c r="E49" s="20"/>
      <x:c r="F49" s="20"/>
      <x:c r="G49" s="20"/>
      <x:c r="H49" s="20"/>
      <x:c r="I49" s="20"/>
      <x:c r="J49" s="20"/>
      <x:c r="K49" s="20"/>
      <x:c r="L49" s="21"/>
    </x:row>
    <x:row r="50">
      <x:c r="A50" s="19"/>
      <x:c r="B50" s="20"/>
      <x:c r="C50" s="25"/>
      <x:c r="D50" s="20"/>
      <x:c r="E50" s="20"/>
      <x:c r="F50" s="20"/>
      <x:c r="G50" s="20"/>
      <x:c r="H50" s="20"/>
      <x:c r="I50" s="20"/>
      <x:c r="J50" s="20"/>
      <x:c r="K50" s="20"/>
      <x:c r="L50" s="21"/>
    </x:row>
    <x:row r="51">
      <x:c r="A51" s="19"/>
      <x:c r="B51" s="20"/>
      <x:c r="C51" s="25"/>
      <x:c r="D51" s="20"/>
      <x:c r="E51" s="20"/>
      <x:c r="F51" s="20"/>
      <x:c r="G51" s="20"/>
      <x:c r="H51" s="20"/>
      <x:c r="I51" s="20"/>
      <x:c r="J51" s="20"/>
      <x:c r="K51" s="20"/>
      <x:c r="L51" s="21"/>
    </x:row>
    <x:row r="52">
      <x:c r="A52" s="19"/>
      <x:c r="B52" s="20"/>
      <x:c r="C52" s="25"/>
      <x:c r="D52" s="20"/>
      <x:c r="E52" s="20"/>
      <x:c r="F52" s="20"/>
      <x:c r="G52" s="20"/>
      <x:c r="H52" s="20"/>
      <x:c r="I52" s="20"/>
      <x:c r="J52" s="20"/>
      <x:c r="K52" s="20"/>
      <x:c r="L52" s="21"/>
    </x:row>
    <x:row r="53">
      <x:c r="A53" s="19"/>
      <x:c r="B53" s="20"/>
      <x:c r="C53" s="25"/>
      <x:c r="D53" s="20"/>
      <x:c r="E53" s="20"/>
      <x:c r="F53" s="20"/>
      <x:c r="G53" s="20"/>
      <x:c r="H53" s="20"/>
      <x:c r="I53" s="20"/>
      <x:c r="J53" s="20"/>
      <x:c r="K53" s="20"/>
      <x:c r="L53" s="21"/>
    </x:row>
    <x:row r="54">
      <x:c r="A54" s="19"/>
      <x:c r="B54" s="20"/>
      <x:c r="C54" s="25"/>
      <x:c r="D54" s="20"/>
      <x:c r="E54" s="20"/>
      <x:c r="F54" s="20"/>
      <x:c r="G54" s="20"/>
      <x:c r="H54" s="20"/>
      <x:c r="I54" s="20"/>
      <x:c r="J54" s="20"/>
      <x:c r="K54" s="20"/>
      <x:c r="L54" s="21"/>
    </x:row>
    <x:row r="55">
      <x:c r="A55" s="19"/>
      <x:c r="B55" s="20"/>
      <x:c r="C55" s="25"/>
      <x:c r="D55" s="20"/>
      <x:c r="E55" s="20"/>
      <x:c r="F55" s="20"/>
      <x:c r="G55" s="20"/>
      <x:c r="H55" s="20"/>
      <x:c r="I55" s="20"/>
      <x:c r="J55" s="20"/>
      <x:c r="K55" s="20"/>
      <x:c r="L55" s="21"/>
    </x:row>
    <x:row r="56">
      <x:c r="A56" s="19"/>
      <x:c r="B56" s="20"/>
      <x:c r="C56" s="25"/>
      <x:c r="D56" s="20"/>
      <x:c r="E56" s="20"/>
      <x:c r="F56" s="20"/>
      <x:c r="G56" s="20"/>
      <x:c r="H56" s="20"/>
      <x:c r="I56" s="20"/>
      <x:c r="J56" s="20"/>
      <x:c r="K56" s="20"/>
      <x:c r="L56" s="21"/>
    </x:row>
    <x:row r="57">
      <x:c r="A57" s="19"/>
      <x:c r="B57" s="20"/>
      <x:c r="C57" s="25"/>
      <x:c r="D57" s="20"/>
      <x:c r="E57" s="20"/>
      <x:c r="F57" s="20"/>
      <x:c r="G57" s="20"/>
      <x:c r="H57" s="20"/>
      <x:c r="I57" s="20"/>
      <x:c r="J57" s="20"/>
      <x:c r="K57" s="20"/>
      <x:c r="L57" s="21"/>
    </x:row>
    <x:row r="58">
      <x:c r="A58" s="19"/>
      <x:c r="B58" s="20"/>
      <x:c r="C58" s="25"/>
      <x:c r="D58" s="20"/>
      <x:c r="E58" s="20"/>
      <x:c r="F58" s="20"/>
      <x:c r="G58" s="20"/>
      <x:c r="H58" s="20"/>
      <x:c r="I58" s="20"/>
      <x:c r="J58" s="20"/>
      <x:c r="K58" s="20"/>
      <x:c r="L58" s="21"/>
    </x:row>
    <x:row r="59">
      <x:c r="A59" s="19"/>
      <x:c r="B59" s="20"/>
      <x:c r="C59" s="25"/>
      <x:c r="D59" s="20"/>
      <x:c r="E59" s="20"/>
      <x:c r="F59" s="20"/>
      <x:c r="G59" s="20"/>
      <x:c r="H59" s="20"/>
      <x:c r="I59" s="20"/>
      <x:c r="J59" s="20"/>
      <x:c r="K59" s="20"/>
      <x:c r="L59" s="21"/>
    </x:row>
    <x:row r="60">
      <x:c r="A60" s="19"/>
      <x:c r="B60" s="20"/>
      <x:c r="C60" s="25"/>
      <x:c r="D60" s="20"/>
      <x:c r="E60" s="20"/>
      <x:c r="F60" s="20"/>
      <x:c r="G60" s="20"/>
      <x:c r="H60" s="20"/>
      <x:c r="I60" s="20"/>
      <x:c r="J60" s="20"/>
      <x:c r="K60" s="20"/>
      <x:c r="L60" s="21"/>
    </x:row>
    <x:row r="61">
      <x:c r="A61" s="19"/>
      <x:c r="B61" s="20"/>
      <x:c r="C61" s="25"/>
      <x:c r="D61" s="20"/>
      <x:c r="E61" s="20"/>
      <x:c r="F61" s="20"/>
      <x:c r="G61" s="20"/>
      <x:c r="H61" s="20"/>
      <x:c r="I61" s="20"/>
      <x:c r="J61" s="20"/>
      <x:c r="K61" s="20"/>
      <x:c r="L61" s="21"/>
    </x:row>
    <x:row r="62">
      <x:c r="A62" s="19"/>
      <x:c r="B62" s="20"/>
      <x:c r="C62" s="25"/>
      <x:c r="D62" s="20"/>
      <x:c r="E62" s="20"/>
      <x:c r="F62" s="20"/>
      <x:c r="G62" s="20"/>
      <x:c r="H62" s="20"/>
      <x:c r="I62" s="20"/>
      <x:c r="J62" s="20"/>
      <x:c r="K62" s="20"/>
      <x:c r="L62" s="21"/>
    </x:row>
    <x:row r="63">
      <x:c r="A63" s="19"/>
      <x:c r="B63" s="20"/>
      <x:c r="C63" s="25"/>
      <x:c r="D63" s="20"/>
      <x:c r="E63" s="20"/>
      <x:c r="F63" s="20"/>
      <x:c r="G63" s="20"/>
      <x:c r="H63" s="20"/>
      <x:c r="I63" s="20"/>
      <x:c r="J63" s="20"/>
      <x:c r="K63" s="20"/>
      <x:c r="L63" s="21"/>
    </x:row>
    <x:row r="64">
      <x:c r="A64" s="19"/>
      <x:c r="B64" s="20"/>
      <x:c r="C64" s="25"/>
      <x:c r="D64" s="20"/>
      <x:c r="E64" s="20"/>
      <x:c r="F64" s="20"/>
      <x:c r="G64" s="20"/>
      <x:c r="H64" s="20"/>
      <x:c r="I64" s="20"/>
      <x:c r="J64" s="20"/>
      <x:c r="K64" s="20"/>
      <x:c r="L64" s="21"/>
    </x:row>
    <x:row r="65">
      <x:c r="A65" s="19"/>
      <x:c r="B65" s="20"/>
      <x:c r="C65" s="25"/>
      <x:c r="D65" s="20"/>
      <x:c r="E65" s="20"/>
      <x:c r="F65" s="20"/>
      <x:c r="G65" s="20"/>
      <x:c r="H65" s="20"/>
      <x:c r="I65" s="20"/>
      <x:c r="J65" s="20"/>
      <x:c r="K65" s="20"/>
      <x:c r="L65" s="21"/>
    </x:row>
    <x:row r="66">
      <x:c r="A66" s="19"/>
      <x:c r="B66" s="20"/>
      <x:c r="C66" s="25"/>
      <x:c r="D66" s="20"/>
      <x:c r="E66" s="20"/>
      <x:c r="F66" s="20"/>
      <x:c r="G66" s="20"/>
      <x:c r="H66" s="20"/>
      <x:c r="I66" s="20"/>
      <x:c r="J66" s="20"/>
      <x:c r="K66" s="20"/>
      <x:c r="L66" s="21"/>
    </x:row>
    <x:row r="67">
      <x:c r="A67" s="19"/>
      <x:c r="B67" s="20"/>
      <x:c r="C67" s="25"/>
      <x:c r="D67" s="20"/>
      <x:c r="E67" s="20"/>
      <x:c r="F67" s="20"/>
      <x:c r="G67" s="20"/>
      <x:c r="H67" s="20"/>
      <x:c r="I67" s="20"/>
      <x:c r="J67" s="20"/>
      <x:c r="K67" s="20"/>
      <x:c r="L67" s="21"/>
    </x:row>
    <x:row r="68">
      <x:c r="A68" s="19"/>
      <x:c r="B68" s="20"/>
      <x:c r="C68" s="25"/>
      <x:c r="D68" s="20"/>
      <x:c r="E68" s="20"/>
      <x:c r="F68" s="20"/>
      <x:c r="G68" s="20"/>
      <x:c r="H68" s="20"/>
      <x:c r="I68" s="20"/>
      <x:c r="J68" s="20"/>
      <x:c r="K68" s="20"/>
      <x:c r="L68" s="21"/>
    </x:row>
    <x:row r="69">
      <x:c r="A69" s="19"/>
      <x:c r="B69" s="20"/>
      <x:c r="C69" s="25"/>
      <x:c r="D69" s="20"/>
      <x:c r="E69" s="20"/>
      <x:c r="F69" s="20"/>
      <x:c r="G69" s="20"/>
      <x:c r="H69" s="20"/>
      <x:c r="I69" s="20"/>
      <x:c r="J69" s="20"/>
      <x:c r="K69" s="20"/>
      <x:c r="L69" s="21"/>
    </x:row>
    <x:row r="70">
      <x:c r="A70" s="19"/>
      <x:c r="B70" s="20"/>
      <x:c r="C70" s="25"/>
      <x:c r="D70" s="20"/>
      <x:c r="E70" s="20"/>
      <x:c r="F70" s="20"/>
      <x:c r="G70" s="20"/>
      <x:c r="H70" s="20"/>
      <x:c r="I70" s="20"/>
      <x:c r="J70" s="20"/>
      <x:c r="K70" s="20"/>
      <x:c r="L70" s="21"/>
    </x:row>
    <x:row r="71">
      <x:c r="A71" s="19"/>
      <x:c r="B71" s="20"/>
      <x:c r="C71" s="25"/>
      <x:c r="D71" s="20"/>
      <x:c r="E71" s="20"/>
      <x:c r="F71" s="20"/>
      <x:c r="G71" s="20"/>
      <x:c r="H71" s="20"/>
      <x:c r="I71" s="20"/>
      <x:c r="J71" s="20"/>
      <x:c r="K71" s="20"/>
      <x:c r="L71" s="21"/>
    </x:row>
    <x:row r="72">
      <x:c r="A72" s="19"/>
      <x:c r="B72" s="20"/>
      <x:c r="C72" s="25"/>
      <x:c r="D72" s="20"/>
      <x:c r="E72" s="20"/>
      <x:c r="F72" s="20"/>
      <x:c r="G72" s="20"/>
      <x:c r="H72" s="20"/>
      <x:c r="I72" s="20"/>
      <x:c r="J72" s="20"/>
      <x:c r="K72" s="20"/>
      <x:c r="L72" s="21"/>
    </x:row>
    <x:row r="73">
      <x:c r="A73" s="19"/>
      <x:c r="B73" s="20"/>
      <x:c r="C73" s="25"/>
      <x:c r="D73" s="20"/>
      <x:c r="E73" s="20"/>
      <x:c r="F73" s="20"/>
      <x:c r="G73" s="20"/>
      <x:c r="H73" s="20"/>
      <x:c r="I73" s="20"/>
      <x:c r="J73" s="20"/>
      <x:c r="K73" s="20"/>
      <x:c r="L73" s="21"/>
    </x:row>
    <x:row r="74">
      <x:c r="A74" s="19"/>
      <x:c r="B74" s="20"/>
      <x:c r="C74" s="25"/>
      <x:c r="D74" s="20"/>
      <x:c r="E74" s="20"/>
      <x:c r="F74" s="20"/>
      <x:c r="G74" s="20"/>
      <x:c r="H74" s="20"/>
      <x:c r="I74" s="20"/>
      <x:c r="J74" s="20"/>
      <x:c r="K74" s="20"/>
      <x:c r="L74" s="21"/>
    </x:row>
    <x:row r="75">
      <x:c r="A75" s="19"/>
      <x:c r="B75" s="20"/>
      <x:c r="C75" s="25"/>
      <x:c r="D75" s="20"/>
      <x:c r="E75" s="20"/>
      <x:c r="F75" s="20"/>
      <x:c r="G75" s="20"/>
      <x:c r="H75" s="20"/>
      <x:c r="I75" s="20"/>
      <x:c r="J75" s="20"/>
      <x:c r="K75" s="20"/>
      <x:c r="L75" s="21"/>
    </x:row>
    <x:row r="76">
      <x:c r="A76" s="19"/>
      <x:c r="B76" s="20"/>
      <x:c r="C76" s="25"/>
      <x:c r="D76" s="20"/>
      <x:c r="E76" s="20"/>
      <x:c r="F76" s="20"/>
      <x:c r="G76" s="20"/>
      <x:c r="H76" s="20"/>
      <x:c r="I76" s="20"/>
      <x:c r="J76" s="20"/>
      <x:c r="K76" s="20"/>
      <x:c r="L76" s="21"/>
    </x:row>
    <x:row r="77">
      <x:c r="A77" s="19"/>
      <x:c r="B77" s="20"/>
      <x:c r="C77" s="25"/>
      <x:c r="D77" s="20"/>
      <x:c r="E77" s="20"/>
      <x:c r="F77" s="20"/>
      <x:c r="G77" s="20"/>
      <x:c r="H77" s="20"/>
      <x:c r="I77" s="20"/>
      <x:c r="J77" s="20"/>
      <x:c r="K77" s="20"/>
      <x:c r="L77" s="21"/>
    </x:row>
    <x:row r="78">
      <x:c r="A78" s="19"/>
      <x:c r="B78" s="20"/>
      <x:c r="C78" s="25"/>
      <x:c r="D78" s="20"/>
      <x:c r="E78" s="20"/>
      <x:c r="F78" s="20"/>
      <x:c r="G78" s="20"/>
      <x:c r="H78" s="20"/>
      <x:c r="I78" s="20"/>
      <x:c r="J78" s="20"/>
      <x:c r="K78" s="20"/>
      <x:c r="L78" s="21"/>
    </x:row>
    <x:row r="79">
      <x:c r="A79" s="19"/>
      <x:c r="B79" s="20"/>
      <x:c r="C79" s="25"/>
      <x:c r="D79" s="20"/>
      <x:c r="E79" s="20"/>
      <x:c r="F79" s="20"/>
      <x:c r="G79" s="20"/>
      <x:c r="H79" s="20"/>
      <x:c r="I79" s="20"/>
      <x:c r="J79" s="20"/>
      <x:c r="K79" s="20"/>
      <x:c r="L79" s="21"/>
    </x:row>
    <x:row r="80">
      <x:c r="A80" s="19"/>
      <x:c r="B80" s="20"/>
      <x:c r="C80" s="25"/>
      <x:c r="D80" s="20"/>
      <x:c r="E80" s="20"/>
      <x:c r="F80" s="20"/>
      <x:c r="G80" s="20"/>
      <x:c r="H80" s="20"/>
      <x:c r="I80" s="20"/>
      <x:c r="J80" s="20"/>
      <x:c r="K80" s="20"/>
      <x:c r="L80" s="21"/>
    </x:row>
    <x:row r="81">
      <x:c r="A81" s="19"/>
      <x:c r="B81" s="20"/>
      <x:c r="C81" s="25"/>
      <x:c r="D81" s="20"/>
      <x:c r="E81" s="20"/>
      <x:c r="F81" s="20"/>
      <x:c r="G81" s="20"/>
      <x:c r="H81" s="20"/>
      <x:c r="I81" s="20"/>
      <x:c r="J81" s="20"/>
      <x:c r="K81" s="20"/>
      <x:c r="L81" s="21"/>
    </x:row>
    <x:row r="82">
      <x:c r="A82" s="19"/>
      <x:c r="B82" s="20"/>
      <x:c r="C82" s="25"/>
      <x:c r="D82" s="20"/>
      <x:c r="E82" s="20"/>
      <x:c r="F82" s="20"/>
      <x:c r="G82" s="20"/>
      <x:c r="H82" s="20"/>
      <x:c r="I82" s="20"/>
      <x:c r="J82" s="20"/>
      <x:c r="K82" s="20"/>
      <x:c r="L82" s="21"/>
    </x:row>
    <x:row r="83">
      <x:c r="A83" s="19"/>
      <x:c r="B83" s="20"/>
      <x:c r="C83" s="25"/>
      <x:c r="D83" s="20"/>
      <x:c r="E83" s="20"/>
      <x:c r="F83" s="20"/>
      <x:c r="G83" s="20"/>
      <x:c r="H83" s="20"/>
      <x:c r="I83" s="20"/>
      <x:c r="J83" s="20"/>
      <x:c r="K83" s="20"/>
      <x:c r="L83" s="21"/>
    </x:row>
    <x:row r="84">
      <x:c r="A84" s="19"/>
      <x:c r="B84" s="20"/>
      <x:c r="C84" s="25"/>
      <x:c r="D84" s="20"/>
      <x:c r="E84" s="20"/>
      <x:c r="F84" s="20"/>
      <x:c r="G84" s="20"/>
      <x:c r="H84" s="20"/>
      <x:c r="I84" s="20"/>
      <x:c r="J84" s="20"/>
      <x:c r="K84" s="20"/>
      <x:c r="L84" s="21"/>
    </x:row>
    <x:row r="85">
      <x:c r="A85" s="19"/>
      <x:c r="B85" s="20"/>
      <x:c r="C85" s="25"/>
      <x:c r="D85" s="20"/>
      <x:c r="E85" s="20"/>
      <x:c r="F85" s="20"/>
      <x:c r="G85" s="20"/>
      <x:c r="H85" s="20"/>
      <x:c r="I85" s="20"/>
      <x:c r="J85" s="20"/>
      <x:c r="K85" s="20"/>
      <x:c r="L85" s="21"/>
    </x:row>
    <x:row r="86">
      <x:c r="A86" s="19"/>
      <x:c r="B86" s="20"/>
      <x:c r="C86" s="25"/>
      <x:c r="D86" s="20"/>
      <x:c r="E86" s="20"/>
      <x:c r="F86" s="20"/>
      <x:c r="G86" s="20"/>
      <x:c r="H86" s="20"/>
      <x:c r="I86" s="20"/>
      <x:c r="J86" s="20"/>
      <x:c r="K86" s="20"/>
      <x:c r="L86" s="21"/>
    </x:row>
    <x:row r="87">
      <x:c r="A87" s="19"/>
      <x:c r="B87" s="20"/>
      <x:c r="C87" s="25"/>
      <x:c r="D87" s="20"/>
      <x:c r="E87" s="20"/>
      <x:c r="F87" s="20"/>
      <x:c r="G87" s="20"/>
      <x:c r="H87" s="20"/>
      <x:c r="I87" s="20"/>
      <x:c r="J87" s="20"/>
      <x:c r="K87" s="20"/>
      <x:c r="L87" s="21"/>
    </x:row>
    <x:row r="88">
      <x:c r="A88" s="19"/>
      <x:c r="B88" s="20"/>
      <x:c r="C88" s="25"/>
      <x:c r="D88" s="20"/>
      <x:c r="E88" s="20"/>
      <x:c r="F88" s="20"/>
      <x:c r="G88" s="20"/>
      <x:c r="H88" s="20"/>
      <x:c r="I88" s="20"/>
      <x:c r="J88" s="20"/>
      <x:c r="K88" s="20"/>
      <x:c r="L88" s="21"/>
    </x:row>
    <x:row r="89">
      <x:c r="A89" s="19"/>
      <x:c r="B89" s="20"/>
      <x:c r="C89" s="25"/>
      <x:c r="D89" s="20"/>
      <x:c r="E89" s="20"/>
      <x:c r="F89" s="20"/>
      <x:c r="G89" s="20"/>
      <x:c r="H89" s="20"/>
      <x:c r="I89" s="20"/>
      <x:c r="J89" s="20"/>
      <x:c r="K89" s="20"/>
      <x:c r="L89" s="21"/>
    </x:row>
    <x:row r="90">
      <x:c r="A90" s="19"/>
      <x:c r="B90" s="20"/>
      <x:c r="C90" s="25"/>
      <x:c r="D90" s="20"/>
      <x:c r="E90" s="20"/>
      <x:c r="F90" s="20"/>
      <x:c r="G90" s="20"/>
      <x:c r="H90" s="20"/>
      <x:c r="I90" s="20"/>
      <x:c r="J90" s="20"/>
      <x:c r="K90" s="20"/>
      <x:c r="L90" s="21"/>
    </x:row>
    <x:row r="91">
      <x:c r="A91" s="19"/>
      <x:c r="B91" s="20"/>
      <x:c r="C91" s="25"/>
      <x:c r="D91" s="20"/>
      <x:c r="E91" s="20"/>
      <x:c r="F91" s="20"/>
      <x:c r="G91" s="20"/>
      <x:c r="H91" s="20"/>
      <x:c r="I91" s="20"/>
      <x:c r="J91" s="20"/>
      <x:c r="K91" s="20"/>
      <x:c r="L91" s="21"/>
    </x:row>
    <x:row r="92">
      <x:c r="A92" s="19"/>
      <x:c r="B92" s="20"/>
      <x:c r="C92" s="25"/>
      <x:c r="D92" s="20"/>
      <x:c r="E92" s="20"/>
      <x:c r="F92" s="20"/>
      <x:c r="G92" s="20"/>
      <x:c r="H92" s="20"/>
      <x:c r="I92" s="20"/>
      <x:c r="J92" s="20"/>
      <x:c r="K92" s="20"/>
      <x:c r="L92" s="21"/>
    </x:row>
    <x:row r="93">
      <x:c r="A93" s="19"/>
      <x:c r="B93" s="20"/>
      <x:c r="C93" s="25"/>
      <x:c r="D93" s="20"/>
      <x:c r="E93" s="20"/>
      <x:c r="F93" s="20"/>
      <x:c r="G93" s="20"/>
      <x:c r="H93" s="20"/>
      <x:c r="I93" s="20"/>
      <x:c r="J93" s="20"/>
      <x:c r="K93" s="20"/>
      <x:c r="L93" s="21"/>
    </x:row>
    <x:row r="94">
      <x:c r="A94" s="19"/>
      <x:c r="B94" s="20"/>
      <x:c r="C94" s="25"/>
      <x:c r="D94" s="20"/>
      <x:c r="E94" s="20"/>
      <x:c r="F94" s="20"/>
      <x:c r="G94" s="20"/>
      <x:c r="H94" s="20"/>
      <x:c r="I94" s="20"/>
      <x:c r="J94" s="20"/>
      <x:c r="K94" s="20"/>
      <x:c r="L94" s="21"/>
    </x:row>
    <x:row r="95">
      <x:c r="A95" s="19"/>
      <x:c r="B95" s="20"/>
      <x:c r="C95" s="25"/>
      <x:c r="D95" s="20"/>
      <x:c r="E95" s="20"/>
      <x:c r="F95" s="20"/>
      <x:c r="G95" s="20"/>
      <x:c r="H95" s="20"/>
      <x:c r="I95" s="20"/>
      <x:c r="J95" s="20"/>
      <x:c r="K95" s="20"/>
      <x:c r="L95" s="21"/>
    </x:row>
    <x:row r="96">
      <x:c r="A96" s="19"/>
      <x:c r="B96" s="20"/>
      <x:c r="C96" s="25"/>
      <x:c r="D96" s="20"/>
      <x:c r="E96" s="20"/>
      <x:c r="F96" s="20"/>
      <x:c r="G96" s="20"/>
      <x:c r="H96" s="20"/>
      <x:c r="I96" s="20"/>
      <x:c r="J96" s="20"/>
      <x:c r="K96" s="20"/>
      <x:c r="L96" s="21"/>
    </x:row>
    <x:row r="97">
      <x:c r="A97" s="19"/>
      <x:c r="B97" s="20"/>
      <x:c r="C97" s="25"/>
      <x:c r="D97" s="20"/>
      <x:c r="E97" s="20"/>
      <x:c r="F97" s="20"/>
      <x:c r="G97" s="20"/>
      <x:c r="H97" s="20"/>
      <x:c r="I97" s="20"/>
      <x:c r="J97" s="20"/>
      <x:c r="K97" s="20"/>
      <x:c r="L97" s="21"/>
    </x:row>
    <x:row r="98">
      <x:c r="A98" s="19"/>
      <x:c r="B98" s="20"/>
      <x:c r="C98" s="25"/>
      <x:c r="D98" s="20"/>
      <x:c r="E98" s="20"/>
      <x:c r="F98" s="20"/>
      <x:c r="G98" s="20"/>
      <x:c r="H98" s="20"/>
      <x:c r="I98" s="20"/>
      <x:c r="J98" s="20"/>
      <x:c r="K98" s="20"/>
      <x:c r="L98" s="21"/>
    </x:row>
    <x:row r="99">
      <x:c r="A99" s="19"/>
      <x:c r="B99" s="20"/>
      <x:c r="C99" s="25"/>
      <x:c r="D99" s="20"/>
      <x:c r="E99" s="20"/>
      <x:c r="F99" s="20"/>
      <x:c r="G99" s="20"/>
      <x:c r="H99" s="20"/>
      <x:c r="I99" s="20"/>
      <x:c r="J99" s="20"/>
      <x:c r="K99" s="20"/>
      <x:c r="L99" s="21"/>
    </x:row>
    <x:row r="100">
      <x:c r="A100" s="19"/>
      <x:c r="B100" s="20"/>
      <x:c r="C100" s="25"/>
      <x:c r="D100" s="20"/>
      <x:c r="E100" s="20"/>
      <x:c r="F100" s="20"/>
      <x:c r="G100" s="20"/>
      <x:c r="H100" s="20"/>
      <x:c r="I100" s="20"/>
      <x:c r="J100" s="20"/>
      <x:c r="K100" s="20"/>
      <x:c r="L100" s="21"/>
    </x:row>
    <x:row r="101">
      <x:c r="A101" s="19"/>
      <x:c r="B101" s="20"/>
      <x:c r="C101" s="25"/>
      <x:c r="D101" s="20"/>
      <x:c r="E101" s="20"/>
      <x:c r="F101" s="20"/>
      <x:c r="G101" s="20"/>
      <x:c r="H101" s="20"/>
      <x:c r="I101" s="20"/>
      <x:c r="J101" s="20"/>
      <x:c r="K101" s="20"/>
      <x:c r="L101" s="21"/>
    </x:row>
    <x:row r="102">
      <x:c r="A102" s="19"/>
      <x:c r="B102" s="20"/>
      <x:c r="C102" s="25"/>
      <x:c r="D102" s="20"/>
      <x:c r="E102" s="20"/>
      <x:c r="F102" s="20"/>
      <x:c r="G102" s="20"/>
      <x:c r="H102" s="20"/>
      <x:c r="I102" s="20"/>
      <x:c r="J102" s="20"/>
      <x:c r="K102" s="20"/>
      <x:c r="L102" s="21"/>
    </x:row>
    <x:row r="103">
      <x:c r="A103" s="19"/>
      <x:c r="B103" s="20"/>
      <x:c r="C103" s="25"/>
      <x:c r="D103" s="20"/>
      <x:c r="E103" s="20"/>
      <x:c r="F103" s="20"/>
      <x:c r="G103" s="20"/>
      <x:c r="H103" s="20"/>
      <x:c r="I103" s="20"/>
      <x:c r="J103" s="20"/>
      <x:c r="K103" s="20"/>
      <x:c r="L103" s="21"/>
    </x:row>
    <x:row r="104">
      <x:c r="A104" s="19"/>
      <x:c r="B104" s="20"/>
      <x:c r="C104" s="25"/>
      <x:c r="D104" s="20"/>
      <x:c r="E104" s="20"/>
      <x:c r="F104" s="20"/>
      <x:c r="G104" s="20"/>
      <x:c r="H104" s="20"/>
      <x:c r="I104" s="20"/>
      <x:c r="J104" s="20"/>
      <x:c r="K104" s="20"/>
      <x:c r="L104" s="21"/>
    </x:row>
    <x:row r="105">
      <x:c r="A105" s="19"/>
      <x:c r="B105" s="20"/>
      <x:c r="C105" s="25"/>
      <x:c r="D105" s="20"/>
      <x:c r="E105" s="20"/>
      <x:c r="F105" s="20"/>
      <x:c r="G105" s="20"/>
      <x:c r="H105" s="20"/>
      <x:c r="I105" s="20"/>
      <x:c r="J105" s="20"/>
      <x:c r="K105" s="20"/>
      <x:c r="L105" s="21"/>
    </x:row>
    <x:row r="106">
      <x:c r="A106" s="19"/>
      <x:c r="B106" s="20"/>
      <x:c r="C106" s="25"/>
      <x:c r="D106" s="20"/>
      <x:c r="E106" s="20"/>
      <x:c r="F106" s="20"/>
      <x:c r="G106" s="20"/>
      <x:c r="H106" s="20"/>
      <x:c r="I106" s="20"/>
      <x:c r="J106" s="20"/>
      <x:c r="K106" s="20"/>
      <x:c r="L106" s="21"/>
    </x:row>
    <x:row r="107">
      <x:c r="A107" s="19"/>
      <x:c r="B107" s="20"/>
      <x:c r="C107" s="25"/>
      <x:c r="D107" s="20"/>
      <x:c r="E107" s="20"/>
      <x:c r="F107" s="20"/>
      <x:c r="G107" s="20"/>
      <x:c r="H107" s="20"/>
      <x:c r="I107" s="20"/>
      <x:c r="J107" s="20"/>
      <x:c r="K107" s="20"/>
      <x:c r="L107" s="21"/>
    </x:row>
    <x:row r="108">
      <x:c r="A108" s="19"/>
      <x:c r="B108" s="20"/>
      <x:c r="C108" s="25"/>
      <x:c r="D108" s="20"/>
      <x:c r="E108" s="20"/>
      <x:c r="F108" s="20"/>
      <x:c r="G108" s="20"/>
      <x:c r="H108" s="20"/>
      <x:c r="I108" s="20"/>
      <x:c r="J108" s="20"/>
      <x:c r="K108" s="20"/>
      <x:c r="L108" s="21"/>
    </x:row>
    <x:row r="109">
      <x:c r="A109" s="19"/>
      <x:c r="B109" s="20"/>
      <x:c r="C109" s="25"/>
      <x:c r="D109" s="20"/>
      <x:c r="E109" s="20"/>
      <x:c r="F109" s="20"/>
      <x:c r="G109" s="20"/>
      <x:c r="H109" s="20"/>
      <x:c r="I109" s="20"/>
      <x:c r="J109" s="20"/>
      <x:c r="K109" s="20"/>
      <x:c r="L109" s="21"/>
    </x:row>
    <x:row r="110">
      <x:c r="A110" s="19"/>
      <x:c r="B110" s="20"/>
      <x:c r="C110" s="25"/>
      <x:c r="D110" s="20"/>
      <x:c r="E110" s="20"/>
      <x:c r="F110" s="20"/>
      <x:c r="G110" s="20"/>
      <x:c r="H110" s="20"/>
      <x:c r="I110" s="20"/>
      <x:c r="J110" s="20"/>
      <x:c r="K110" s="20"/>
      <x:c r="L110" s="21"/>
    </x:row>
    <x:row r="111">
      <x:c r="A111" s="19"/>
      <x:c r="B111" s="20"/>
      <x:c r="C111" s="25"/>
      <x:c r="D111" s="20"/>
      <x:c r="E111" s="20"/>
      <x:c r="F111" s="20"/>
      <x:c r="G111" s="20"/>
      <x:c r="H111" s="20"/>
      <x:c r="I111" s="20"/>
      <x:c r="J111" s="20"/>
      <x:c r="K111" s="20"/>
      <x:c r="L111" s="21"/>
    </x:row>
    <x:row r="112">
      <x:c r="A112" s="19"/>
      <x:c r="B112" s="20"/>
      <x:c r="C112" s="25"/>
      <x:c r="D112" s="20"/>
      <x:c r="E112" s="20"/>
      <x:c r="F112" s="20"/>
      <x:c r="G112" s="20"/>
      <x:c r="H112" s="20"/>
      <x:c r="I112" s="20"/>
      <x:c r="J112" s="20"/>
      <x:c r="K112" s="20"/>
      <x:c r="L112" s="21"/>
    </x:row>
    <x:row r="113">
      <x:c r="A113" s="19"/>
      <x:c r="B113" s="20"/>
      <x:c r="C113" s="25"/>
      <x:c r="D113" s="20"/>
      <x:c r="E113" s="20"/>
      <x:c r="F113" s="20"/>
      <x:c r="G113" s="20"/>
      <x:c r="H113" s="20"/>
      <x:c r="I113" s="20"/>
      <x:c r="J113" s="20"/>
      <x:c r="K113" s="20"/>
      <x:c r="L113" s="21"/>
    </x:row>
    <x:row r="114">
      <x:c r="A114" s="19"/>
      <x:c r="B114" s="20"/>
      <x:c r="C114" s="25"/>
      <x:c r="D114" s="20"/>
      <x:c r="E114" s="20"/>
      <x:c r="F114" s="20"/>
      <x:c r="G114" s="20"/>
      <x:c r="H114" s="20"/>
      <x:c r="I114" s="20"/>
      <x:c r="J114" s="20"/>
      <x:c r="K114" s="20"/>
      <x:c r="L114" s="21"/>
    </x:row>
    <x:row r="115">
      <x:c r="A115" s="19"/>
      <x:c r="B115" s="20"/>
      <x:c r="C115" s="25"/>
      <x:c r="D115" s="20"/>
      <x:c r="E115" s="20"/>
      <x:c r="F115" s="20"/>
      <x:c r="G115" s="20"/>
      <x:c r="H115" s="20"/>
      <x:c r="I115" s="20"/>
      <x:c r="J115" s="20"/>
      <x:c r="K115" s="20"/>
      <x:c r="L115" s="21"/>
    </x:row>
    <x:row r="116">
      <x:c r="A116" s="19"/>
      <x:c r="B116" s="20"/>
      <x:c r="C116" s="25"/>
      <x:c r="D116" s="20"/>
      <x:c r="E116" s="20"/>
      <x:c r="F116" s="20"/>
      <x:c r="G116" s="20"/>
      <x:c r="H116" s="20"/>
      <x:c r="I116" s="20"/>
      <x:c r="J116" s="20"/>
      <x:c r="K116" s="20"/>
      <x:c r="L116" s="21"/>
    </x:row>
    <x:row r="117">
      <x:c r="A117" s="19"/>
      <x:c r="B117" s="20"/>
      <x:c r="C117" s="25"/>
      <x:c r="D117" s="20"/>
      <x:c r="E117" s="20"/>
      <x:c r="F117" s="20"/>
      <x:c r="G117" s="20"/>
      <x:c r="H117" s="20"/>
      <x:c r="I117" s="20"/>
      <x:c r="J117" s="20"/>
      <x:c r="K117" s="20"/>
      <x:c r="L117" s="21"/>
    </x:row>
    <x:row r="118">
      <x:c r="A118" s="19"/>
      <x:c r="B118" s="20"/>
      <x:c r="C118" s="25"/>
      <x:c r="D118" s="20"/>
      <x:c r="E118" s="20"/>
      <x:c r="F118" s="20"/>
      <x:c r="G118" s="20"/>
      <x:c r="H118" s="20"/>
      <x:c r="I118" s="20"/>
      <x:c r="J118" s="20"/>
      <x:c r="K118" s="20"/>
      <x:c r="L118" s="21"/>
    </x:row>
    <x:row r="119">
      <x:c r="A119" s="19"/>
      <x:c r="B119" s="20"/>
      <x:c r="C119" s="25"/>
      <x:c r="D119" s="20"/>
      <x:c r="E119" s="20"/>
      <x:c r="F119" s="20"/>
      <x:c r="G119" s="20"/>
      <x:c r="H119" s="20"/>
      <x:c r="I119" s="20"/>
      <x:c r="J119" s="20"/>
      <x:c r="K119" s="20"/>
      <x:c r="L119" s="21"/>
    </x:row>
    <x:row r="120">
      <x:c r="A120" s="19"/>
      <x:c r="B120" s="20"/>
      <x:c r="C120" s="25"/>
      <x:c r="D120" s="20"/>
      <x:c r="E120" s="20"/>
      <x:c r="F120" s="20"/>
      <x:c r="G120" s="20"/>
      <x:c r="H120" s="20"/>
      <x:c r="I120" s="20"/>
      <x:c r="J120" s="20"/>
      <x:c r="K120" s="20"/>
      <x:c r="L120" s="21"/>
    </x:row>
    <x:row r="121">
      <x:c r="A121" s="19"/>
      <x:c r="B121" s="20"/>
      <x:c r="C121" s="25"/>
      <x:c r="D121" s="20"/>
      <x:c r="E121" s="20"/>
      <x:c r="F121" s="20"/>
      <x:c r="G121" s="20"/>
      <x:c r="H121" s="20"/>
      <x:c r="I121" s="20"/>
      <x:c r="J121" s="20"/>
      <x:c r="K121" s="20"/>
      <x:c r="L121" s="21"/>
    </x:row>
    <x:row r="122">
      <x:c r="A122" s="19"/>
      <x:c r="B122" s="20"/>
      <x:c r="C122" s="25"/>
      <x:c r="D122" s="20"/>
      <x:c r="E122" s="20"/>
      <x:c r="F122" s="20"/>
      <x:c r="G122" s="20"/>
      <x:c r="H122" s="20"/>
      <x:c r="I122" s="20"/>
      <x:c r="J122" s="20"/>
      <x:c r="K122" s="20"/>
      <x:c r="L122" s="21"/>
    </x:row>
    <x:row r="123">
      <x:c r="A123" s="19"/>
      <x:c r="B123" s="20"/>
      <x:c r="C123" s="25"/>
      <x:c r="D123" s="20"/>
      <x:c r="E123" s="20"/>
      <x:c r="F123" s="20"/>
      <x:c r="G123" s="20"/>
      <x:c r="H123" s="20"/>
      <x:c r="I123" s="20"/>
      <x:c r="J123" s="20"/>
      <x:c r="K123" s="20"/>
      <x:c r="L123" s="21"/>
    </x:row>
    <x:row r="124">
      <x:c r="A124" s="19"/>
      <x:c r="B124" s="20"/>
      <x:c r="C124" s="25"/>
      <x:c r="D124" s="20"/>
      <x:c r="E124" s="20"/>
      <x:c r="F124" s="20"/>
      <x:c r="G124" s="20"/>
      <x:c r="H124" s="20"/>
      <x:c r="I124" s="20"/>
      <x:c r="J124" s="20"/>
      <x:c r="K124" s="20"/>
      <x:c r="L124" s="21"/>
    </x:row>
    <x:row r="125">
      <x:c r="A125" s="19"/>
      <x:c r="B125" s="20"/>
      <x:c r="C125" s="25"/>
      <x:c r="D125" s="20"/>
      <x:c r="E125" s="20"/>
      <x:c r="F125" s="20"/>
      <x:c r="G125" s="20"/>
      <x:c r="H125" s="20"/>
      <x:c r="I125" s="20"/>
      <x:c r="J125" s="20"/>
      <x:c r="K125" s="20"/>
      <x:c r="L125" s="21"/>
    </x:row>
    <x:row r="126">
      <x:c r="A126" s="19"/>
      <x:c r="B126" s="20"/>
      <x:c r="C126" s="25"/>
      <x:c r="D126" s="20"/>
      <x:c r="E126" s="20"/>
      <x:c r="F126" s="20"/>
      <x:c r="G126" s="20"/>
      <x:c r="H126" s="20"/>
      <x:c r="I126" s="20"/>
      <x:c r="J126" s="20"/>
      <x:c r="K126" s="20"/>
      <x:c r="L126" s="21"/>
    </x:row>
    <x:row r="127">
      <x:c r="A127" s="19"/>
      <x:c r="B127" s="20"/>
      <x:c r="C127" s="25"/>
      <x:c r="D127" s="20"/>
      <x:c r="E127" s="20"/>
      <x:c r="F127" s="20"/>
      <x:c r="G127" s="20"/>
      <x:c r="H127" s="20"/>
      <x:c r="I127" s="20"/>
      <x:c r="J127" s="20"/>
      <x:c r="K127" s="20"/>
      <x:c r="L127" s="21"/>
    </x:row>
    <x:row r="128">
      <x:c r="A128" s="19"/>
      <x:c r="B128" s="20"/>
      <x:c r="C128" s="25"/>
      <x:c r="D128" s="20"/>
      <x:c r="E128" s="20"/>
      <x:c r="F128" s="20"/>
      <x:c r="G128" s="20"/>
      <x:c r="H128" s="20"/>
      <x:c r="I128" s="20"/>
      <x:c r="J128" s="20"/>
      <x:c r="K128" s="20"/>
      <x:c r="L128" s="21"/>
    </x:row>
    <x:row r="129">
      <x:c r="A129" s="19"/>
      <x:c r="B129" s="20"/>
      <x:c r="C129" s="25"/>
      <x:c r="D129" s="20"/>
      <x:c r="E129" s="20"/>
      <x:c r="F129" s="20"/>
      <x:c r="G129" s="20"/>
      <x:c r="H129" s="20"/>
      <x:c r="I129" s="20"/>
      <x:c r="J129" s="20"/>
      <x:c r="K129" s="20"/>
      <x:c r="L129" s="21"/>
    </x:row>
    <x:row r="130">
      <x:c r="A130" s="19"/>
      <x:c r="B130" s="20"/>
      <x:c r="C130" s="25"/>
      <x:c r="D130" s="20"/>
      <x:c r="E130" s="20"/>
      <x:c r="F130" s="20"/>
      <x:c r="G130" s="20"/>
      <x:c r="H130" s="20"/>
      <x:c r="I130" s="20"/>
      <x:c r="J130" s="20"/>
      <x:c r="K130" s="20"/>
      <x:c r="L130" s="21"/>
    </x:row>
    <x:row r="131">
      <x:c r="A131" s="19"/>
      <x:c r="B131" s="20"/>
      <x:c r="C131" s="25"/>
      <x:c r="D131" s="20"/>
      <x:c r="E131" s="20"/>
      <x:c r="F131" s="20"/>
      <x:c r="G131" s="20"/>
      <x:c r="H131" s="20"/>
      <x:c r="I131" s="20"/>
      <x:c r="J131" s="20"/>
      <x:c r="K131" s="20"/>
      <x:c r="L131" s="21"/>
    </x:row>
    <x:row r="132">
      <x:c r="A132" s="19"/>
      <x:c r="B132" s="20"/>
      <x:c r="C132" s="25"/>
      <x:c r="D132" s="20"/>
      <x:c r="E132" s="20"/>
      <x:c r="F132" s="20"/>
      <x:c r="G132" s="20"/>
      <x:c r="H132" s="20"/>
      <x:c r="I132" s="20"/>
      <x:c r="J132" s="20"/>
      <x:c r="K132" s="20"/>
      <x:c r="L132" s="21"/>
    </x:row>
    <x:row r="133">
      <x:c r="A133" s="19"/>
      <x:c r="B133" s="20"/>
      <x:c r="C133" s="25"/>
      <x:c r="D133" s="20"/>
      <x:c r="E133" s="20"/>
      <x:c r="F133" s="20"/>
      <x:c r="G133" s="20"/>
      <x:c r="H133" s="20"/>
      <x:c r="I133" s="20"/>
      <x:c r="J133" s="20"/>
      <x:c r="K133" s="20"/>
      <x:c r="L133" s="21"/>
    </x:row>
    <x:row r="134">
      <x:c r="A134" s="19"/>
      <x:c r="B134" s="20"/>
      <x:c r="C134" s="25"/>
      <x:c r="D134" s="20"/>
      <x:c r="E134" s="20"/>
      <x:c r="F134" s="20"/>
      <x:c r="G134" s="20"/>
      <x:c r="H134" s="20"/>
      <x:c r="I134" s="20"/>
      <x:c r="J134" s="20"/>
      <x:c r="K134" s="20"/>
      <x:c r="L134" s="21"/>
    </x:row>
    <x:row r="135">
      <x:c r="A135" s="19"/>
      <x:c r="B135" s="20"/>
      <x:c r="C135" s="25"/>
      <x:c r="D135" s="20"/>
      <x:c r="E135" s="20"/>
      <x:c r="F135" s="20"/>
      <x:c r="G135" s="20"/>
      <x:c r="H135" s="20"/>
      <x:c r="I135" s="20"/>
      <x:c r="J135" s="20"/>
      <x:c r="K135" s="20"/>
      <x:c r="L135" s="21"/>
    </x:row>
    <x:row r="136">
      <x:c r="A136" s="19"/>
      <x:c r="B136" s="20"/>
      <x:c r="C136" s="25"/>
      <x:c r="D136" s="20"/>
      <x:c r="E136" s="20"/>
      <x:c r="F136" s="20"/>
      <x:c r="G136" s="20"/>
      <x:c r="H136" s="20"/>
      <x:c r="I136" s="20"/>
      <x:c r="J136" s="20"/>
      <x:c r="K136" s="20"/>
      <x:c r="L136" s="21"/>
    </x:row>
    <x:row r="137">
      <x:c r="A137" s="19"/>
      <x:c r="B137" s="20"/>
      <x:c r="C137" s="25"/>
      <x:c r="D137" s="20"/>
      <x:c r="E137" s="20"/>
      <x:c r="F137" s="20"/>
      <x:c r="G137" s="20"/>
      <x:c r="H137" s="20"/>
      <x:c r="I137" s="20"/>
      <x:c r="J137" s="20"/>
      <x:c r="K137" s="20"/>
      <x:c r="L137" s="21"/>
    </x:row>
    <x:row r="138">
      <x:c r="A138" s="19"/>
      <x:c r="B138" s="20"/>
      <x:c r="C138" s="25"/>
      <x:c r="D138" s="20"/>
      <x:c r="E138" s="20"/>
      <x:c r="F138" s="20"/>
      <x:c r="G138" s="20"/>
      <x:c r="H138" s="20"/>
      <x:c r="I138" s="20"/>
      <x:c r="J138" s="20"/>
      <x:c r="K138" s="20"/>
      <x:c r="L138" s="21"/>
    </x:row>
    <x:row r="139">
      <x:c r="A139" s="19"/>
      <x:c r="B139" s="20"/>
      <x:c r="C139" s="25"/>
      <x:c r="D139" s="20"/>
      <x:c r="E139" s="20"/>
      <x:c r="F139" s="20"/>
      <x:c r="G139" s="20"/>
      <x:c r="H139" s="20"/>
      <x:c r="I139" s="20"/>
      <x:c r="J139" s="20"/>
      <x:c r="K139" s="20"/>
      <x:c r="L139" s="21"/>
    </x:row>
    <x:row r="140">
      <x:c r="A140" s="19"/>
      <x:c r="B140" s="20"/>
      <x:c r="C140" s="25"/>
      <x:c r="D140" s="20"/>
      <x:c r="E140" s="20"/>
      <x:c r="F140" s="20"/>
      <x:c r="G140" s="20"/>
      <x:c r="H140" s="20"/>
      <x:c r="I140" s="20"/>
      <x:c r="J140" s="20"/>
      <x:c r="K140" s="20"/>
      <x:c r="L140" s="21"/>
    </x:row>
    <x:row r="141">
      <x:c r="A141" s="19"/>
      <x:c r="B141" s="20"/>
      <x:c r="C141" s="25"/>
      <x:c r="D141" s="20"/>
      <x:c r="E141" s="20"/>
      <x:c r="F141" s="20"/>
      <x:c r="G141" s="20"/>
      <x:c r="H141" s="20"/>
      <x:c r="I141" s="20"/>
      <x:c r="J141" s="20"/>
      <x:c r="K141" s="20"/>
      <x:c r="L141" s="21"/>
    </x:row>
    <x:row r="142">
      <x:c r="A142" s="19"/>
      <x:c r="B142" s="20"/>
      <x:c r="C142" s="25"/>
      <x:c r="D142" s="20"/>
      <x:c r="E142" s="20"/>
      <x:c r="F142" s="20"/>
      <x:c r="G142" s="20"/>
      <x:c r="H142" s="20"/>
      <x:c r="I142" s="20"/>
      <x:c r="J142" s="20"/>
      <x:c r="K142" s="20"/>
      <x:c r="L142" s="21"/>
    </x:row>
    <x:row r="143">
      <x:c r="A143" s="19"/>
      <x:c r="B143" s="20"/>
      <x:c r="C143" s="25"/>
      <x:c r="D143" s="20"/>
      <x:c r="E143" s="20"/>
      <x:c r="F143" s="20"/>
      <x:c r="G143" s="20"/>
      <x:c r="H143" s="20"/>
      <x:c r="I143" s="20"/>
      <x:c r="J143" s="20"/>
      <x:c r="K143" s="20"/>
      <x:c r="L143" s="21"/>
    </x:row>
    <x:row r="144">
      <x:c r="A144" s="19"/>
      <x:c r="B144" s="20"/>
      <x:c r="C144" s="25"/>
      <x:c r="D144" s="20"/>
      <x:c r="E144" s="20"/>
      <x:c r="F144" s="20"/>
      <x:c r="G144" s="20"/>
      <x:c r="H144" s="20"/>
      <x:c r="I144" s="20"/>
      <x:c r="J144" s="20"/>
      <x:c r="K144" s="20"/>
      <x:c r="L144" s="21"/>
    </x:row>
    <x:row r="145">
      <x:c r="A145" s="19"/>
      <x:c r="B145" s="20"/>
      <x:c r="C145" s="25"/>
      <x:c r="D145" s="20"/>
      <x:c r="E145" s="20"/>
      <x:c r="F145" s="20"/>
      <x:c r="G145" s="20"/>
      <x:c r="H145" s="20"/>
      <x:c r="I145" s="20"/>
      <x:c r="J145" s="20"/>
      <x:c r="K145" s="20"/>
      <x:c r="L145" s="21"/>
    </x:row>
    <x:row r="146">
      <x:c r="A146" s="19"/>
      <x:c r="B146" s="20"/>
      <x:c r="C146" s="25"/>
      <x:c r="D146" s="20"/>
      <x:c r="E146" s="20"/>
      <x:c r="F146" s="20"/>
      <x:c r="G146" s="20"/>
      <x:c r="H146" s="20"/>
      <x:c r="I146" s="20"/>
      <x:c r="J146" s="20"/>
      <x:c r="K146" s="20"/>
      <x:c r="L146" s="21"/>
    </x:row>
    <x:row r="147">
      <x:c r="A147" s="19"/>
      <x:c r="B147" s="20"/>
      <x:c r="C147" s="25"/>
      <x:c r="D147" s="20"/>
      <x:c r="E147" s="20"/>
      <x:c r="F147" s="20"/>
      <x:c r="G147" s="20"/>
      <x:c r="H147" s="20"/>
      <x:c r="I147" s="20"/>
      <x:c r="J147" s="20"/>
      <x:c r="K147" s="20"/>
      <x:c r="L147" s="21"/>
    </x:row>
    <x:row r="148">
      <x:c r="A148" s="19"/>
      <x:c r="B148" s="20"/>
      <x:c r="C148" s="25"/>
      <x:c r="D148" s="20"/>
      <x:c r="E148" s="20"/>
      <x:c r="F148" s="20"/>
      <x:c r="G148" s="20"/>
      <x:c r="H148" s="20"/>
      <x:c r="I148" s="20"/>
      <x:c r="J148" s="20"/>
      <x:c r="K148" s="20"/>
      <x:c r="L148" s="21"/>
    </x:row>
    <x:row r="149">
      <x:c r="A149" s="19"/>
      <x:c r="B149" s="20"/>
      <x:c r="C149" s="25"/>
      <x:c r="D149" s="20"/>
      <x:c r="E149" s="20"/>
      <x:c r="F149" s="20"/>
      <x:c r="G149" s="20"/>
      <x:c r="H149" s="20"/>
      <x:c r="I149" s="20"/>
      <x:c r="J149" s="20"/>
      <x:c r="K149" s="20"/>
      <x:c r="L149" s="21"/>
    </x:row>
    <x:row r="150">
      <x:c r="A150" s="19"/>
      <x:c r="B150" s="20"/>
      <x:c r="C150" s="25"/>
      <x:c r="D150" s="20"/>
      <x:c r="E150" s="20"/>
      <x:c r="F150" s="20"/>
      <x:c r="G150" s="20"/>
      <x:c r="H150" s="20"/>
      <x:c r="I150" s="20"/>
      <x:c r="J150" s="20"/>
      <x:c r="K150" s="20"/>
      <x:c r="L150" s="21"/>
    </x:row>
    <x:row r="151">
      <x:c r="A151" s="19"/>
      <x:c r="B151" s="20"/>
      <x:c r="C151" s="25"/>
      <x:c r="D151" s="20"/>
      <x:c r="E151" s="20"/>
      <x:c r="F151" s="20"/>
      <x:c r="G151" s="20"/>
      <x:c r="H151" s="20"/>
      <x:c r="I151" s="20"/>
      <x:c r="J151" s="20"/>
      <x:c r="K151" s="20"/>
      <x:c r="L151" s="21"/>
    </x:row>
    <x:row r="152">
      <x:c r="A152" s="19"/>
      <x:c r="B152" s="20"/>
      <x:c r="C152" s="25"/>
      <x:c r="D152" s="20"/>
      <x:c r="E152" s="20"/>
      <x:c r="F152" s="20"/>
      <x:c r="G152" s="20"/>
      <x:c r="H152" s="20"/>
      <x:c r="I152" s="20"/>
      <x:c r="J152" s="20"/>
      <x:c r="K152" s="20"/>
      <x:c r="L152" s="21"/>
    </x:row>
    <x:row r="153">
      <x:c r="A153" s="19"/>
      <x:c r="B153" s="20"/>
      <x:c r="C153" s="25"/>
      <x:c r="D153" s="20"/>
      <x:c r="E153" s="20"/>
      <x:c r="F153" s="20"/>
      <x:c r="G153" s="20"/>
      <x:c r="H153" s="20"/>
      <x:c r="I153" s="20"/>
      <x:c r="J153" s="20"/>
      <x:c r="K153" s="20"/>
      <x:c r="L153" s="21"/>
    </x:row>
    <x:row r="154">
      <x:c r="A154" s="19"/>
      <x:c r="B154" s="20"/>
      <x:c r="C154" s="25"/>
      <x:c r="D154" s="20"/>
      <x:c r="E154" s="20"/>
      <x:c r="F154" s="20"/>
      <x:c r="G154" s="20"/>
      <x:c r="H154" s="20"/>
      <x:c r="I154" s="20"/>
      <x:c r="J154" s="20"/>
      <x:c r="K154" s="20"/>
      <x:c r="L154" s="21"/>
    </x:row>
    <x:row r="155">
      <x:c r="A155" s="19"/>
      <x:c r="B155" s="20"/>
      <x:c r="C155" s="25"/>
      <x:c r="D155" s="20"/>
      <x:c r="E155" s="20"/>
      <x:c r="F155" s="20"/>
      <x:c r="G155" s="20"/>
      <x:c r="H155" s="20"/>
      <x:c r="I155" s="20"/>
      <x:c r="J155" s="20"/>
      <x:c r="K155" s="20"/>
      <x:c r="L155" s="21"/>
    </x:row>
    <x:row r="156">
      <x:c r="A156" s="19"/>
      <x:c r="B156" s="20"/>
      <x:c r="C156" s="25"/>
      <x:c r="D156" s="20"/>
      <x:c r="E156" s="20"/>
      <x:c r="F156" s="20"/>
      <x:c r="G156" s="20"/>
      <x:c r="H156" s="20"/>
      <x:c r="I156" s="20"/>
      <x:c r="J156" s="20"/>
      <x:c r="K156" s="20"/>
      <x:c r="L156" s="21"/>
    </x:row>
    <x:row r="157">
      <x:c r="A157" s="19"/>
      <x:c r="B157" s="20"/>
      <x:c r="C157" s="25"/>
      <x:c r="D157" s="20"/>
      <x:c r="E157" s="20"/>
      <x:c r="F157" s="20"/>
      <x:c r="G157" s="20"/>
      <x:c r="H157" s="20"/>
      <x:c r="I157" s="20"/>
      <x:c r="J157" s="20"/>
      <x:c r="K157" s="20"/>
      <x:c r="L157" s="21"/>
    </x:row>
    <x:row r="158">
      <x:c r="A158" s="19"/>
      <x:c r="B158" s="20"/>
      <x:c r="C158" s="25"/>
      <x:c r="D158" s="20"/>
      <x:c r="E158" s="20"/>
      <x:c r="F158" s="20"/>
      <x:c r="G158" s="20"/>
      <x:c r="H158" s="20"/>
      <x:c r="I158" s="20"/>
      <x:c r="J158" s="20"/>
      <x:c r="K158" s="20"/>
      <x:c r="L158" s="21"/>
    </x:row>
    <x:row r="159">
      <x:c r="A159" s="19"/>
      <x:c r="B159" s="20"/>
      <x:c r="C159" s="25"/>
      <x:c r="D159" s="20"/>
      <x:c r="E159" s="20"/>
      <x:c r="F159" s="20"/>
      <x:c r="G159" s="20"/>
      <x:c r="H159" s="20"/>
      <x:c r="I159" s="20"/>
      <x:c r="J159" s="20"/>
      <x:c r="K159" s="20"/>
      <x:c r="L159" s="21"/>
    </x:row>
    <x:row r="160">
      <x:c r="A160" s="19"/>
      <x:c r="B160" s="20"/>
      <x:c r="C160" s="25"/>
      <x:c r="D160" s="20"/>
      <x:c r="E160" s="20"/>
      <x:c r="F160" s="20"/>
      <x:c r="G160" s="20"/>
      <x:c r="H160" s="20"/>
      <x:c r="I160" s="20"/>
      <x:c r="J160" s="20"/>
      <x:c r="K160" s="20"/>
      <x:c r="L160" s="21"/>
    </x:row>
    <x:row r="161">
      <x:c r="A161" s="19"/>
      <x:c r="B161" s="20"/>
      <x:c r="C161" s="25"/>
      <x:c r="D161" s="20"/>
      <x:c r="E161" s="20"/>
      <x:c r="F161" s="20"/>
      <x:c r="G161" s="20"/>
      <x:c r="H161" s="20"/>
      <x:c r="I161" s="20"/>
      <x:c r="J161" s="20"/>
      <x:c r="K161" s="20"/>
      <x:c r="L161" s="21"/>
    </x:row>
    <x:row r="162">
      <x:c r="A162" s="19"/>
      <x:c r="B162" s="20"/>
      <x:c r="C162" s="25"/>
      <x:c r="D162" s="20"/>
      <x:c r="E162" s="20"/>
      <x:c r="F162" s="20"/>
      <x:c r="G162" s="20"/>
      <x:c r="H162" s="20"/>
      <x:c r="I162" s="20"/>
      <x:c r="J162" s="20"/>
      <x:c r="K162" s="20"/>
      <x:c r="L162" s="21"/>
    </x:row>
    <x:row r="163">
      <x:c r="A163" s="19"/>
      <x:c r="B163" s="20"/>
      <x:c r="C163" s="25"/>
      <x:c r="D163" s="20"/>
      <x:c r="E163" s="20"/>
      <x:c r="F163" s="20"/>
      <x:c r="G163" s="20"/>
      <x:c r="H163" s="20"/>
      <x:c r="I163" s="20"/>
      <x:c r="J163" s="20"/>
      <x:c r="K163" s="20"/>
      <x:c r="L163" s="21"/>
    </x:row>
    <x:row r="164">
      <x:c r="A164" s="19"/>
      <x:c r="B164" s="20"/>
      <x:c r="C164" s="25"/>
      <x:c r="D164" s="20"/>
      <x:c r="E164" s="20"/>
      <x:c r="F164" s="20"/>
      <x:c r="G164" s="20"/>
      <x:c r="H164" s="20"/>
      <x:c r="I164" s="20"/>
      <x:c r="J164" s="20"/>
      <x:c r="K164" s="20"/>
      <x:c r="L164" s="21"/>
    </x:row>
    <x:row r="165">
      <x:c r="A165" s="19"/>
      <x:c r="B165" s="20"/>
      <x:c r="C165" s="25"/>
      <x:c r="D165" s="20"/>
      <x:c r="E165" s="20"/>
      <x:c r="F165" s="20"/>
      <x:c r="G165" s="20"/>
      <x:c r="H165" s="20"/>
      <x:c r="I165" s="20"/>
      <x:c r="J165" s="20"/>
      <x:c r="K165" s="20"/>
      <x:c r="L165" s="21"/>
    </x:row>
    <x:row r="166">
      <x:c r="A166" s="19"/>
      <x:c r="B166" s="20"/>
      <x:c r="C166" s="25"/>
      <x:c r="D166" s="20"/>
      <x:c r="E166" s="20"/>
      <x:c r="F166" s="20"/>
      <x:c r="G166" s="20"/>
      <x:c r="H166" s="20"/>
      <x:c r="I166" s="20"/>
      <x:c r="J166" s="20"/>
      <x:c r="K166" s="20"/>
      <x:c r="L166" s="21"/>
    </x:row>
    <x:row r="167">
      <x:c r="A167" s="19"/>
      <x:c r="B167" s="20"/>
      <x:c r="C167" s="25"/>
      <x:c r="D167" s="20"/>
      <x:c r="E167" s="20"/>
      <x:c r="F167" s="20"/>
      <x:c r="G167" s="20"/>
      <x:c r="H167" s="20"/>
      <x:c r="I167" s="20"/>
      <x:c r="J167" s="20"/>
      <x:c r="K167" s="20"/>
      <x:c r="L167" s="21"/>
    </x:row>
    <x:row r="168">
      <x:c r="A168" s="19"/>
      <x:c r="B168" s="20"/>
      <x:c r="C168" s="25"/>
      <x:c r="D168" s="20"/>
      <x:c r="E168" s="20"/>
      <x:c r="F168" s="20"/>
      <x:c r="G168" s="20"/>
      <x:c r="H168" s="20"/>
      <x:c r="I168" s="20"/>
      <x:c r="J168" s="20"/>
      <x:c r="K168" s="20"/>
      <x:c r="L168" s="21"/>
    </x:row>
    <x:row r="169">
      <x:c r="A169" s="19"/>
      <x:c r="B169" s="20"/>
      <x:c r="C169" s="25"/>
      <x:c r="D169" s="20"/>
      <x:c r="E169" s="20"/>
      <x:c r="F169" s="20"/>
      <x:c r="G169" s="20"/>
      <x:c r="H169" s="20"/>
      <x:c r="I169" s="20"/>
      <x:c r="J169" s="20"/>
      <x:c r="K169" s="20"/>
      <x:c r="L169" s="21"/>
    </x:row>
    <x:row r="170">
      <x:c r="A170" s="19"/>
      <x:c r="B170" s="20"/>
      <x:c r="C170" s="25"/>
      <x:c r="D170" s="20"/>
      <x:c r="E170" s="20"/>
      <x:c r="F170" s="20"/>
      <x:c r="G170" s="20"/>
      <x:c r="H170" s="20"/>
      <x:c r="I170" s="20"/>
      <x:c r="J170" s="20"/>
      <x:c r="K170" s="20"/>
      <x:c r="L170" s="21"/>
    </x:row>
    <x:row r="171">
      <x:c r="A171" s="19"/>
      <x:c r="B171" s="20"/>
      <x:c r="C171" s="25"/>
      <x:c r="D171" s="20"/>
      <x:c r="E171" s="20"/>
      <x:c r="F171" s="20"/>
      <x:c r="G171" s="20"/>
      <x:c r="H171" s="20"/>
      <x:c r="I171" s="20"/>
      <x:c r="J171" s="20"/>
      <x:c r="K171" s="20"/>
      <x:c r="L171" s="21"/>
    </x:row>
    <x:row r="172">
      <x:c r="A172" s="19"/>
      <x:c r="B172" s="20"/>
      <x:c r="C172" s="25"/>
      <x:c r="D172" s="20"/>
      <x:c r="E172" s="20"/>
      <x:c r="F172" s="20"/>
      <x:c r="G172" s="20"/>
      <x:c r="H172" s="20"/>
      <x:c r="I172" s="20"/>
      <x:c r="J172" s="20"/>
      <x:c r="K172" s="20"/>
      <x:c r="L172" s="21"/>
    </x:row>
    <x:row r="173">
      <x:c r="A173" s="19"/>
      <x:c r="B173" s="20"/>
      <x:c r="C173" s="25"/>
      <x:c r="D173" s="20"/>
      <x:c r="E173" s="20"/>
      <x:c r="F173" s="20"/>
      <x:c r="G173" s="20"/>
      <x:c r="H173" s="20"/>
      <x:c r="I173" s="20"/>
      <x:c r="J173" s="20"/>
      <x:c r="K173" s="20"/>
      <x:c r="L173" s="21"/>
    </x:row>
    <x:row r="174">
      <x:c r="A174" s="19"/>
      <x:c r="B174" s="20"/>
      <x:c r="C174" s="25"/>
      <x:c r="D174" s="20"/>
      <x:c r="E174" s="20"/>
      <x:c r="F174" s="20"/>
      <x:c r="G174" s="20"/>
      <x:c r="H174" s="20"/>
      <x:c r="I174" s="20"/>
      <x:c r="J174" s="20"/>
      <x:c r="K174" s="20"/>
      <x:c r="L174" s="21"/>
    </x:row>
    <x:row r="175">
      <x:c r="A175" s="19"/>
      <x:c r="B175" s="20"/>
      <x:c r="C175" s="25"/>
      <x:c r="D175" s="20"/>
      <x:c r="E175" s="20"/>
      <x:c r="F175" s="20"/>
      <x:c r="G175" s="20"/>
      <x:c r="H175" s="20"/>
      <x:c r="I175" s="20"/>
      <x:c r="J175" s="20"/>
      <x:c r="K175" s="20"/>
      <x:c r="L175" s="21"/>
    </x:row>
    <x:row r="176">
      <x:c r="A176" s="19"/>
      <x:c r="B176" s="20"/>
      <x:c r="C176" s="25"/>
      <x:c r="D176" s="20"/>
      <x:c r="E176" s="20"/>
      <x:c r="F176" s="20"/>
      <x:c r="G176" s="20"/>
      <x:c r="H176" s="20"/>
      <x:c r="I176" s="20"/>
      <x:c r="J176" s="20"/>
      <x:c r="K176" s="20"/>
      <x:c r="L176" s="21"/>
    </x:row>
    <x:row r="177">
      <x:c r="A177" s="19"/>
      <x:c r="B177" s="20"/>
      <x:c r="C177" s="25"/>
      <x:c r="D177" s="20"/>
      <x:c r="E177" s="20"/>
      <x:c r="F177" s="20"/>
      <x:c r="G177" s="20"/>
      <x:c r="H177" s="20"/>
      <x:c r="I177" s="20"/>
      <x:c r="J177" s="20"/>
      <x:c r="K177" s="20"/>
      <x:c r="L177" s="21"/>
    </x:row>
    <x:row r="178">
      <x:c r="A178" s="19"/>
      <x:c r="B178" s="20"/>
      <x:c r="C178" s="25"/>
      <x:c r="D178" s="20"/>
      <x:c r="E178" s="20"/>
      <x:c r="F178" s="20"/>
      <x:c r="G178" s="20"/>
      <x:c r="H178" s="20"/>
      <x:c r="I178" s="20"/>
      <x:c r="J178" s="20"/>
      <x:c r="K178" s="20"/>
      <x:c r="L178" s="21"/>
    </x:row>
    <x:row r="179">
      <x:c r="A179" s="19"/>
      <x:c r="B179" s="20"/>
      <x:c r="C179" s="25"/>
      <x:c r="D179" s="20"/>
      <x:c r="E179" s="20"/>
      <x:c r="F179" s="20"/>
      <x:c r="G179" s="20"/>
      <x:c r="H179" s="20"/>
      <x:c r="I179" s="20"/>
      <x:c r="J179" s="20"/>
      <x:c r="K179" s="20"/>
      <x:c r="L179" s="21"/>
    </x:row>
    <x:row r="180">
      <x:c r="A180" s="19"/>
      <x:c r="B180" s="20"/>
      <x:c r="C180" s="25"/>
      <x:c r="D180" s="20"/>
      <x:c r="E180" s="20"/>
      <x:c r="F180" s="20"/>
      <x:c r="G180" s="20"/>
      <x:c r="H180" s="20"/>
      <x:c r="I180" s="20"/>
      <x:c r="J180" s="20"/>
      <x:c r="K180" s="20"/>
      <x:c r="L180" s="21"/>
    </x:row>
    <x:row r="181">
      <x:c r="A181" s="19"/>
      <x:c r="B181" s="20"/>
      <x:c r="C181" s="25"/>
      <x:c r="D181" s="20"/>
      <x:c r="E181" s="20"/>
      <x:c r="F181" s="20"/>
      <x:c r="G181" s="20"/>
      <x:c r="H181" s="20"/>
      <x:c r="I181" s="20"/>
      <x:c r="J181" s="20"/>
      <x:c r="K181" s="20"/>
      <x:c r="L181" s="21"/>
    </x:row>
    <x:row r="182">
      <x:c r="A182" s="19"/>
      <x:c r="B182" s="20"/>
      <x:c r="C182" s="25"/>
      <x:c r="D182" s="20"/>
      <x:c r="E182" s="20"/>
      <x:c r="F182" s="20"/>
      <x:c r="G182" s="20"/>
      <x:c r="H182" s="20"/>
      <x:c r="I182" s="20"/>
      <x:c r="J182" s="20"/>
      <x:c r="K182" s="20"/>
      <x:c r="L182" s="21"/>
    </x:row>
    <x:row r="183">
      <x:c r="A183" s="19"/>
      <x:c r="B183" s="20"/>
      <x:c r="C183" s="25"/>
      <x:c r="D183" s="20"/>
      <x:c r="E183" s="20"/>
      <x:c r="F183" s="20"/>
      <x:c r="G183" s="20"/>
      <x:c r="H183" s="20"/>
      <x:c r="I183" s="20"/>
      <x:c r="J183" s="20"/>
      <x:c r="K183" s="20"/>
      <x:c r="L183" s="21"/>
    </x:row>
    <x:row r="184">
      <x:c r="A184" s="19"/>
      <x:c r="B184" s="20"/>
      <x:c r="C184" s="25"/>
      <x:c r="D184" s="20"/>
      <x:c r="E184" s="20"/>
      <x:c r="F184" s="20"/>
      <x:c r="G184" s="20"/>
      <x:c r="H184" s="20"/>
      <x:c r="I184" s="20"/>
      <x:c r="J184" s="20"/>
      <x:c r="K184" s="20"/>
      <x:c r="L184" s="21"/>
    </x:row>
    <x:row r="185">
      <x:c r="A185" s="19"/>
      <x:c r="B185" s="20"/>
      <x:c r="C185" s="25"/>
      <x:c r="D185" s="20"/>
      <x:c r="E185" s="20"/>
      <x:c r="F185" s="20"/>
      <x:c r="G185" s="20"/>
      <x:c r="H185" s="20"/>
      <x:c r="I185" s="20"/>
      <x:c r="J185" s="20"/>
      <x:c r="K185" s="20"/>
      <x:c r="L185" s="21"/>
    </x:row>
    <x:row r="186">
      <x:c r="A186" s="19"/>
      <x:c r="B186" s="20"/>
      <x:c r="C186" s="25"/>
      <x:c r="D186" s="20"/>
      <x:c r="E186" s="20"/>
      <x:c r="F186" s="20"/>
      <x:c r="G186" s="20"/>
      <x:c r="H186" s="20"/>
      <x:c r="I186" s="20"/>
      <x:c r="J186" s="20"/>
      <x:c r="K186" s="20"/>
      <x:c r="L186" s="21"/>
    </x:row>
    <x:row r="187">
      <x:c r="A187" s="19"/>
      <x:c r="B187" s="20"/>
      <x:c r="C187" s="25"/>
      <x:c r="D187" s="20"/>
      <x:c r="E187" s="20"/>
      <x:c r="F187" s="20"/>
      <x:c r="G187" s="20"/>
      <x:c r="H187" s="20"/>
      <x:c r="I187" s="20"/>
      <x:c r="J187" s="20"/>
      <x:c r="K187" s="20"/>
      <x:c r="L187" s="21"/>
    </x:row>
    <x:row r="188">
      <x:c r="A188" s="19"/>
      <x:c r="B188" s="20"/>
      <x:c r="C188" s="25"/>
      <x:c r="D188" s="20"/>
      <x:c r="E188" s="20"/>
      <x:c r="F188" s="20"/>
      <x:c r="G188" s="20"/>
      <x:c r="H188" s="20"/>
      <x:c r="I188" s="20"/>
      <x:c r="J188" s="20"/>
      <x:c r="K188" s="20"/>
      <x:c r="L188" s="21"/>
    </x:row>
    <x:row r="189">
      <x:c r="A189" s="19"/>
      <x:c r="B189" s="20"/>
      <x:c r="C189" s="25"/>
      <x:c r="D189" s="20"/>
      <x:c r="E189" s="20"/>
      <x:c r="F189" s="20"/>
      <x:c r="G189" s="20"/>
      <x:c r="H189" s="20"/>
      <x:c r="I189" s="20"/>
      <x:c r="J189" s="20"/>
      <x:c r="K189" s="20"/>
      <x:c r="L189" s="21"/>
    </x:row>
    <x:row r="190">
      <x:c r="A190" s="19"/>
      <x:c r="B190" s="20"/>
      <x:c r="C190" s="25"/>
      <x:c r="D190" s="20"/>
      <x:c r="E190" s="20"/>
      <x:c r="F190" s="20"/>
      <x:c r="G190" s="20"/>
      <x:c r="H190" s="20"/>
      <x:c r="I190" s="20"/>
      <x:c r="J190" s="20"/>
      <x:c r="K190" s="20"/>
      <x:c r="L190" s="21"/>
    </x:row>
    <x:row r="191">
      <x:c r="A191" s="19"/>
      <x:c r="B191" s="20"/>
      <x:c r="C191" s="25"/>
      <x:c r="D191" s="20"/>
      <x:c r="E191" s="20"/>
      <x:c r="F191" s="20"/>
      <x:c r="G191" s="20"/>
      <x:c r="H191" s="20"/>
      <x:c r="I191" s="20"/>
      <x:c r="J191" s="20"/>
      <x:c r="K191" s="20"/>
      <x:c r="L191" s="21"/>
    </x:row>
    <x:row r="192">
      <x:c r="A192" s="19"/>
      <x:c r="B192" s="20"/>
      <x:c r="C192" s="25"/>
      <x:c r="D192" s="20"/>
      <x:c r="E192" s="20"/>
      <x:c r="F192" s="20"/>
      <x:c r="G192" s="20"/>
      <x:c r="H192" s="20"/>
      <x:c r="I192" s="20"/>
      <x:c r="J192" s="20"/>
      <x:c r="K192" s="20"/>
      <x:c r="L192" s="21"/>
    </x:row>
    <x:row r="193">
      <x:c r="A193" s="19"/>
      <x:c r="B193" s="20"/>
      <x:c r="C193" s="25"/>
      <x:c r="D193" s="20"/>
      <x:c r="E193" s="20"/>
      <x:c r="F193" s="20"/>
      <x:c r="G193" s="20"/>
      <x:c r="H193" s="20"/>
      <x:c r="I193" s="20"/>
      <x:c r="J193" s="20"/>
      <x:c r="K193" s="20"/>
      <x:c r="L193" s="21"/>
    </x:row>
    <x:row r="194">
      <x:c r="A194" s="19"/>
      <x:c r="B194" s="20"/>
      <x:c r="C194" s="25"/>
      <x:c r="D194" s="20"/>
      <x:c r="E194" s="20"/>
      <x:c r="F194" s="20"/>
      <x:c r="G194" s="20"/>
      <x:c r="H194" s="20"/>
      <x:c r="I194" s="20"/>
      <x:c r="J194" s="20"/>
      <x:c r="K194" s="20"/>
      <x:c r="L194" s="21"/>
    </x:row>
    <x:row r="195">
      <x:c r="A195" s="19"/>
      <x:c r="B195" s="20"/>
      <x:c r="C195" s="25"/>
      <x:c r="D195" s="20"/>
      <x:c r="E195" s="20"/>
      <x:c r="F195" s="20"/>
      <x:c r="G195" s="20"/>
      <x:c r="H195" s="20"/>
      <x:c r="I195" s="20"/>
      <x:c r="J195" s="20"/>
      <x:c r="K195" s="20"/>
      <x:c r="L195" s="21"/>
    </x:row>
    <x:row r="196">
      <x:c r="A196" s="19"/>
      <x:c r="B196" s="20"/>
      <x:c r="C196" s="25"/>
      <x:c r="D196" s="20"/>
      <x:c r="E196" s="20"/>
      <x:c r="F196" s="20"/>
      <x:c r="G196" s="20"/>
      <x:c r="H196" s="20"/>
      <x:c r="I196" s="20"/>
      <x:c r="J196" s="20"/>
      <x:c r="K196" s="20"/>
      <x:c r="L196" s="21"/>
    </x:row>
    <x:row r="197">
      <x:c r="A197" s="19"/>
      <x:c r="B197" s="20"/>
      <x:c r="C197" s="25"/>
      <x:c r="D197" s="20"/>
      <x:c r="E197" s="20"/>
      <x:c r="F197" s="20"/>
      <x:c r="G197" s="20"/>
      <x:c r="H197" s="20"/>
      <x:c r="I197" s="20"/>
      <x:c r="J197" s="20"/>
      <x:c r="K197" s="20"/>
      <x:c r="L197" s="21"/>
    </x:row>
    <x:row r="198">
      <x:c r="A198" s="19"/>
      <x:c r="B198" s="20"/>
      <x:c r="C198" s="25"/>
      <x:c r="D198" s="20"/>
      <x:c r="E198" s="20"/>
      <x:c r="F198" s="20"/>
      <x:c r="G198" s="20"/>
      <x:c r="H198" s="20"/>
      <x:c r="I198" s="20"/>
      <x:c r="J198" s="20"/>
      <x:c r="K198" s="20"/>
      <x:c r="L198" s="21"/>
    </x:row>
    <x:row r="199">
      <x:c r="A199" s="19"/>
      <x:c r="B199" s="20"/>
      <x:c r="C199" s="25"/>
      <x:c r="D199" s="20"/>
      <x:c r="E199" s="20"/>
      <x:c r="F199" s="20"/>
      <x:c r="G199" s="20"/>
      <x:c r="H199" s="20"/>
      <x:c r="I199" s="20"/>
      <x:c r="J199" s="20"/>
      <x:c r="K199" s="20"/>
      <x:c r="L199" s="21"/>
    </x:row>
    <x:row r="200">
      <x:c r="A200" s="19"/>
      <x:c r="B200" s="20"/>
      <x:c r="C200" s="25"/>
      <x:c r="D200" s="20"/>
      <x:c r="E200" s="20"/>
      <x:c r="F200" s="20"/>
      <x:c r="G200" s="20"/>
      <x:c r="H200" s="20"/>
      <x:c r="I200" s="20"/>
      <x:c r="J200" s="20"/>
      <x:c r="K200" s="20"/>
      <x:c r="L200" s="21"/>
    </x:row>
    <x:row r="201">
      <x:c r="A201" s="19"/>
      <x:c r="B201" s="20"/>
      <x:c r="C201" s="25"/>
      <x:c r="D201" s="20"/>
      <x:c r="E201" s="20"/>
      <x:c r="F201" s="20"/>
      <x:c r="G201" s="20"/>
      <x:c r="H201" s="20"/>
      <x:c r="I201" s="20"/>
      <x:c r="J201" s="20"/>
      <x:c r="K201" s="20"/>
      <x:c r="L201" s="21"/>
    </x:row>
    <x:row r="202">
      <x:c r="A202" s="19"/>
      <x:c r="B202" s="20"/>
      <x:c r="C202" s="25"/>
      <x:c r="D202" s="20"/>
      <x:c r="E202" s="20"/>
      <x:c r="F202" s="20"/>
      <x:c r="G202" s="20"/>
      <x:c r="H202" s="20"/>
      <x:c r="I202" s="20"/>
      <x:c r="J202" s="20"/>
      <x:c r="K202" s="20"/>
      <x:c r="L202" s="21"/>
    </x:row>
    <x:row r="203">
      <x:c r="A203" s="19"/>
      <x:c r="B203" s="20"/>
      <x:c r="C203" s="25"/>
      <x:c r="D203" s="20"/>
      <x:c r="E203" s="20"/>
      <x:c r="F203" s="20"/>
      <x:c r="G203" s="20"/>
      <x:c r="H203" s="20"/>
      <x:c r="I203" s="20"/>
      <x:c r="J203" s="20"/>
      <x:c r="K203" s="20"/>
      <x:c r="L203" s="21"/>
    </x:row>
    <x:row r="204">
      <x:c r="A204" s="19"/>
      <x:c r="B204" s="20"/>
      <x:c r="C204" s="25"/>
      <x:c r="D204" s="20"/>
      <x:c r="E204" s="20"/>
      <x:c r="F204" s="20"/>
      <x:c r="G204" s="20"/>
      <x:c r="H204" s="20"/>
      <x:c r="I204" s="20"/>
      <x:c r="J204" s="20"/>
      <x:c r="K204" s="20"/>
      <x:c r="L204" s="21"/>
    </x:row>
    <x:row r="205">
      <x:c r="A205" s="19"/>
      <x:c r="B205" s="20"/>
      <x:c r="C205" s="25"/>
      <x:c r="D205" s="20"/>
      <x:c r="E205" s="20"/>
      <x:c r="F205" s="20"/>
      <x:c r="G205" s="20"/>
      <x:c r="H205" s="20"/>
      <x:c r="I205" s="20"/>
      <x:c r="J205" s="20"/>
      <x:c r="K205" s="20"/>
      <x:c r="L205" s="21"/>
    </x:row>
    <x:row r="206">
      <x:c r="A206" s="19"/>
      <x:c r="B206" s="20"/>
      <x:c r="C206" s="25"/>
      <x:c r="D206" s="20"/>
      <x:c r="E206" s="20"/>
      <x:c r="F206" s="20"/>
      <x:c r="G206" s="20"/>
      <x:c r="H206" s="20"/>
      <x:c r="I206" s="20"/>
      <x:c r="J206" s="20"/>
      <x:c r="K206" s="20"/>
      <x:c r="L206" s="21"/>
    </x:row>
    <x:row r="207">
      <x:c r="A207" s="19"/>
      <x:c r="B207" s="20"/>
      <x:c r="C207" s="25"/>
      <x:c r="D207" s="20"/>
      <x:c r="E207" s="20"/>
      <x:c r="F207" s="20"/>
      <x:c r="G207" s="20"/>
      <x:c r="H207" s="20"/>
      <x:c r="I207" s="20"/>
      <x:c r="J207" s="20"/>
      <x:c r="K207" s="20"/>
      <x:c r="L207" s="21"/>
    </x:row>
    <x:row r="208">
      <x:c r="A208" s="19"/>
      <x:c r="B208" s="20"/>
      <x:c r="C208" s="25"/>
      <x:c r="D208" s="20"/>
      <x:c r="E208" s="20"/>
      <x:c r="F208" s="20"/>
      <x:c r="G208" s="20"/>
      <x:c r="H208" s="20"/>
      <x:c r="I208" s="20"/>
      <x:c r="J208" s="20"/>
      <x:c r="K208" s="20"/>
      <x:c r="L208" s="21"/>
    </x:row>
    <x:row r="209">
      <x:c r="A209" s="19"/>
      <x:c r="B209" s="20"/>
      <x:c r="C209" s="25"/>
      <x:c r="D209" s="20"/>
      <x:c r="E209" s="20"/>
      <x:c r="F209" s="20"/>
      <x:c r="G209" s="20"/>
      <x:c r="H209" s="20"/>
      <x:c r="I209" s="20"/>
      <x:c r="J209" s="20"/>
      <x:c r="K209" s="20"/>
      <x:c r="L209" s="21"/>
    </x:row>
    <x:row r="210">
      <x:c r="A210" s="19"/>
      <x:c r="B210" s="20"/>
      <x:c r="C210" s="25"/>
      <x:c r="D210" s="20"/>
      <x:c r="E210" s="20"/>
      <x:c r="F210" s="20"/>
      <x:c r="G210" s="20"/>
      <x:c r="H210" s="20"/>
      <x:c r="I210" s="20"/>
      <x:c r="J210" s="20"/>
      <x:c r="K210" s="20"/>
      <x:c r="L210" s="21"/>
    </x:row>
    <x:row r="211">
      <x:c r="A211" s="19"/>
      <x:c r="B211" s="20"/>
      <x:c r="C211" s="25"/>
      <x:c r="D211" s="20"/>
      <x:c r="E211" s="20"/>
      <x:c r="F211" s="20"/>
      <x:c r="G211" s="20"/>
      <x:c r="H211" s="20"/>
      <x:c r="I211" s="20"/>
      <x:c r="J211" s="20"/>
      <x:c r="K211" s="20"/>
      <x:c r="L211" s="21"/>
    </x:row>
    <x:row r="212">
      <x:c r="A212" s="19"/>
      <x:c r="B212" s="20"/>
      <x:c r="C212" s="25"/>
      <x:c r="D212" s="20"/>
      <x:c r="E212" s="20"/>
      <x:c r="F212" s="20"/>
      <x:c r="G212" s="20"/>
      <x:c r="H212" s="20"/>
      <x:c r="I212" s="20"/>
      <x:c r="J212" s="20"/>
      <x:c r="K212" s="20"/>
      <x:c r="L212" s="21"/>
    </x:row>
    <x:row r="213">
      <x:c r="A213" s="19"/>
      <x:c r="B213" s="20"/>
      <x:c r="C213" s="25"/>
      <x:c r="D213" s="20"/>
      <x:c r="E213" s="20"/>
      <x:c r="F213" s="20"/>
      <x:c r="G213" s="20"/>
      <x:c r="H213" s="20"/>
      <x:c r="I213" s="20"/>
      <x:c r="J213" s="20"/>
      <x:c r="K213" s="20"/>
      <x:c r="L213" s="21"/>
    </x:row>
    <x:row r="214">
      <x:c r="A214" s="19"/>
      <x:c r="B214" s="20"/>
      <x:c r="C214" s="25"/>
      <x:c r="D214" s="20"/>
      <x:c r="E214" s="20"/>
      <x:c r="F214" s="20"/>
      <x:c r="G214" s="20"/>
      <x:c r="H214" s="20"/>
      <x:c r="I214" s="20"/>
      <x:c r="J214" s="20"/>
      <x:c r="K214" s="20"/>
      <x:c r="L214" s="21"/>
    </x:row>
    <x:row r="215">
      <x:c r="A215" s="19"/>
      <x:c r="B215" s="20"/>
      <x:c r="C215" s="25"/>
      <x:c r="D215" s="20"/>
      <x:c r="E215" s="20"/>
      <x:c r="F215" s="20"/>
      <x:c r="G215" s="20"/>
      <x:c r="H215" s="20"/>
      <x:c r="I215" s="20"/>
      <x:c r="J215" s="20"/>
      <x:c r="K215" s="20"/>
      <x:c r="L215" s="21"/>
    </x:row>
    <x:row r="216">
      <x:c r="A216" s="19"/>
      <x:c r="B216" s="20"/>
      <x:c r="C216" s="25"/>
      <x:c r="D216" s="20"/>
      <x:c r="E216" s="20"/>
      <x:c r="F216" s="20"/>
      <x:c r="G216" s="20"/>
      <x:c r="H216" s="20"/>
      <x:c r="I216" s="20"/>
      <x:c r="J216" s="20"/>
      <x:c r="K216" s="20"/>
      <x:c r="L216" s="21"/>
    </x:row>
    <x:row r="217">
      <x:c r="A217" s="19"/>
      <x:c r="B217" s="20"/>
      <x:c r="C217" s="25"/>
      <x:c r="D217" s="20"/>
      <x:c r="E217" s="20"/>
      <x:c r="F217" s="20"/>
      <x:c r="G217" s="20"/>
      <x:c r="H217" s="20"/>
      <x:c r="I217" s="20"/>
      <x:c r="J217" s="20"/>
      <x:c r="K217" s="20"/>
      <x:c r="L217" s="21"/>
    </x:row>
    <x:row r="218">
      <x:c r="A218" s="19"/>
      <x:c r="B218" s="20"/>
      <x:c r="C218" s="25"/>
      <x:c r="D218" s="20"/>
      <x:c r="E218" s="20"/>
      <x:c r="F218" s="20"/>
      <x:c r="G218" s="20"/>
      <x:c r="H218" s="20"/>
      <x:c r="I218" s="20"/>
      <x:c r="J218" s="20"/>
      <x:c r="K218" s="20"/>
      <x:c r="L218" s="21"/>
    </x:row>
    <x:row r="219">
      <x:c r="A219" s="19"/>
      <x:c r="B219" s="20"/>
      <x:c r="C219" s="25"/>
      <x:c r="D219" s="20"/>
      <x:c r="E219" s="20"/>
      <x:c r="F219" s="20"/>
      <x:c r="G219" s="20"/>
      <x:c r="H219" s="20"/>
      <x:c r="I219" s="20"/>
      <x:c r="J219" s="20"/>
      <x:c r="K219" s="20"/>
      <x:c r="L219" s="21"/>
    </x:row>
    <x:row r="220">
      <x:c r="A220" s="19"/>
      <x:c r="B220" s="20"/>
      <x:c r="C220" s="25"/>
      <x:c r="D220" s="20"/>
      <x:c r="E220" s="20"/>
      <x:c r="F220" s="20"/>
      <x:c r="G220" s="20"/>
      <x:c r="H220" s="20"/>
      <x:c r="I220" s="20"/>
      <x:c r="J220" s="20"/>
      <x:c r="K220" s="20"/>
      <x:c r="L220" s="21"/>
    </x:row>
    <x:row r="221">
      <x:c r="A221" s="19"/>
      <x:c r="B221" s="20"/>
      <x:c r="C221" s="25"/>
      <x:c r="D221" s="20"/>
      <x:c r="E221" s="20"/>
      <x:c r="F221" s="20"/>
      <x:c r="G221" s="20"/>
      <x:c r="H221" s="20"/>
      <x:c r="I221" s="20"/>
      <x:c r="J221" s="20"/>
      <x:c r="K221" s="20"/>
      <x:c r="L221" s="21"/>
    </x:row>
    <x:row r="222">
      <x:c r="A222" s="19"/>
      <x:c r="B222" s="20"/>
      <x:c r="C222" s="25"/>
      <x:c r="D222" s="20"/>
      <x:c r="E222" s="20"/>
      <x:c r="F222" s="20"/>
      <x:c r="G222" s="20"/>
      <x:c r="H222" s="20"/>
      <x:c r="I222" s="20"/>
      <x:c r="J222" s="20"/>
      <x:c r="K222" s="20"/>
      <x:c r="L222" s="21"/>
    </x:row>
    <x:row r="223">
      <x:c r="A223" s="19"/>
      <x:c r="B223" s="20"/>
      <x:c r="C223" s="25"/>
      <x:c r="D223" s="20"/>
      <x:c r="E223" s="20"/>
      <x:c r="F223" s="20"/>
      <x:c r="G223" s="20"/>
      <x:c r="H223" s="20"/>
      <x:c r="I223" s="20"/>
      <x:c r="J223" s="20"/>
      <x:c r="K223" s="20"/>
      <x:c r="L223" s="21"/>
    </x:row>
    <x:row r="224">
      <x:c r="A224" s="19"/>
      <x:c r="B224" s="20"/>
      <x:c r="C224" s="25"/>
      <x:c r="D224" s="20"/>
      <x:c r="E224" s="20"/>
      <x:c r="F224" s="20"/>
      <x:c r="G224" s="20"/>
      <x:c r="H224" s="20"/>
      <x:c r="I224" s="20"/>
      <x:c r="J224" s="20"/>
      <x:c r="K224" s="20"/>
      <x:c r="L224" s="21"/>
    </x:row>
    <x:row r="225">
      <x:c r="A225" s="19"/>
      <x:c r="B225" s="20"/>
      <x:c r="C225" s="25"/>
      <x:c r="D225" s="20"/>
      <x:c r="E225" s="20"/>
      <x:c r="F225" s="20"/>
      <x:c r="G225" s="20"/>
      <x:c r="H225" s="20"/>
      <x:c r="I225" s="20"/>
      <x:c r="J225" s="20"/>
      <x:c r="K225" s="20"/>
      <x:c r="L225" s="21"/>
    </x:row>
    <x:row r="226">
      <x:c r="A226" s="19"/>
      <x:c r="B226" s="20"/>
      <x:c r="C226" s="25"/>
      <x:c r="D226" s="20"/>
      <x:c r="E226" s="20"/>
      <x:c r="F226" s="20"/>
      <x:c r="G226" s="20"/>
      <x:c r="H226" s="20"/>
      <x:c r="I226" s="20"/>
      <x:c r="J226" s="20"/>
      <x:c r="K226" s="20"/>
      <x:c r="L226" s="21"/>
    </x:row>
    <x:row r="227">
      <x:c r="A227" s="19"/>
      <x:c r="B227" s="20"/>
      <x:c r="C227" s="25"/>
      <x:c r="D227" s="20"/>
      <x:c r="E227" s="20"/>
      <x:c r="F227" s="20"/>
      <x:c r="G227" s="20"/>
      <x:c r="H227" s="20"/>
      <x:c r="I227" s="20"/>
      <x:c r="J227" s="20"/>
      <x:c r="K227" s="20"/>
      <x:c r="L227" s="21"/>
    </x:row>
    <x:row r="228">
      <x:c r="A228" s="19"/>
      <x:c r="B228" s="20"/>
      <x:c r="C228" s="25"/>
      <x:c r="D228" s="20"/>
      <x:c r="E228" s="20"/>
      <x:c r="F228" s="20"/>
      <x:c r="G228" s="20"/>
      <x:c r="H228" s="20"/>
      <x:c r="I228" s="20"/>
      <x:c r="J228" s="20"/>
      <x:c r="K228" s="20"/>
      <x:c r="L228" s="21"/>
    </x:row>
    <x:row r="229">
      <x:c r="A229" s="19"/>
      <x:c r="B229" s="20"/>
      <x:c r="C229" s="25"/>
      <x:c r="D229" s="20"/>
      <x:c r="E229" s="20"/>
      <x:c r="F229" s="20"/>
      <x:c r="G229" s="20"/>
      <x:c r="H229" s="20"/>
      <x:c r="I229" s="20"/>
      <x:c r="J229" s="20"/>
      <x:c r="K229" s="20"/>
      <x:c r="L229" s="21"/>
    </x:row>
    <x:row r="230">
      <x:c r="A230" s="19"/>
      <x:c r="B230" s="20"/>
      <x:c r="C230" s="25"/>
      <x:c r="D230" s="20"/>
      <x:c r="E230" s="20"/>
      <x:c r="F230" s="20"/>
      <x:c r="G230" s="20"/>
      <x:c r="H230" s="20"/>
      <x:c r="I230" s="20"/>
      <x:c r="J230" s="20"/>
      <x:c r="K230" s="20"/>
      <x:c r="L230" s="21"/>
    </x:row>
    <x:row r="231">
      <x:c r="A231" s="19"/>
      <x:c r="B231" s="20"/>
      <x:c r="C231" s="25"/>
      <x:c r="D231" s="20"/>
      <x:c r="E231" s="20"/>
      <x:c r="F231" s="20"/>
      <x:c r="G231" s="20"/>
      <x:c r="H231" s="20"/>
      <x:c r="I231" s="20"/>
      <x:c r="J231" s="20"/>
      <x:c r="K231" s="20"/>
      <x:c r="L231" s="21"/>
    </x:row>
    <x:row r="232">
      <x:c r="A232" s="19"/>
      <x:c r="B232" s="20"/>
      <x:c r="C232" s="25"/>
      <x:c r="D232" s="20"/>
      <x:c r="E232" s="20"/>
      <x:c r="F232" s="20"/>
      <x:c r="G232" s="20"/>
      <x:c r="H232" s="20"/>
      <x:c r="I232" s="20"/>
      <x:c r="J232" s="20"/>
      <x:c r="K232" s="20"/>
      <x:c r="L232" s="21"/>
    </x:row>
    <x:row r="233">
      <x:c r="A233" s="19"/>
      <x:c r="B233" s="20"/>
      <x:c r="C233" s="25"/>
      <x:c r="D233" s="20"/>
      <x:c r="E233" s="20"/>
      <x:c r="F233" s="20"/>
      <x:c r="G233" s="20"/>
      <x:c r="H233" s="20"/>
      <x:c r="I233" s="20"/>
      <x:c r="J233" s="20"/>
      <x:c r="K233" s="20"/>
      <x:c r="L233" s="21"/>
    </x:row>
    <x:row r="234">
      <x:c r="A234" s="19"/>
      <x:c r="B234" s="20"/>
      <x:c r="C234" s="25"/>
      <x:c r="D234" s="20"/>
      <x:c r="E234" s="20"/>
      <x:c r="F234" s="20"/>
      <x:c r="G234" s="20"/>
      <x:c r="H234" s="20"/>
      <x:c r="I234" s="20"/>
      <x:c r="J234" s="20"/>
      <x:c r="K234" s="20"/>
      <x:c r="L234" s="21"/>
    </x:row>
    <x:row r="235">
      <x:c r="A235" s="19"/>
      <x:c r="B235" s="20"/>
      <x:c r="C235" s="25"/>
      <x:c r="D235" s="20"/>
      <x:c r="E235" s="20"/>
      <x:c r="F235" s="20"/>
      <x:c r="G235" s="20"/>
      <x:c r="H235" s="20"/>
      <x:c r="I235" s="20"/>
      <x:c r="J235" s="20"/>
      <x:c r="K235" s="20"/>
      <x:c r="L235" s="21"/>
    </x:row>
    <x:row r="236">
      <x:c r="A236" s="19"/>
      <x:c r="B236" s="20"/>
      <x:c r="C236" s="25"/>
      <x:c r="D236" s="20"/>
      <x:c r="E236" s="20"/>
      <x:c r="F236" s="20"/>
      <x:c r="G236" s="20"/>
      <x:c r="H236" s="20"/>
      <x:c r="I236" s="20"/>
      <x:c r="J236" s="20"/>
      <x:c r="K236" s="20"/>
      <x:c r="L236" s="21"/>
    </x:row>
    <x:row r="237">
      <x:c r="A237" s="19"/>
      <x:c r="B237" s="20"/>
      <x:c r="C237" s="25"/>
      <x:c r="D237" s="20"/>
      <x:c r="E237" s="20"/>
      <x:c r="F237" s="20"/>
      <x:c r="G237" s="20"/>
      <x:c r="H237" s="20"/>
      <x:c r="I237" s="20"/>
      <x:c r="J237" s="20"/>
      <x:c r="K237" s="20"/>
      <x:c r="L237" s="21"/>
    </x:row>
    <x:row r="238">
      <x:c r="A238" s="19"/>
      <x:c r="B238" s="20"/>
      <x:c r="C238" s="25"/>
      <x:c r="D238" s="20"/>
      <x:c r="E238" s="20"/>
      <x:c r="F238" s="20"/>
      <x:c r="G238" s="20"/>
      <x:c r="H238" s="20"/>
      <x:c r="I238" s="20"/>
      <x:c r="J238" s="20"/>
      <x:c r="K238" s="20"/>
      <x:c r="L238" s="21"/>
    </x:row>
    <x:row r="239">
      <x:c r="A239" s="19"/>
      <x:c r="B239" s="20"/>
      <x:c r="C239" s="25"/>
      <x:c r="D239" s="20"/>
      <x:c r="E239" s="20"/>
      <x:c r="F239" s="20"/>
      <x:c r="G239" s="20"/>
      <x:c r="H239" s="20"/>
      <x:c r="I239" s="20"/>
      <x:c r="J239" s="20"/>
      <x:c r="K239" s="20"/>
      <x:c r="L239" s="21"/>
    </x:row>
    <x:row r="240">
      <x:c r="A240" s="19"/>
      <x:c r="B240" s="20"/>
      <x:c r="C240" s="25"/>
      <x:c r="D240" s="20"/>
      <x:c r="E240" s="20"/>
      <x:c r="F240" s="20"/>
      <x:c r="G240" s="20"/>
      <x:c r="H240" s="20"/>
      <x:c r="I240" s="20"/>
      <x:c r="J240" s="20"/>
      <x:c r="K240" s="20"/>
      <x:c r="L240" s="21"/>
    </x:row>
    <x:row r="241">
      <x:c r="A241" s="19"/>
      <x:c r="B241" s="20"/>
      <x:c r="C241" s="25"/>
      <x:c r="D241" s="20"/>
      <x:c r="E241" s="20"/>
      <x:c r="F241" s="20"/>
      <x:c r="G241" s="20"/>
      <x:c r="H241" s="20"/>
      <x:c r="I241" s="20"/>
      <x:c r="J241" s="20"/>
      <x:c r="K241" s="20"/>
      <x:c r="L241" s="21"/>
    </x:row>
    <x:row r="242">
      <x:c r="A242" s="19"/>
      <x:c r="B242" s="20"/>
      <x:c r="C242" s="25"/>
      <x:c r="D242" s="20"/>
      <x:c r="E242" s="20"/>
      <x:c r="F242" s="20"/>
      <x:c r="G242" s="20"/>
      <x:c r="H242" s="20"/>
      <x:c r="I242" s="20"/>
      <x:c r="J242" s="20"/>
      <x:c r="K242" s="20"/>
      <x:c r="L242" s="21"/>
    </x:row>
    <x:row r="243">
      <x:c r="A243" s="19"/>
      <x:c r="B243" s="20"/>
      <x:c r="C243" s="25"/>
      <x:c r="D243" s="20"/>
      <x:c r="E243" s="20"/>
      <x:c r="F243" s="20"/>
      <x:c r="G243" s="20"/>
      <x:c r="H243" s="20"/>
      <x:c r="I243" s="20"/>
      <x:c r="J243" s="20"/>
      <x:c r="K243" s="20"/>
      <x:c r="L243" s="21"/>
    </x:row>
    <x:row r="244">
      <x:c r="A244" s="19"/>
      <x:c r="B244" s="20"/>
      <x:c r="C244" s="25"/>
      <x:c r="D244" s="20"/>
      <x:c r="E244" s="20"/>
      <x:c r="F244" s="20"/>
      <x:c r="G244" s="20"/>
      <x:c r="H244" s="20"/>
      <x:c r="I244" s="20"/>
      <x:c r="J244" s="20"/>
      <x:c r="K244" s="20"/>
      <x:c r="L244" s="21"/>
    </x:row>
    <x:row r="245">
      <x:c r="A245" s="19"/>
      <x:c r="B245" s="20"/>
      <x:c r="C245" s="25"/>
      <x:c r="D245" s="20"/>
      <x:c r="E245" s="20"/>
      <x:c r="F245" s="20"/>
      <x:c r="G245" s="20"/>
      <x:c r="H245" s="20"/>
      <x:c r="I245" s="20"/>
      <x:c r="J245" s="20"/>
      <x:c r="K245" s="20"/>
      <x:c r="L245" s="21"/>
    </x:row>
    <x:row r="246">
      <x:c r="A246" s="19"/>
      <x:c r="B246" s="20"/>
      <x:c r="C246" s="25"/>
      <x:c r="D246" s="20"/>
      <x:c r="E246" s="20"/>
      <x:c r="F246" s="20"/>
      <x:c r="G246" s="20"/>
      <x:c r="H246" s="20"/>
      <x:c r="I246" s="20"/>
      <x:c r="J246" s="20"/>
      <x:c r="K246" s="20"/>
      <x:c r="L246" s="21"/>
    </x:row>
    <x:row r="247">
      <x:c r="A247" s="19"/>
      <x:c r="B247" s="20"/>
      <x:c r="C247" s="25"/>
      <x:c r="D247" s="20"/>
      <x:c r="E247" s="20"/>
      <x:c r="F247" s="20"/>
      <x:c r="G247" s="20"/>
      <x:c r="H247" s="20"/>
      <x:c r="I247" s="20"/>
      <x:c r="J247" s="20"/>
      <x:c r="K247" s="20"/>
      <x:c r="L247" s="21"/>
    </x:row>
    <x:row r="248">
      <x:c r="A248" s="19"/>
      <x:c r="B248" s="20"/>
      <x:c r="C248" s="25"/>
      <x:c r="D248" s="20"/>
      <x:c r="E248" s="20"/>
      <x:c r="F248" s="20"/>
      <x:c r="G248" s="20"/>
      <x:c r="H248" s="20"/>
      <x:c r="I248" s="20"/>
      <x:c r="J248" s="20"/>
      <x:c r="K248" s="20"/>
      <x:c r="L248" s="21"/>
    </x:row>
    <x:row r="249">
      <x:c r="A249" s="19"/>
      <x:c r="B249" s="20"/>
      <x:c r="C249" s="25"/>
      <x:c r="D249" s="20"/>
      <x:c r="E249" s="20"/>
      <x:c r="F249" s="20"/>
      <x:c r="G249" s="20"/>
      <x:c r="H249" s="20"/>
      <x:c r="I249" s="20"/>
      <x:c r="J249" s="20"/>
      <x:c r="K249" s="20"/>
      <x:c r="L249" s="21"/>
    </x:row>
    <x:row r="250">
      <x:c r="A250" s="19"/>
      <x:c r="B250" s="20"/>
      <x:c r="C250" s="25"/>
      <x:c r="D250" s="20"/>
      <x:c r="E250" s="20"/>
      <x:c r="F250" s="20"/>
      <x:c r="G250" s="20"/>
      <x:c r="H250" s="20"/>
      <x:c r="I250" s="20"/>
      <x:c r="J250" s="20"/>
      <x:c r="K250" s="20"/>
      <x:c r="L250" s="21"/>
    </x:row>
    <x:row r="251">
      <x:c r="A251" s="19"/>
      <x:c r="B251" s="20"/>
      <x:c r="C251" s="25"/>
      <x:c r="D251" s="20"/>
      <x:c r="E251" s="20"/>
      <x:c r="F251" s="20"/>
      <x:c r="G251" s="20"/>
      <x:c r="H251" s="20"/>
      <x:c r="I251" s="20"/>
      <x:c r="J251" s="20"/>
      <x:c r="K251" s="20"/>
      <x:c r="L251" s="21"/>
    </x:row>
    <x:row r="252">
      <x:c r="A252" s="19"/>
      <x:c r="B252" s="20"/>
      <x:c r="C252" s="25"/>
      <x:c r="D252" s="20"/>
      <x:c r="E252" s="20"/>
      <x:c r="F252" s="20"/>
      <x:c r="G252" s="20"/>
      <x:c r="H252" s="20"/>
      <x:c r="I252" s="20"/>
      <x:c r="J252" s="20"/>
      <x:c r="K252" s="20"/>
      <x:c r="L252" s="21"/>
    </x:row>
    <x:row r="253">
      <x:c r="A253" s="19"/>
      <x:c r="B253" s="20"/>
      <x:c r="C253" s="25"/>
      <x:c r="D253" s="20"/>
      <x:c r="E253" s="20"/>
      <x:c r="F253" s="20"/>
      <x:c r="G253" s="20"/>
      <x:c r="H253" s="20"/>
      <x:c r="I253" s="20"/>
      <x:c r="J253" s="20"/>
      <x:c r="K253" s="20"/>
      <x:c r="L253" s="21"/>
    </x:row>
    <x:row r="254">
      <x:c r="A254" s="19"/>
      <x:c r="B254" s="20"/>
      <x:c r="C254" s="25"/>
      <x:c r="D254" s="20"/>
      <x:c r="E254" s="20"/>
      <x:c r="F254" s="20"/>
      <x:c r="G254" s="20"/>
      <x:c r="H254" s="20"/>
      <x:c r="I254" s="20"/>
      <x:c r="J254" s="20"/>
      <x:c r="K254" s="20"/>
      <x:c r="L254" s="21"/>
    </x:row>
    <x:row r="255">
      <x:c r="A255" s="19"/>
      <x:c r="B255" s="20"/>
      <x:c r="C255" s="25"/>
      <x:c r="D255" s="20"/>
      <x:c r="E255" s="20"/>
      <x:c r="F255" s="20"/>
      <x:c r="G255" s="20"/>
      <x:c r="H255" s="20"/>
      <x:c r="I255" s="20"/>
      <x:c r="J255" s="20"/>
      <x:c r="K255" s="20"/>
      <x:c r="L255" s="21"/>
    </x:row>
    <x:row r="256">
      <x:c r="A256" s="19"/>
      <x:c r="B256" s="20"/>
      <x:c r="C256" s="25"/>
      <x:c r="D256" s="20"/>
      <x:c r="E256" s="20"/>
      <x:c r="F256" s="20"/>
      <x:c r="G256" s="20"/>
      <x:c r="H256" s="20"/>
      <x:c r="I256" s="20"/>
      <x:c r="J256" s="20"/>
      <x:c r="K256" s="20"/>
      <x:c r="L256" s="21"/>
    </x:row>
    <x:row r="257">
      <x:c r="A257" s="19"/>
      <x:c r="B257" s="20"/>
      <x:c r="C257" s="25"/>
      <x:c r="D257" s="20"/>
      <x:c r="E257" s="20"/>
      <x:c r="F257" s="20"/>
      <x:c r="G257" s="20"/>
      <x:c r="H257" s="20"/>
      <x:c r="I257" s="20"/>
      <x:c r="J257" s="20"/>
      <x:c r="K257" s="20"/>
      <x:c r="L257" s="21"/>
    </x:row>
    <x:row r="258">
      <x:c r="A258" s="19"/>
      <x:c r="B258" s="20"/>
      <x:c r="C258" s="25"/>
      <x:c r="D258" s="20"/>
      <x:c r="E258" s="20"/>
      <x:c r="F258" s="20"/>
      <x:c r="G258" s="20"/>
      <x:c r="H258" s="20"/>
      <x:c r="I258" s="20"/>
      <x:c r="J258" s="20"/>
      <x:c r="K258" s="20"/>
      <x:c r="L258" s="21"/>
    </x:row>
    <x:row r="259">
      <x:c r="A259" s="19"/>
      <x:c r="B259" s="20"/>
      <x:c r="C259" s="25"/>
      <x:c r="D259" s="20"/>
      <x:c r="E259" s="20"/>
      <x:c r="F259" s="20"/>
      <x:c r="G259" s="20"/>
      <x:c r="H259" s="20"/>
      <x:c r="I259" s="20"/>
      <x:c r="J259" s="20"/>
      <x:c r="K259" s="20"/>
      <x:c r="L259" s="21"/>
    </x:row>
    <x:row r="260">
      <x:c r="A260" s="19"/>
      <x:c r="B260" s="20"/>
      <x:c r="C260" s="25"/>
      <x:c r="D260" s="20"/>
      <x:c r="E260" s="20"/>
      <x:c r="F260" s="20"/>
      <x:c r="G260" s="20"/>
      <x:c r="H260" s="20"/>
      <x:c r="I260" s="20"/>
      <x:c r="J260" s="20"/>
      <x:c r="K260" s="20"/>
      <x:c r="L260" s="21"/>
    </x:row>
    <x:row r="261">
      <x:c r="A261" s="19"/>
      <x:c r="B261" s="20"/>
      <x:c r="C261" s="25"/>
      <x:c r="D261" s="20"/>
      <x:c r="E261" s="20"/>
      <x:c r="F261" s="20"/>
      <x:c r="G261" s="20"/>
      <x:c r="H261" s="20"/>
      <x:c r="I261" s="20"/>
      <x:c r="J261" s="20"/>
      <x:c r="K261" s="20"/>
      <x:c r="L261" s="21"/>
    </x:row>
    <x:row r="262">
      <x:c r="A262" s="19"/>
      <x:c r="B262" s="20"/>
      <x:c r="C262" s="25"/>
      <x:c r="D262" s="20"/>
      <x:c r="E262" s="20"/>
      <x:c r="F262" s="20"/>
      <x:c r="G262" s="20"/>
      <x:c r="H262" s="20"/>
      <x:c r="I262" s="20"/>
      <x:c r="J262" s="20"/>
      <x:c r="K262" s="20"/>
      <x:c r="L262" s="21"/>
    </x:row>
    <x:row r="263">
      <x:c r="A263" s="19"/>
      <x:c r="B263" s="20"/>
      <x:c r="C263" s="25"/>
      <x:c r="D263" s="20"/>
      <x:c r="E263" s="20"/>
      <x:c r="F263" s="20"/>
      <x:c r="G263" s="20"/>
      <x:c r="H263" s="20"/>
      <x:c r="I263" s="20"/>
      <x:c r="J263" s="20"/>
      <x:c r="K263" s="20"/>
      <x:c r="L263" s="21"/>
    </x:row>
    <x:row r="264">
      <x:c r="A264" s="19"/>
      <x:c r="B264" s="20"/>
      <x:c r="C264" s="25"/>
      <x:c r="D264" s="20"/>
      <x:c r="E264" s="20"/>
      <x:c r="F264" s="20"/>
      <x:c r="G264" s="20"/>
      <x:c r="H264" s="20"/>
      <x:c r="I264" s="20"/>
      <x:c r="J264" s="20"/>
      <x:c r="K264" s="20"/>
      <x:c r="L264" s="21"/>
    </x:row>
    <x:row r="265">
      <x:c r="A265" s="19"/>
      <x:c r="B265" s="20"/>
      <x:c r="C265" s="25"/>
      <x:c r="D265" s="20"/>
      <x:c r="E265" s="20"/>
      <x:c r="F265" s="20"/>
      <x:c r="G265" s="20"/>
      <x:c r="H265" s="20"/>
      <x:c r="I265" s="20"/>
      <x:c r="J265" s="20"/>
      <x:c r="K265" s="20"/>
      <x:c r="L265" s="21"/>
    </x:row>
    <x:row r="266">
      <x:c r="A266" s="19"/>
      <x:c r="B266" s="20"/>
      <x:c r="C266" s="25"/>
      <x:c r="D266" s="20"/>
      <x:c r="E266" s="20"/>
      <x:c r="F266" s="20"/>
      <x:c r="G266" s="20"/>
      <x:c r="H266" s="20"/>
      <x:c r="I266" s="20"/>
      <x:c r="J266" s="20"/>
      <x:c r="K266" s="20"/>
      <x:c r="L266" s="21"/>
    </x:row>
    <x:row r="267">
      <x:c r="A267" s="19"/>
      <x:c r="B267" s="20"/>
      <x:c r="C267" s="25"/>
      <x:c r="D267" s="20"/>
      <x:c r="E267" s="20"/>
      <x:c r="F267" s="20"/>
      <x:c r="G267" s="20"/>
      <x:c r="H267" s="20"/>
      <x:c r="I267" s="20"/>
      <x:c r="J267" s="20"/>
      <x:c r="K267" s="20"/>
      <x:c r="L267" s="21"/>
    </x:row>
    <x:row r="268">
      <x:c r="A268" s="19"/>
      <x:c r="B268" s="20"/>
      <x:c r="C268" s="25"/>
      <x:c r="D268" s="20"/>
      <x:c r="E268" s="20"/>
      <x:c r="F268" s="20"/>
      <x:c r="G268" s="20"/>
      <x:c r="H268" s="20"/>
      <x:c r="I268" s="20"/>
      <x:c r="J268" s="20"/>
      <x:c r="K268" s="20"/>
      <x:c r="L268" s="21"/>
    </x:row>
    <x:row r="269">
      <x:c r="A269" s="19"/>
      <x:c r="B269" s="20"/>
      <x:c r="C269" s="25"/>
      <x:c r="D269" s="20"/>
      <x:c r="E269" s="20"/>
      <x:c r="F269" s="20"/>
      <x:c r="G269" s="20"/>
      <x:c r="H269" s="20"/>
      <x:c r="I269" s="20"/>
      <x:c r="J269" s="20"/>
      <x:c r="K269" s="20"/>
      <x:c r="L269" s="21"/>
    </x:row>
    <x:row r="270">
      <x:c r="A270" s="19"/>
      <x:c r="B270" s="20"/>
      <x:c r="C270" s="25"/>
      <x:c r="D270" s="20"/>
      <x:c r="E270" s="20"/>
      <x:c r="F270" s="20"/>
      <x:c r="G270" s="20"/>
      <x:c r="H270" s="20"/>
      <x:c r="I270" s="20"/>
      <x:c r="J270" s="20"/>
      <x:c r="K270" s="20"/>
      <x:c r="L270" s="21"/>
    </x:row>
    <x:row r="271">
      <x:c r="A271" s="19"/>
      <x:c r="B271" s="20"/>
      <x:c r="C271" s="25"/>
      <x:c r="D271" s="20"/>
      <x:c r="E271" s="20"/>
      <x:c r="F271" s="20"/>
      <x:c r="G271" s="20"/>
      <x:c r="H271" s="20"/>
      <x:c r="I271" s="20"/>
      <x:c r="J271" s="20"/>
      <x:c r="K271" s="20"/>
      <x:c r="L271" s="21"/>
    </x:row>
    <x:row r="272">
      <x:c r="A272" s="19"/>
      <x:c r="B272" s="20"/>
      <x:c r="C272" s="25"/>
      <x:c r="D272" s="20"/>
      <x:c r="E272" s="20"/>
      <x:c r="F272" s="20"/>
      <x:c r="G272" s="20"/>
      <x:c r="H272" s="20"/>
      <x:c r="I272" s="20"/>
      <x:c r="J272" s="20"/>
      <x:c r="K272" s="20"/>
      <x:c r="L272" s="21"/>
    </x:row>
    <x:row r="273">
      <x:c r="A273" s="19"/>
      <x:c r="B273" s="20"/>
      <x:c r="C273" s="25"/>
      <x:c r="D273" s="20"/>
      <x:c r="E273" s="20"/>
      <x:c r="F273" s="20"/>
      <x:c r="G273" s="20"/>
      <x:c r="H273" s="20"/>
      <x:c r="I273" s="20"/>
      <x:c r="J273" s="20"/>
      <x:c r="K273" s="20"/>
      <x:c r="L273" s="21"/>
    </x:row>
    <x:row r="274">
      <x:c r="A274" s="19"/>
      <x:c r="B274" s="20"/>
      <x:c r="C274" s="25"/>
      <x:c r="D274" s="20"/>
      <x:c r="E274" s="20"/>
      <x:c r="F274" s="20"/>
      <x:c r="G274" s="20"/>
      <x:c r="H274" s="20"/>
      <x:c r="I274" s="20"/>
      <x:c r="J274" s="20"/>
      <x:c r="K274" s="20"/>
      <x:c r="L274" s="21"/>
    </x:row>
    <x:row r="275">
      <x:c r="A275" s="19"/>
      <x:c r="B275" s="20"/>
      <x:c r="C275" s="25"/>
      <x:c r="D275" s="20"/>
      <x:c r="E275" s="20"/>
      <x:c r="F275" s="20"/>
      <x:c r="G275" s="20"/>
      <x:c r="H275" s="20"/>
      <x:c r="I275" s="20"/>
      <x:c r="J275" s="20"/>
      <x:c r="K275" s="20"/>
      <x:c r="L275" s="21"/>
    </x:row>
    <x:row r="276">
      <x:c r="A276" s="19"/>
      <x:c r="B276" s="20"/>
      <x:c r="C276" s="25"/>
      <x:c r="D276" s="20"/>
      <x:c r="E276" s="20"/>
      <x:c r="F276" s="20"/>
      <x:c r="G276" s="20"/>
      <x:c r="H276" s="20"/>
      <x:c r="I276" s="20"/>
      <x:c r="J276" s="20"/>
      <x:c r="K276" s="20"/>
      <x:c r="L276" s="21"/>
    </x:row>
    <x:row r="277">
      <x:c r="A277" s="19"/>
      <x:c r="B277" s="20"/>
      <x:c r="C277" s="25"/>
      <x:c r="D277" s="20"/>
      <x:c r="E277" s="20"/>
      <x:c r="F277" s="20"/>
      <x:c r="G277" s="20"/>
      <x:c r="H277" s="20"/>
      <x:c r="I277" s="20"/>
      <x:c r="J277" s="20"/>
      <x:c r="K277" s="20"/>
      <x:c r="L277" s="21"/>
    </x:row>
    <x:row r="278">
      <x:c r="A278" s="19"/>
      <x:c r="B278" s="20"/>
      <x:c r="C278" s="25"/>
      <x:c r="D278" s="20"/>
      <x:c r="E278" s="20"/>
      <x:c r="F278" s="20"/>
      <x:c r="G278" s="20"/>
      <x:c r="H278" s="20"/>
      <x:c r="I278" s="20"/>
      <x:c r="J278" s="20"/>
      <x:c r="K278" s="20"/>
      <x:c r="L278" s="21"/>
    </x:row>
    <x:row r="279">
      <x:c r="A279" s="19"/>
      <x:c r="B279" s="20"/>
      <x:c r="C279" s="25"/>
      <x:c r="D279" s="20"/>
      <x:c r="E279" s="20"/>
      <x:c r="F279" s="20"/>
      <x:c r="G279" s="20"/>
      <x:c r="H279" s="20"/>
      <x:c r="I279" s="20"/>
      <x:c r="J279" s="20"/>
      <x:c r="K279" s="20"/>
      <x:c r="L279" s="21"/>
    </x:row>
    <x:row r="280">
      <x:c r="A280" s="19"/>
      <x:c r="B280" s="20"/>
      <x:c r="C280" s="25"/>
      <x:c r="D280" s="20"/>
      <x:c r="E280" s="20"/>
      <x:c r="F280" s="20"/>
      <x:c r="G280" s="20"/>
      <x:c r="H280" s="20"/>
      <x:c r="I280" s="20"/>
      <x:c r="J280" s="20"/>
      <x:c r="K280" s="20"/>
      <x:c r="L280" s="21"/>
    </x:row>
    <x:row r="281">
      <x:c r="A281" s="19"/>
      <x:c r="B281" s="20"/>
      <x:c r="C281" s="25"/>
      <x:c r="D281" s="20"/>
      <x:c r="E281" s="20"/>
      <x:c r="F281" s="20"/>
      <x:c r="G281" s="20"/>
      <x:c r="H281" s="20"/>
      <x:c r="I281" s="20"/>
      <x:c r="J281" s="20"/>
      <x:c r="K281" s="20"/>
      <x:c r="L281" s="21"/>
    </x:row>
    <x:row r="282">
      <x:c r="A282" s="19"/>
      <x:c r="B282" s="20"/>
      <x:c r="C282" s="25"/>
      <x:c r="D282" s="20"/>
      <x:c r="E282" s="20"/>
      <x:c r="F282" s="20"/>
      <x:c r="G282" s="20"/>
      <x:c r="H282" s="20"/>
      <x:c r="I282" s="20"/>
      <x:c r="J282" s="20"/>
      <x:c r="K282" s="20"/>
      <x:c r="L282" s="21"/>
    </x:row>
    <x:row r="283">
      <x:c r="A283" s="19"/>
      <x:c r="B283" s="20"/>
      <x:c r="C283" s="25"/>
      <x:c r="D283" s="20"/>
      <x:c r="E283" s="20"/>
      <x:c r="F283" s="20"/>
      <x:c r="G283" s="20"/>
      <x:c r="H283" s="20"/>
      <x:c r="I283" s="20"/>
      <x:c r="J283" s="20"/>
      <x:c r="K283" s="20"/>
      <x:c r="L283" s="21"/>
    </x:row>
    <x:row r="284">
      <x:c r="A284" s="19"/>
      <x:c r="B284" s="20"/>
      <x:c r="C284" s="25"/>
      <x:c r="D284" s="20"/>
      <x:c r="E284" s="20"/>
      <x:c r="F284" s="20"/>
      <x:c r="G284" s="20"/>
      <x:c r="H284" s="20"/>
      <x:c r="I284" s="20"/>
      <x:c r="J284" s="20"/>
      <x:c r="K284" s="20"/>
      <x:c r="L284" s="21"/>
    </x:row>
    <x:row r="285">
      <x:c r="A285" s="19"/>
      <x:c r="B285" s="20"/>
      <x:c r="C285" s="25"/>
      <x:c r="D285" s="20"/>
      <x:c r="E285" s="20"/>
      <x:c r="F285" s="20"/>
      <x:c r="G285" s="20"/>
      <x:c r="H285" s="20"/>
      <x:c r="I285" s="20"/>
      <x:c r="J285" s="20"/>
      <x:c r="K285" s="20"/>
      <x:c r="L285" s="21"/>
    </x:row>
    <x:row r="286">
      <x:c r="A286" s="19"/>
      <x:c r="B286" s="20"/>
      <x:c r="C286" s="25"/>
      <x:c r="D286" s="20"/>
      <x:c r="E286" s="20"/>
      <x:c r="F286" s="20"/>
      <x:c r="G286" s="20"/>
      <x:c r="H286" s="20"/>
      <x:c r="I286" s="20"/>
      <x:c r="J286" s="20"/>
      <x:c r="K286" s="20"/>
      <x:c r="L286" s="21"/>
    </x:row>
    <x:row r="287">
      <x:c r="A287" s="19"/>
      <x:c r="B287" s="20"/>
      <x:c r="C287" s="25"/>
      <x:c r="D287" s="20"/>
      <x:c r="E287" s="20"/>
      <x:c r="F287" s="20"/>
      <x:c r="G287" s="20"/>
      <x:c r="H287" s="20"/>
      <x:c r="I287" s="20"/>
      <x:c r="J287" s="20"/>
      <x:c r="K287" s="20"/>
      <x:c r="L287" s="21"/>
    </x:row>
    <x:row r="288">
      <x:c r="A288" s="19"/>
      <x:c r="B288" s="20"/>
      <x:c r="C288" s="25"/>
      <x:c r="D288" s="20"/>
      <x:c r="E288" s="20"/>
      <x:c r="F288" s="20"/>
      <x:c r="G288" s="20"/>
      <x:c r="H288" s="20"/>
      <x:c r="I288" s="20"/>
      <x:c r="J288" s="20"/>
      <x:c r="K288" s="20"/>
      <x:c r="L288" s="21"/>
    </x:row>
    <x:row r="289">
      <x:c r="A289" s="19"/>
      <x:c r="B289" s="20"/>
      <x:c r="C289" s="25"/>
      <x:c r="D289" s="20"/>
      <x:c r="E289" s="20"/>
      <x:c r="F289" s="20"/>
      <x:c r="G289" s="20"/>
      <x:c r="H289" s="20"/>
      <x:c r="I289" s="20"/>
      <x:c r="J289" s="20"/>
      <x:c r="K289" s="20"/>
      <x:c r="L289" s="21"/>
    </x:row>
    <x:row r="290">
      <x:c r="A290" s="19"/>
      <x:c r="B290" s="20"/>
      <x:c r="C290" s="25"/>
      <x:c r="D290" s="20"/>
      <x:c r="E290" s="20"/>
      <x:c r="F290" s="20"/>
      <x:c r="G290" s="20"/>
      <x:c r="H290" s="20"/>
      <x:c r="I290" s="20"/>
      <x:c r="J290" s="20"/>
      <x:c r="K290" s="20"/>
      <x:c r="L290" s="21"/>
    </x:row>
    <x:row r="291">
      <x:c r="A291" s="19"/>
      <x:c r="B291" s="20"/>
      <x:c r="C291" s="25"/>
      <x:c r="D291" s="20"/>
      <x:c r="E291" s="20"/>
      <x:c r="F291" s="20"/>
      <x:c r="G291" s="20"/>
      <x:c r="H291" s="20"/>
      <x:c r="I291" s="20"/>
      <x:c r="J291" s="20"/>
      <x:c r="K291" s="20"/>
      <x:c r="L291" s="21"/>
    </x:row>
    <x:row r="292">
      <x:c r="A292" s="19"/>
      <x:c r="B292" s="20"/>
      <x:c r="C292" s="25"/>
      <x:c r="D292" s="20"/>
      <x:c r="E292" s="20"/>
      <x:c r="F292" s="20"/>
      <x:c r="G292" s="20"/>
      <x:c r="H292" s="20"/>
      <x:c r="I292" s="20"/>
      <x:c r="J292" s="20"/>
      <x:c r="K292" s="20"/>
      <x:c r="L292" s="21"/>
    </x:row>
    <x:row r="293">
      <x:c r="A293" s="19"/>
      <x:c r="B293" s="20"/>
      <x:c r="C293" s="25"/>
      <x:c r="D293" s="20"/>
      <x:c r="E293" s="20"/>
      <x:c r="F293" s="20"/>
      <x:c r="G293" s="20"/>
      <x:c r="H293" s="20"/>
      <x:c r="I293" s="20"/>
      <x:c r="J293" s="20"/>
      <x:c r="K293" s="20"/>
      <x:c r="L293" s="21"/>
    </x:row>
    <x:row r="294">
      <x:c r="A294" s="19"/>
      <x:c r="B294" s="20"/>
      <x:c r="C294" s="25"/>
      <x:c r="D294" s="20"/>
      <x:c r="E294" s="20"/>
      <x:c r="F294" s="20"/>
      <x:c r="G294" s="20"/>
      <x:c r="H294" s="20"/>
      <x:c r="I294" s="20"/>
      <x:c r="J294" s="20"/>
      <x:c r="K294" s="20"/>
      <x:c r="L294" s="21"/>
    </x:row>
    <x:row r="295">
      <x:c r="A295" s="19"/>
      <x:c r="B295" s="20"/>
      <x:c r="C295" s="25"/>
      <x:c r="D295" s="20"/>
      <x:c r="E295" s="20"/>
      <x:c r="F295" s="20"/>
      <x:c r="G295" s="20"/>
      <x:c r="H295" s="20"/>
      <x:c r="I295" s="20"/>
      <x:c r="J295" s="20"/>
      <x:c r="K295" s="20"/>
      <x:c r="L295" s="21"/>
    </x:row>
    <x:row r="296">
      <x:c r="A296" s="19"/>
      <x:c r="B296" s="20"/>
      <x:c r="C296" s="25"/>
      <x:c r="D296" s="20"/>
      <x:c r="E296" s="20"/>
      <x:c r="F296" s="20"/>
      <x:c r="G296" s="20"/>
      <x:c r="H296" s="20"/>
      <x:c r="I296" s="20"/>
      <x:c r="J296" s="20"/>
      <x:c r="K296" s="20"/>
      <x:c r="L296" s="21"/>
    </x:row>
    <x:row r="297">
      <x:c r="A297" s="19"/>
      <x:c r="B297" s="20"/>
      <x:c r="C297" s="25"/>
      <x:c r="D297" s="20"/>
      <x:c r="E297" s="20"/>
      <x:c r="F297" s="20"/>
      <x:c r="G297" s="20"/>
      <x:c r="H297" s="20"/>
      <x:c r="I297" s="20"/>
      <x:c r="J297" s="20"/>
      <x:c r="K297" s="20"/>
      <x:c r="L297" s="21"/>
    </x:row>
    <x:row r="298">
      <x:c r="A298" s="19"/>
      <x:c r="B298" s="20"/>
      <x:c r="C298" s="25"/>
      <x:c r="D298" s="20"/>
      <x:c r="E298" s="20"/>
      <x:c r="F298" s="20"/>
      <x:c r="G298" s="20"/>
      <x:c r="H298" s="20"/>
      <x:c r="I298" s="20"/>
      <x:c r="J298" s="20"/>
      <x:c r="K298" s="20"/>
      <x:c r="L298" s="21"/>
    </x:row>
    <x:row r="299">
      <x:c r="A299" s="19"/>
      <x:c r="B299" s="20"/>
      <x:c r="C299" s="25"/>
      <x:c r="D299" s="20"/>
      <x:c r="E299" s="20"/>
      <x:c r="F299" s="20"/>
      <x:c r="G299" s="20"/>
      <x:c r="H299" s="20"/>
      <x:c r="I299" s="20"/>
      <x:c r="J299" s="20"/>
      <x:c r="K299" s="20"/>
      <x:c r="L299" s="21"/>
    </x:row>
    <x:row r="300">
      <x:c r="A300" s="19"/>
      <x:c r="B300" s="20"/>
      <x:c r="C300" s="25"/>
      <x:c r="D300" s="20"/>
      <x:c r="E300" s="20"/>
      <x:c r="F300" s="20"/>
      <x:c r="G300" s="20"/>
      <x:c r="H300" s="20"/>
      <x:c r="I300" s="20"/>
      <x:c r="J300" s="20"/>
      <x:c r="K300" s="20"/>
      <x:c r="L300" s="21"/>
    </x:row>
    <x:row r="301">
      <x:c r="A301" s="19"/>
      <x:c r="B301" s="20"/>
      <x:c r="C301" s="25"/>
      <x:c r="D301" s="20"/>
      <x:c r="E301" s="20"/>
      <x:c r="F301" s="20"/>
      <x:c r="G301" s="20"/>
      <x:c r="H301" s="20"/>
      <x:c r="I301" s="20"/>
      <x:c r="J301" s="20"/>
      <x:c r="K301" s="20"/>
      <x:c r="L301" s="21"/>
    </x:row>
    <x:row r="302">
      <x:c r="A302" s="19"/>
      <x:c r="B302" s="20"/>
      <x:c r="C302" s="25"/>
      <x:c r="D302" s="20"/>
      <x:c r="E302" s="20"/>
      <x:c r="F302" s="20"/>
      <x:c r="G302" s="20"/>
      <x:c r="H302" s="20"/>
      <x:c r="I302" s="20"/>
      <x:c r="J302" s="20"/>
      <x:c r="K302" s="20"/>
      <x:c r="L302" s="21"/>
    </x:row>
    <x:row r="303">
      <x:c r="A303" s="19"/>
      <x:c r="B303" s="20"/>
      <x:c r="C303" s="25"/>
      <x:c r="D303" s="20"/>
      <x:c r="E303" s="20"/>
      <x:c r="F303" s="20"/>
      <x:c r="G303" s="20"/>
      <x:c r="H303" s="20"/>
      <x:c r="I303" s="20"/>
      <x:c r="J303" s="20"/>
      <x:c r="K303" s="20"/>
      <x:c r="L303" s="21"/>
    </x:row>
    <x:row r="304">
      <x:c r="A304" s="19"/>
      <x:c r="B304" s="20"/>
      <x:c r="C304" s="25"/>
      <x:c r="D304" s="20"/>
      <x:c r="E304" s="20"/>
      <x:c r="F304" s="20"/>
      <x:c r="G304" s="20"/>
      <x:c r="H304" s="20"/>
      <x:c r="I304" s="20"/>
      <x:c r="J304" s="20"/>
      <x:c r="K304" s="20"/>
      <x:c r="L304" s="21"/>
    </x:row>
    <x:row r="305">
      <x:c r="A305" s="19"/>
      <x:c r="B305" s="20"/>
      <x:c r="C305" s="25"/>
      <x:c r="D305" s="20"/>
      <x:c r="E305" s="20"/>
      <x:c r="F305" s="20"/>
      <x:c r="G305" s="20"/>
      <x:c r="H305" s="20"/>
      <x:c r="I305" s="20"/>
      <x:c r="J305" s="20"/>
      <x:c r="K305" s="20"/>
      <x:c r="L305" s="21"/>
    </x:row>
    <x:row r="306">
      <x:c r="A306" s="19"/>
      <x:c r="B306" s="20"/>
      <x:c r="C306" s="25"/>
      <x:c r="D306" s="20"/>
      <x:c r="E306" s="20"/>
      <x:c r="F306" s="20"/>
      <x:c r="G306" s="20"/>
      <x:c r="H306" s="20"/>
      <x:c r="I306" s="20"/>
      <x:c r="J306" s="20"/>
      <x:c r="K306" s="20"/>
      <x:c r="L306" s="21"/>
    </x:row>
    <x:row r="307">
      <x:c r="A307" s="19"/>
      <x:c r="B307" s="20"/>
      <x:c r="C307" s="25"/>
      <x:c r="D307" s="20"/>
      <x:c r="E307" s="20"/>
      <x:c r="F307" s="20"/>
      <x:c r="G307" s="20"/>
      <x:c r="H307" s="20"/>
      <x:c r="I307" s="20"/>
      <x:c r="J307" s="20"/>
      <x:c r="K307" s="20"/>
      <x:c r="L307" s="21"/>
    </x:row>
    <x:row r="308">
      <x:c r="A308" s="19"/>
      <x:c r="B308" s="20"/>
      <x:c r="C308" s="25"/>
      <x:c r="D308" s="20"/>
      <x:c r="E308" s="20"/>
      <x:c r="F308" s="20"/>
      <x:c r="G308" s="20"/>
      <x:c r="H308" s="20"/>
      <x:c r="I308" s="20"/>
      <x:c r="J308" s="20"/>
      <x:c r="K308" s="20"/>
      <x:c r="L308" s="21"/>
    </x:row>
    <x:row r="309">
      <x:c r="A309" s="19"/>
      <x:c r="B309" s="20"/>
      <x:c r="C309" s="25"/>
      <x:c r="D309" s="20"/>
      <x:c r="E309" s="20"/>
      <x:c r="F309" s="20"/>
      <x:c r="G309" s="20"/>
      <x:c r="H309" s="20"/>
      <x:c r="I309" s="20"/>
      <x:c r="J309" s="20"/>
      <x:c r="K309" s="20"/>
      <x:c r="L309" s="21"/>
    </x:row>
    <x:row r="310">
      <x:c r="A310" s="19"/>
      <x:c r="B310" s="20"/>
      <x:c r="C310" s="25"/>
      <x:c r="D310" s="20"/>
      <x:c r="E310" s="20"/>
      <x:c r="F310" s="20"/>
      <x:c r="G310" s="20"/>
      <x:c r="H310" s="20"/>
      <x:c r="I310" s="20"/>
      <x:c r="J310" s="20"/>
      <x:c r="K310" s="20"/>
      <x:c r="L310" s="21"/>
    </x:row>
    <x:row r="311">
      <x:c r="A311" s="19"/>
      <x:c r="B311" s="20"/>
      <x:c r="C311" s="25"/>
      <x:c r="D311" s="20"/>
      <x:c r="E311" s="20"/>
      <x:c r="F311" s="20"/>
      <x:c r="G311" s="20"/>
      <x:c r="H311" s="20"/>
      <x:c r="I311" s="20"/>
      <x:c r="J311" s="20"/>
      <x:c r="K311" s="20"/>
      <x:c r="L311" s="21"/>
    </x:row>
    <x:row r="312">
      <x:c r="A312" s="19"/>
      <x:c r="B312" s="20"/>
      <x:c r="C312" s="25"/>
      <x:c r="D312" s="20"/>
      <x:c r="E312" s="20"/>
      <x:c r="F312" s="20"/>
      <x:c r="G312" s="20"/>
      <x:c r="H312" s="20"/>
      <x:c r="I312" s="20"/>
      <x:c r="J312" s="20"/>
      <x:c r="K312" s="20"/>
      <x:c r="L312" s="21"/>
    </x:row>
    <x:row r="313">
      <x:c r="A313" s="19"/>
      <x:c r="B313" s="20"/>
      <x:c r="C313" s="25"/>
      <x:c r="D313" s="20"/>
      <x:c r="E313" s="20"/>
      <x:c r="F313" s="20"/>
      <x:c r="G313" s="20"/>
      <x:c r="H313" s="20"/>
      <x:c r="I313" s="20"/>
      <x:c r="J313" s="20"/>
      <x:c r="K313" s="20"/>
      <x:c r="L313" s="21"/>
    </x:row>
    <x:row r="314">
      <x:c r="A314" s="19"/>
      <x:c r="B314" s="20"/>
      <x:c r="C314" s="25"/>
      <x:c r="D314" s="20"/>
      <x:c r="E314" s="20"/>
      <x:c r="F314" s="20"/>
      <x:c r="G314" s="20"/>
      <x:c r="H314" s="20"/>
      <x:c r="I314" s="20"/>
      <x:c r="J314" s="20"/>
      <x:c r="K314" s="20"/>
      <x:c r="L314" s="21"/>
    </x:row>
    <x:row r="315">
      <x:c r="A315" s="19"/>
      <x:c r="B315" s="20"/>
      <x:c r="C315" s="25"/>
      <x:c r="D315" s="20"/>
      <x:c r="E315" s="20"/>
      <x:c r="F315" s="20"/>
      <x:c r="G315" s="20"/>
      <x:c r="H315" s="20"/>
      <x:c r="I315" s="20"/>
      <x:c r="J315" s="20"/>
      <x:c r="K315" s="20"/>
      <x:c r="L315" s="21"/>
    </x:row>
    <x:row r="316">
      <x:c r="A316" s="19"/>
      <x:c r="B316" s="20"/>
      <x:c r="C316" s="25"/>
      <x:c r="D316" s="20"/>
      <x:c r="E316" s="20"/>
      <x:c r="F316" s="20"/>
      <x:c r="G316" s="20"/>
      <x:c r="H316" s="20"/>
      <x:c r="I316" s="20"/>
      <x:c r="J316" s="20"/>
      <x:c r="K316" s="20"/>
      <x:c r="L316" s="21"/>
    </x:row>
    <x:row r="317">
      <x:c r="A317" s="19"/>
      <x:c r="B317" s="20"/>
      <x:c r="C317" s="25"/>
      <x:c r="D317" s="20"/>
      <x:c r="E317" s="20"/>
      <x:c r="F317" s="20"/>
      <x:c r="G317" s="20"/>
      <x:c r="H317" s="20"/>
      <x:c r="I317" s="20"/>
      <x:c r="J317" s="20"/>
      <x:c r="K317" s="20"/>
      <x:c r="L317" s="21"/>
    </x:row>
    <x:row r="318">
      <x:c r="A318" s="19"/>
      <x:c r="B318" s="20"/>
      <x:c r="C318" s="25"/>
      <x:c r="D318" s="20"/>
      <x:c r="E318" s="20"/>
      <x:c r="F318" s="20"/>
      <x:c r="G318" s="20"/>
      <x:c r="H318" s="20"/>
      <x:c r="I318" s="20"/>
      <x:c r="J318" s="20"/>
      <x:c r="K318" s="20"/>
      <x:c r="L318" s="21"/>
    </x:row>
    <x:row r="319">
      <x:c r="A319" s="19"/>
      <x:c r="B319" s="20"/>
      <x:c r="C319" s="25"/>
      <x:c r="D319" s="20"/>
      <x:c r="E319" s="20"/>
      <x:c r="F319" s="20"/>
      <x:c r="G319" s="20"/>
      <x:c r="H319" s="20"/>
      <x:c r="I319" s="20"/>
      <x:c r="J319" s="20"/>
      <x:c r="K319" s="20"/>
      <x:c r="L319" s="21"/>
    </x:row>
    <x:row r="320">
      <x:c r="A320" s="19"/>
      <x:c r="B320" s="20"/>
      <x:c r="C320" s="25"/>
      <x:c r="D320" s="20"/>
      <x:c r="E320" s="20"/>
      <x:c r="F320" s="20"/>
      <x:c r="G320" s="20"/>
      <x:c r="H320" s="20"/>
      <x:c r="I320" s="20"/>
      <x:c r="J320" s="20"/>
      <x:c r="K320" s="20"/>
      <x:c r="L320" s="21"/>
    </x:row>
    <x:row r="321">
      <x:c r="A321" s="19"/>
      <x:c r="B321" s="20"/>
      <x:c r="C321" s="25"/>
      <x:c r="D321" s="20"/>
      <x:c r="E321" s="20"/>
      <x:c r="F321" s="20"/>
      <x:c r="G321" s="20"/>
      <x:c r="H321" s="20"/>
      <x:c r="I321" s="20"/>
      <x:c r="J321" s="20"/>
      <x:c r="K321" s="20"/>
      <x:c r="L321" s="21"/>
    </x:row>
    <x:row r="322">
      <x:c r="A322" s="19"/>
      <x:c r="B322" s="20"/>
      <x:c r="C322" s="25"/>
      <x:c r="D322" s="20"/>
      <x:c r="E322" s="20"/>
      <x:c r="F322" s="20"/>
      <x:c r="G322" s="20"/>
      <x:c r="H322" s="20"/>
      <x:c r="I322" s="20"/>
      <x:c r="J322" s="20"/>
      <x:c r="K322" s="20"/>
      <x:c r="L322" s="21"/>
    </x:row>
    <x:row r="323">
      <x:c r="A323" s="19"/>
      <x:c r="B323" s="20"/>
      <x:c r="C323" s="25"/>
      <x:c r="D323" s="20"/>
      <x:c r="E323" s="20"/>
      <x:c r="F323" s="20"/>
      <x:c r="G323" s="20"/>
      <x:c r="H323" s="20"/>
      <x:c r="I323" s="20"/>
      <x:c r="J323" s="20"/>
      <x:c r="K323" s="20"/>
      <x:c r="L323" s="21"/>
    </x:row>
    <x:row r="324">
      <x:c r="A324" s="19"/>
      <x:c r="B324" s="20"/>
      <x:c r="C324" s="25"/>
      <x:c r="D324" s="20"/>
      <x:c r="E324" s="20"/>
      <x:c r="F324" s="20"/>
      <x:c r="G324" s="20"/>
      <x:c r="H324" s="20"/>
      <x:c r="I324" s="20"/>
      <x:c r="J324" s="20"/>
      <x:c r="K324" s="20"/>
      <x:c r="L324" s="21"/>
    </x:row>
    <x:row r="325">
      <x:c r="A325" s="19"/>
      <x:c r="B325" s="20"/>
      <x:c r="C325" s="25"/>
      <x:c r="D325" s="20"/>
      <x:c r="E325" s="20"/>
      <x:c r="F325" s="20"/>
      <x:c r="G325" s="20"/>
      <x:c r="H325" s="20"/>
      <x:c r="I325" s="20"/>
      <x:c r="J325" s="20"/>
      <x:c r="K325" s="20"/>
      <x:c r="L325" s="21"/>
    </x:row>
    <x:row r="326">
      <x:c r="A326" s="19"/>
      <x:c r="B326" s="20"/>
      <x:c r="C326" s="25"/>
      <x:c r="D326" s="20"/>
      <x:c r="E326" s="20"/>
      <x:c r="F326" s="20"/>
      <x:c r="G326" s="20"/>
      <x:c r="H326" s="20"/>
      <x:c r="I326" s="20"/>
      <x:c r="J326" s="20"/>
      <x:c r="K326" s="20"/>
      <x:c r="L326" s="21"/>
    </x:row>
    <x:row r="327">
      <x:c r="A327" s="19"/>
      <x:c r="B327" s="20"/>
      <x:c r="C327" s="25"/>
      <x:c r="D327" s="20"/>
      <x:c r="E327" s="20"/>
      <x:c r="F327" s="20"/>
      <x:c r="G327" s="20"/>
      <x:c r="H327" s="20"/>
      <x:c r="I327" s="20"/>
      <x:c r="J327" s="20"/>
      <x:c r="K327" s="20"/>
      <x:c r="L327" s="21"/>
    </x:row>
    <x:row r="328">
      <x:c r="A328" s="19"/>
      <x:c r="B328" s="20"/>
      <x:c r="C328" s="25"/>
      <x:c r="D328" s="20"/>
      <x:c r="E328" s="20"/>
      <x:c r="F328" s="20"/>
      <x:c r="G328" s="20"/>
      <x:c r="H328" s="20"/>
      <x:c r="I328" s="20"/>
      <x:c r="J328" s="20"/>
      <x:c r="K328" s="20"/>
      <x:c r="L328" s="21"/>
    </x:row>
    <x:row r="329">
      <x:c r="A329" s="19"/>
      <x:c r="B329" s="20"/>
      <x:c r="C329" s="25"/>
      <x:c r="D329" s="20"/>
      <x:c r="E329" s="20"/>
      <x:c r="F329" s="20"/>
      <x:c r="G329" s="20"/>
      <x:c r="H329" s="20"/>
      <x:c r="I329" s="20"/>
      <x:c r="J329" s="20"/>
      <x:c r="K329" s="20"/>
      <x:c r="L329" s="21"/>
    </x:row>
    <x:row r="330">
      <x:c r="A330" s="19"/>
      <x:c r="B330" s="20"/>
      <x:c r="C330" s="25"/>
      <x:c r="D330" s="20"/>
      <x:c r="E330" s="20"/>
      <x:c r="F330" s="20"/>
      <x:c r="G330" s="20"/>
      <x:c r="H330" s="20"/>
      <x:c r="I330" s="20"/>
      <x:c r="J330" s="20"/>
      <x:c r="K330" s="20"/>
      <x:c r="L330" s="21"/>
    </x:row>
    <x:row r="331">
      <x:c r="A331" s="19"/>
      <x:c r="B331" s="20"/>
      <x:c r="C331" s="25"/>
      <x:c r="D331" s="20"/>
      <x:c r="E331" s="20"/>
      <x:c r="F331" s="20"/>
      <x:c r="G331" s="20"/>
      <x:c r="H331" s="20"/>
      <x:c r="I331" s="20"/>
      <x:c r="J331" s="20"/>
      <x:c r="K331" s="20"/>
      <x:c r="L331" s="21"/>
    </x:row>
    <x:row r="332">
      <x:c r="A332" s="19"/>
      <x:c r="B332" s="20"/>
      <x:c r="C332" s="25"/>
      <x:c r="D332" s="20"/>
      <x:c r="E332" s="20"/>
      <x:c r="F332" s="20"/>
      <x:c r="G332" s="20"/>
      <x:c r="H332" s="20"/>
      <x:c r="I332" s="20"/>
      <x:c r="J332" s="20"/>
      <x:c r="K332" s="20"/>
      <x:c r="L332" s="21"/>
    </x:row>
    <x:row r="333">
      <x:c r="A333" s="19"/>
      <x:c r="B333" s="20"/>
      <x:c r="C333" s="25"/>
      <x:c r="D333" s="20"/>
      <x:c r="E333" s="20"/>
      <x:c r="F333" s="20"/>
      <x:c r="G333" s="20"/>
      <x:c r="H333" s="20"/>
      <x:c r="I333" s="20"/>
      <x:c r="J333" s="20"/>
      <x:c r="K333" s="20"/>
      <x:c r="L333" s="21"/>
    </x:row>
    <x:row r="334">
      <x:c r="A334" s="19"/>
      <x:c r="B334" s="20"/>
      <x:c r="C334" s="25"/>
      <x:c r="D334" s="20"/>
      <x:c r="E334" s="20"/>
      <x:c r="F334" s="20"/>
      <x:c r="G334" s="20"/>
      <x:c r="H334" s="20"/>
      <x:c r="I334" s="20"/>
      <x:c r="J334" s="20"/>
      <x:c r="K334" s="20"/>
      <x:c r="L334" s="21"/>
    </x:row>
    <x:row r="335">
      <x:c r="A335" s="19"/>
      <x:c r="B335" s="20"/>
      <x:c r="C335" s="25"/>
      <x:c r="D335" s="20"/>
      <x:c r="E335" s="20"/>
      <x:c r="F335" s="20"/>
      <x:c r="G335" s="20"/>
      <x:c r="H335" s="20"/>
      <x:c r="I335" s="20"/>
      <x:c r="J335" s="20"/>
      <x:c r="K335" s="20"/>
      <x:c r="L335" s="21"/>
    </x:row>
    <x:row r="336">
      <x:c r="A336" s="19"/>
      <x:c r="B336" s="20"/>
      <x:c r="C336" s="25"/>
      <x:c r="D336" s="20"/>
      <x:c r="E336" s="20"/>
      <x:c r="F336" s="20"/>
      <x:c r="G336" s="20"/>
      <x:c r="H336" s="20"/>
      <x:c r="I336" s="20"/>
      <x:c r="J336" s="20"/>
      <x:c r="K336" s="20"/>
      <x:c r="L336" s="21"/>
    </x:row>
    <x:row r="337">
      <x:c r="A337" s="19"/>
      <x:c r="B337" s="20"/>
      <x:c r="C337" s="25"/>
      <x:c r="D337" s="20"/>
      <x:c r="E337" s="20"/>
      <x:c r="F337" s="20"/>
      <x:c r="G337" s="20"/>
      <x:c r="H337" s="20"/>
      <x:c r="I337" s="20"/>
      <x:c r="J337" s="20"/>
      <x:c r="K337" s="20"/>
      <x:c r="L337" s="21"/>
    </x:row>
    <x:row r="338">
      <x:c r="A338" s="19"/>
      <x:c r="B338" s="20"/>
      <x:c r="C338" s="25"/>
      <x:c r="D338" s="20"/>
      <x:c r="E338" s="20"/>
      <x:c r="F338" s="20"/>
      <x:c r="G338" s="20"/>
      <x:c r="H338" s="20"/>
      <x:c r="I338" s="20"/>
      <x:c r="J338" s="20"/>
      <x:c r="K338" s="20"/>
      <x:c r="L338" s="21"/>
    </x:row>
    <x:row r="339">
      <x:c r="A339" s="19"/>
      <x:c r="B339" s="20"/>
      <x:c r="C339" s="25"/>
      <x:c r="D339" s="20"/>
      <x:c r="E339" s="20"/>
      <x:c r="F339" s="20"/>
      <x:c r="G339" s="20"/>
      <x:c r="H339" s="20"/>
      <x:c r="I339" s="20"/>
      <x:c r="J339" s="20"/>
      <x:c r="K339" s="20"/>
      <x:c r="L339" s="21"/>
    </x:row>
    <x:row r="340">
      <x:c r="A340" s="19"/>
      <x:c r="B340" s="20"/>
      <x:c r="C340" s="25"/>
      <x:c r="D340" s="20"/>
      <x:c r="E340" s="20"/>
      <x:c r="F340" s="20"/>
      <x:c r="G340" s="20"/>
      <x:c r="H340" s="20"/>
      <x:c r="I340" s="20"/>
      <x:c r="J340" s="20"/>
      <x:c r="K340" s="20"/>
      <x:c r="L340" s="21"/>
    </x:row>
    <x:row r="341">
      <x:c r="A341" s="19"/>
      <x:c r="B341" s="20"/>
      <x:c r="C341" s="25"/>
      <x:c r="D341" s="20"/>
      <x:c r="E341" s="20"/>
      <x:c r="F341" s="20"/>
      <x:c r="G341" s="20"/>
      <x:c r="H341" s="20"/>
      <x:c r="I341" s="20"/>
      <x:c r="J341" s="20"/>
      <x:c r="K341" s="20"/>
      <x:c r="L341" s="21"/>
    </x:row>
    <x:row r="342">
      <x:c r="A342" s="19"/>
      <x:c r="B342" s="20"/>
      <x:c r="C342" s="25"/>
      <x:c r="D342" s="20"/>
      <x:c r="E342" s="20"/>
      <x:c r="F342" s="20"/>
      <x:c r="G342" s="20"/>
      <x:c r="H342" s="20"/>
      <x:c r="I342" s="20"/>
      <x:c r="J342" s="20"/>
      <x:c r="K342" s="20"/>
      <x:c r="L342" s="21"/>
    </x:row>
    <x:row r="343">
      <x:c r="A343" s="19"/>
      <x:c r="B343" s="20"/>
      <x:c r="C343" s="25"/>
      <x:c r="D343" s="20"/>
      <x:c r="E343" s="20"/>
      <x:c r="F343" s="20"/>
      <x:c r="G343" s="20"/>
      <x:c r="H343" s="20"/>
      <x:c r="I343" s="20"/>
      <x:c r="J343" s="20"/>
      <x:c r="K343" s="20"/>
      <x:c r="L343" s="21"/>
    </x:row>
    <x:row r="344">
      <x:c r="A344" s="19"/>
      <x:c r="B344" s="20"/>
      <x:c r="C344" s="25"/>
      <x:c r="D344" s="20"/>
      <x:c r="E344" s="20"/>
      <x:c r="F344" s="20"/>
      <x:c r="G344" s="20"/>
      <x:c r="H344" s="20"/>
      <x:c r="I344" s="20"/>
      <x:c r="J344" s="20"/>
      <x:c r="K344" s="20"/>
      <x:c r="L344" s="21"/>
    </x:row>
    <x:row r="345">
      <x:c r="A345" s="19"/>
      <x:c r="B345" s="20"/>
      <x:c r="C345" s="25"/>
      <x:c r="D345" s="20"/>
      <x:c r="E345" s="20"/>
      <x:c r="F345" s="20"/>
      <x:c r="G345" s="20"/>
      <x:c r="H345" s="20"/>
      <x:c r="I345" s="20"/>
      <x:c r="J345" s="20"/>
      <x:c r="K345" s="20"/>
      <x:c r="L345" s="21"/>
    </x:row>
    <x:row r="346">
      <x:c r="A346" s="19"/>
      <x:c r="B346" s="20"/>
      <x:c r="C346" s="25"/>
      <x:c r="D346" s="20"/>
      <x:c r="E346" s="20"/>
      <x:c r="F346" s="20"/>
      <x:c r="G346" s="20"/>
      <x:c r="H346" s="20"/>
      <x:c r="I346" s="20"/>
      <x:c r="J346" s="20"/>
      <x:c r="K346" s="20"/>
      <x:c r="L346" s="21"/>
    </x:row>
    <x:row r="347">
      <x:c r="A347" s="19"/>
      <x:c r="B347" s="20"/>
      <x:c r="C347" s="25"/>
      <x:c r="D347" s="20"/>
      <x:c r="E347" s="20"/>
      <x:c r="F347" s="20"/>
      <x:c r="G347" s="20"/>
      <x:c r="H347" s="20"/>
      <x:c r="I347" s="20"/>
      <x:c r="J347" s="20"/>
      <x:c r="K347" s="20"/>
      <x:c r="L347" s="21"/>
    </x:row>
    <x:row r="348">
      <x:c r="A348" s="19"/>
      <x:c r="B348" s="20"/>
      <x:c r="C348" s="25"/>
      <x:c r="D348" s="20"/>
      <x:c r="E348" s="20"/>
      <x:c r="F348" s="20"/>
      <x:c r="G348" s="20"/>
      <x:c r="H348" s="20"/>
      <x:c r="I348" s="20"/>
      <x:c r="J348" s="20"/>
      <x:c r="K348" s="20"/>
      <x:c r="L348" s="21"/>
    </x:row>
    <x:row r="349">
      <x:c r="A349" s="19"/>
      <x:c r="B349" s="20"/>
      <x:c r="C349" s="25"/>
      <x:c r="D349" s="20"/>
      <x:c r="E349" s="20"/>
      <x:c r="F349" s="20"/>
      <x:c r="G349" s="20"/>
      <x:c r="H349" s="20"/>
      <x:c r="I349" s="20"/>
      <x:c r="J349" s="20"/>
      <x:c r="K349" s="20"/>
      <x:c r="L349" s="21"/>
    </x:row>
    <x:row r="350">
      <x:c r="A350" s="19"/>
      <x:c r="B350" s="20"/>
      <x:c r="C350" s="25"/>
      <x:c r="D350" s="20"/>
      <x:c r="E350" s="20"/>
      <x:c r="F350" s="20"/>
      <x:c r="G350" s="20"/>
      <x:c r="H350" s="20"/>
      <x:c r="I350" s="20"/>
      <x:c r="J350" s="20"/>
      <x:c r="K350" s="20"/>
      <x:c r="L350" s="21"/>
    </x:row>
    <x:row r="351">
      <x:c r="A351" s="19"/>
      <x:c r="B351" s="20"/>
      <x:c r="C351" s="25"/>
      <x:c r="D351" s="20"/>
      <x:c r="E351" s="20"/>
      <x:c r="F351" s="20"/>
      <x:c r="G351" s="20"/>
      <x:c r="H351" s="20"/>
      <x:c r="I351" s="20"/>
      <x:c r="J351" s="20"/>
      <x:c r="K351" s="20"/>
      <x:c r="L351" s="21"/>
    </x:row>
    <x:row r="352">
      <x:c r="A352" s="19"/>
      <x:c r="B352" s="20"/>
      <x:c r="C352" s="25"/>
      <x:c r="D352" s="20"/>
      <x:c r="E352" s="20"/>
      <x:c r="F352" s="20"/>
      <x:c r="G352" s="20"/>
      <x:c r="H352" s="20"/>
      <x:c r="I352" s="20"/>
      <x:c r="J352" s="20"/>
      <x:c r="K352" s="20"/>
      <x:c r="L352" s="21"/>
    </x:row>
    <x:row r="353">
      <x:c r="A353" s="19"/>
      <x:c r="B353" s="20"/>
      <x:c r="C353" s="25"/>
      <x:c r="D353" s="20"/>
      <x:c r="E353" s="20"/>
      <x:c r="F353" s="20"/>
      <x:c r="G353" s="20"/>
      <x:c r="H353" s="20"/>
      <x:c r="I353" s="20"/>
      <x:c r="J353" s="20"/>
      <x:c r="K353" s="20"/>
      <x:c r="L353" s="21"/>
    </x:row>
    <x:row r="354">
      <x:c r="A354" s="19"/>
      <x:c r="B354" s="20"/>
      <x:c r="C354" s="25"/>
      <x:c r="D354" s="20"/>
      <x:c r="E354" s="20"/>
      <x:c r="F354" s="20"/>
      <x:c r="G354" s="20"/>
      <x:c r="H354" s="20"/>
      <x:c r="I354" s="20"/>
      <x:c r="J354" s="20"/>
      <x:c r="K354" s="20"/>
      <x:c r="L354" s="21"/>
    </x:row>
    <x:row r="355">
      <x:c r="A355" s="19"/>
      <x:c r="B355" s="20"/>
      <x:c r="C355" s="25"/>
      <x:c r="D355" s="20"/>
      <x:c r="E355" s="20"/>
      <x:c r="F355" s="20"/>
      <x:c r="G355" s="20"/>
      <x:c r="H355" s="20"/>
      <x:c r="I355" s="20"/>
      <x:c r="J355" s="20"/>
      <x:c r="K355" s="20"/>
      <x:c r="L355" s="21"/>
    </x:row>
    <x:row r="356">
      <x:c r="A356" s="19"/>
      <x:c r="B356" s="20"/>
      <x:c r="C356" s="25"/>
      <x:c r="D356" s="20"/>
      <x:c r="E356" s="20"/>
      <x:c r="F356" s="20"/>
      <x:c r="G356" s="20"/>
      <x:c r="H356" s="20"/>
      <x:c r="I356" s="20"/>
      <x:c r="J356" s="20"/>
      <x:c r="K356" s="20"/>
      <x:c r="L356" s="21"/>
    </x:row>
    <x:row r="357">
      <x:c r="A357" s="19"/>
      <x:c r="B357" s="20"/>
      <x:c r="C357" s="25"/>
      <x:c r="D357" s="20"/>
      <x:c r="E357" s="20"/>
      <x:c r="F357" s="20"/>
      <x:c r="G357" s="20"/>
      <x:c r="H357" s="20"/>
      <x:c r="I357" s="20"/>
      <x:c r="J357" s="20"/>
      <x:c r="K357" s="20"/>
      <x:c r="L357" s="21"/>
    </x:row>
    <x:row r="358">
      <x:c r="A358" s="19"/>
      <x:c r="B358" s="20"/>
      <x:c r="C358" s="25"/>
      <x:c r="D358" s="20"/>
      <x:c r="E358" s="20"/>
      <x:c r="F358" s="20"/>
      <x:c r="G358" s="20"/>
      <x:c r="H358" s="20"/>
      <x:c r="I358" s="20"/>
      <x:c r="J358" s="20"/>
      <x:c r="K358" s="20"/>
      <x:c r="L358" s="21"/>
    </x:row>
    <x:row r="359">
      <x:c r="A359" s="19"/>
      <x:c r="B359" s="20"/>
      <x:c r="C359" s="25"/>
      <x:c r="D359" s="20"/>
      <x:c r="E359" s="20"/>
      <x:c r="F359" s="20"/>
      <x:c r="G359" s="20"/>
      <x:c r="H359" s="20"/>
      <x:c r="I359" s="20"/>
      <x:c r="J359" s="20"/>
      <x:c r="K359" s="20"/>
      <x:c r="L359" s="21"/>
    </x:row>
    <x:row r="360">
      <x:c r="A360" s="19"/>
      <x:c r="B360" s="20"/>
      <x:c r="C360" s="25"/>
      <x:c r="D360" s="20"/>
      <x:c r="E360" s="20"/>
      <x:c r="F360" s="20"/>
      <x:c r="G360" s="20"/>
      <x:c r="H360" s="20"/>
      <x:c r="I360" s="20"/>
      <x:c r="J360" s="20"/>
      <x:c r="K360" s="20"/>
      <x:c r="L360" s="21"/>
    </x:row>
    <x:row r="361">
      <x:c r="A361" s="19"/>
      <x:c r="B361" s="20"/>
      <x:c r="C361" s="25"/>
      <x:c r="D361" s="20"/>
      <x:c r="E361" s="20"/>
      <x:c r="F361" s="20"/>
      <x:c r="G361" s="20"/>
      <x:c r="H361" s="20"/>
      <x:c r="I361" s="20"/>
      <x:c r="J361" s="20"/>
      <x:c r="K361" s="20"/>
      <x:c r="L361" s="21"/>
    </x:row>
    <x:row r="362">
      <x:c r="A362" s="19"/>
      <x:c r="B362" s="20"/>
      <x:c r="C362" s="25"/>
      <x:c r="D362" s="20"/>
      <x:c r="E362" s="20"/>
      <x:c r="F362" s="20"/>
      <x:c r="G362" s="20"/>
      <x:c r="H362" s="20"/>
      <x:c r="I362" s="20"/>
      <x:c r="J362" s="20"/>
      <x:c r="K362" s="20"/>
      <x:c r="L362" s="21"/>
    </x:row>
    <x:row r="363">
      <x:c r="A363" s="19"/>
      <x:c r="B363" s="20"/>
      <x:c r="C363" s="25"/>
      <x:c r="D363" s="20"/>
      <x:c r="E363" s="20"/>
      <x:c r="F363" s="20"/>
      <x:c r="G363" s="20"/>
      <x:c r="H363" s="20"/>
      <x:c r="I363" s="20"/>
      <x:c r="J363" s="20"/>
      <x:c r="K363" s="20"/>
      <x:c r="L363" s="21"/>
    </x:row>
    <x:row r="364">
      <x:c r="A364" s="19"/>
      <x:c r="B364" s="20"/>
      <x:c r="C364" s="25"/>
      <x:c r="D364" s="20"/>
      <x:c r="E364" s="20"/>
      <x:c r="F364" s="20"/>
      <x:c r="G364" s="20"/>
      <x:c r="H364" s="20"/>
      <x:c r="I364" s="20"/>
      <x:c r="J364" s="20"/>
      <x:c r="K364" s="20"/>
      <x:c r="L364" s="21"/>
    </x:row>
    <x:row r="365">
      <x:c r="A365" s="19"/>
      <x:c r="B365" s="20"/>
      <x:c r="C365" s="25"/>
      <x:c r="D365" s="20"/>
      <x:c r="E365" s="20"/>
      <x:c r="F365" s="20"/>
      <x:c r="G365" s="20"/>
      <x:c r="H365" s="20"/>
      <x:c r="I365" s="20"/>
      <x:c r="J365" s="20"/>
      <x:c r="K365" s="20"/>
      <x:c r="L365" s="21"/>
    </x:row>
    <x:row r="366">
      <x:c r="A366" s="19"/>
      <x:c r="B366" s="20"/>
      <x:c r="C366" s="25"/>
      <x:c r="D366" s="20"/>
      <x:c r="E366" s="20"/>
      <x:c r="F366" s="20"/>
      <x:c r="G366" s="20"/>
      <x:c r="H366" s="20"/>
      <x:c r="I366" s="20"/>
      <x:c r="J366" s="20"/>
      <x:c r="K366" s="20"/>
      <x:c r="L366" s="21"/>
    </x:row>
    <x:row r="367">
      <x:c r="A367" s="19"/>
      <x:c r="B367" s="20"/>
      <x:c r="C367" s="25"/>
      <x:c r="D367" s="20"/>
      <x:c r="E367" s="20"/>
      <x:c r="F367" s="20"/>
      <x:c r="G367" s="20"/>
      <x:c r="H367" s="20"/>
      <x:c r="I367" s="20"/>
      <x:c r="J367" s="20"/>
      <x:c r="K367" s="20"/>
      <x:c r="L367" s="21"/>
    </x:row>
    <x:row r="368">
      <x:c r="A368" s="19"/>
      <x:c r="B368" s="20"/>
      <x:c r="C368" s="25"/>
      <x:c r="D368" s="20"/>
      <x:c r="E368" s="20"/>
      <x:c r="F368" s="20"/>
      <x:c r="G368" s="20"/>
      <x:c r="H368" s="20"/>
      <x:c r="I368" s="20"/>
      <x:c r="J368" s="20"/>
      <x:c r="K368" s="20"/>
      <x:c r="L368" s="21"/>
    </x:row>
    <x:row r="369">
      <x:c r="A369" s="19"/>
      <x:c r="B369" s="20"/>
      <x:c r="C369" s="25"/>
      <x:c r="D369" s="20"/>
      <x:c r="E369" s="20"/>
      <x:c r="F369" s="20"/>
      <x:c r="G369" s="20"/>
      <x:c r="H369" s="20"/>
      <x:c r="I369" s="20"/>
      <x:c r="J369" s="20"/>
      <x:c r="K369" s="20"/>
      <x:c r="L369" s="21"/>
    </x:row>
    <x:row r="370">
      <x:c r="A370" s="19"/>
      <x:c r="B370" s="20"/>
      <x:c r="C370" s="25"/>
      <x:c r="D370" s="20"/>
      <x:c r="E370" s="20"/>
      <x:c r="F370" s="20"/>
      <x:c r="G370" s="20"/>
      <x:c r="H370" s="20"/>
      <x:c r="I370" s="20"/>
      <x:c r="J370" s="20"/>
      <x:c r="K370" s="20"/>
      <x:c r="L370" s="21"/>
    </x:row>
    <x:row r="371">
      <x:c r="A371" s="19"/>
      <x:c r="B371" s="20"/>
      <x:c r="C371" s="25"/>
      <x:c r="D371" s="20"/>
      <x:c r="E371" s="20"/>
      <x:c r="F371" s="20"/>
      <x:c r="G371" s="20"/>
      <x:c r="H371" s="20"/>
      <x:c r="I371" s="20"/>
      <x:c r="J371" s="20"/>
      <x:c r="K371" s="20"/>
      <x:c r="L371" s="21"/>
    </x:row>
    <x:row r="372">
      <x:c r="A372" s="19"/>
      <x:c r="B372" s="20"/>
      <x:c r="C372" s="25"/>
      <x:c r="D372" s="20"/>
      <x:c r="E372" s="20"/>
      <x:c r="F372" s="20"/>
      <x:c r="G372" s="20"/>
      <x:c r="H372" s="20"/>
      <x:c r="I372" s="20"/>
      <x:c r="J372" s="20"/>
      <x:c r="K372" s="20"/>
      <x:c r="L372" s="21"/>
    </x:row>
    <x:row r="373">
      <x:c r="A373" s="19"/>
      <x:c r="B373" s="20"/>
      <x:c r="C373" s="25"/>
      <x:c r="D373" s="20"/>
      <x:c r="E373" s="20"/>
      <x:c r="F373" s="20"/>
      <x:c r="G373" s="20"/>
      <x:c r="H373" s="20"/>
      <x:c r="I373" s="20"/>
      <x:c r="J373" s="20"/>
      <x:c r="K373" s="20"/>
      <x:c r="L373" s="21"/>
    </x:row>
    <x:row r="374">
      <x:c r="A374" s="19"/>
      <x:c r="B374" s="20"/>
      <x:c r="C374" s="25"/>
      <x:c r="D374" s="20"/>
      <x:c r="E374" s="20"/>
      <x:c r="F374" s="20"/>
      <x:c r="G374" s="20"/>
      <x:c r="H374" s="20"/>
      <x:c r="I374" s="20"/>
      <x:c r="J374" s="20"/>
      <x:c r="K374" s="20"/>
      <x:c r="L374" s="21"/>
    </x:row>
    <x:row r="375">
      <x:c r="A375" s="19"/>
      <x:c r="B375" s="20"/>
      <x:c r="C375" s="25"/>
      <x:c r="D375" s="20"/>
      <x:c r="E375" s="20"/>
      <x:c r="F375" s="20"/>
      <x:c r="G375" s="20"/>
      <x:c r="H375" s="20"/>
      <x:c r="I375" s="20"/>
      <x:c r="J375" s="20"/>
      <x:c r="K375" s="20"/>
      <x:c r="L375" s="21"/>
    </x:row>
    <x:row r="376">
      <x:c r="A376" s="19"/>
      <x:c r="B376" s="20"/>
      <x:c r="C376" s="25"/>
      <x:c r="D376" s="20"/>
      <x:c r="E376" s="20"/>
      <x:c r="F376" s="20"/>
      <x:c r="G376" s="20"/>
      <x:c r="H376" s="20"/>
      <x:c r="I376" s="20"/>
      <x:c r="J376" s="20"/>
      <x:c r="K376" s="20"/>
      <x:c r="L376" s="21"/>
    </x:row>
    <x:row r="377">
      <x:c r="A377" s="19"/>
      <x:c r="B377" s="20"/>
      <x:c r="C377" s="25"/>
      <x:c r="D377" s="20"/>
      <x:c r="E377" s="20"/>
      <x:c r="F377" s="20"/>
      <x:c r="G377" s="20"/>
      <x:c r="H377" s="20"/>
      <x:c r="I377" s="20"/>
      <x:c r="J377" s="20"/>
      <x:c r="K377" s="20"/>
      <x:c r="L377" s="21"/>
    </x:row>
    <x:row r="378">
      <x:c r="A378" s="19"/>
      <x:c r="B378" s="20"/>
      <x:c r="C378" s="25"/>
      <x:c r="D378" s="20"/>
      <x:c r="E378" s="20"/>
      <x:c r="F378" s="20"/>
      <x:c r="G378" s="20"/>
      <x:c r="H378" s="20"/>
      <x:c r="I378" s="20"/>
      <x:c r="J378" s="20"/>
      <x:c r="K378" s="20"/>
      <x:c r="L378" s="21"/>
    </x:row>
    <x:row r="379">
      <x:c r="A379" s="19"/>
      <x:c r="B379" s="20"/>
      <x:c r="C379" s="25"/>
      <x:c r="D379" s="20"/>
      <x:c r="E379" s="20"/>
      <x:c r="F379" s="20"/>
      <x:c r="G379" s="20"/>
      <x:c r="H379" s="20"/>
      <x:c r="I379" s="20"/>
      <x:c r="J379" s="20"/>
      <x:c r="K379" s="20"/>
      <x:c r="L379" s="21"/>
    </x:row>
    <x:row r="380">
      <x:c r="A380" s="19"/>
      <x:c r="B380" s="20"/>
      <x:c r="C380" s="25"/>
      <x:c r="D380" s="20"/>
      <x:c r="E380" s="20"/>
      <x:c r="F380" s="20"/>
      <x:c r="G380" s="20"/>
      <x:c r="H380" s="20"/>
      <x:c r="I380" s="20"/>
      <x:c r="J380" s="20"/>
      <x:c r="K380" s="20"/>
      <x:c r="L380" s="21"/>
    </x:row>
    <x:row r="381">
      <x:c r="A381" s="19"/>
      <x:c r="B381" s="20"/>
      <x:c r="C381" s="25"/>
      <x:c r="D381" s="20"/>
      <x:c r="E381" s="20"/>
      <x:c r="F381" s="20"/>
      <x:c r="G381" s="20"/>
      <x:c r="H381" s="20"/>
      <x:c r="I381" s="20"/>
      <x:c r="J381" s="20"/>
      <x:c r="K381" s="20"/>
      <x:c r="L381" s="21"/>
    </x:row>
    <x:row r="382">
      <x:c r="A382" s="19"/>
      <x:c r="B382" s="20"/>
      <x:c r="C382" s="25"/>
      <x:c r="D382" s="20"/>
      <x:c r="E382" s="20"/>
      <x:c r="F382" s="20"/>
      <x:c r="G382" s="20"/>
      <x:c r="H382" s="20"/>
      <x:c r="I382" s="20"/>
      <x:c r="J382" s="20"/>
      <x:c r="K382" s="20"/>
      <x:c r="L382" s="21"/>
    </x:row>
    <x:row r="383">
      <x:c r="A383" s="19"/>
      <x:c r="B383" s="20"/>
      <x:c r="C383" s="25"/>
      <x:c r="D383" s="20"/>
      <x:c r="E383" s="20"/>
      <x:c r="F383" s="20"/>
      <x:c r="G383" s="20"/>
      <x:c r="H383" s="20"/>
      <x:c r="I383" s="20"/>
      <x:c r="J383" s="20"/>
      <x:c r="K383" s="20"/>
      <x:c r="L383" s="21"/>
    </x:row>
    <x:row r="384">
      <x:c r="A384" s="19"/>
      <x:c r="B384" s="20"/>
      <x:c r="C384" s="25"/>
      <x:c r="D384" s="20"/>
      <x:c r="E384" s="20"/>
      <x:c r="F384" s="20"/>
      <x:c r="G384" s="20"/>
      <x:c r="H384" s="20"/>
      <x:c r="I384" s="20"/>
      <x:c r="J384" s="20"/>
      <x:c r="K384" s="20"/>
      <x:c r="L384" s="21"/>
    </x:row>
    <x:row r="385">
      <x:c r="A385" s="19"/>
      <x:c r="B385" s="20"/>
      <x:c r="C385" s="25"/>
      <x:c r="D385" s="20"/>
      <x:c r="E385" s="20"/>
      <x:c r="F385" s="20"/>
      <x:c r="G385" s="20"/>
      <x:c r="H385" s="20"/>
      <x:c r="I385" s="20"/>
      <x:c r="J385" s="20"/>
      <x:c r="K385" s="20"/>
      <x:c r="L385" s="21"/>
    </x:row>
    <x:row r="386">
      <x:c r="A386" s="19"/>
      <x:c r="B386" s="20"/>
      <x:c r="C386" s="25"/>
      <x:c r="D386" s="20"/>
      <x:c r="E386" s="20"/>
      <x:c r="F386" s="20"/>
      <x:c r="G386" s="20"/>
      <x:c r="H386" s="20"/>
      <x:c r="I386" s="20"/>
      <x:c r="J386" s="20"/>
      <x:c r="K386" s="20"/>
      <x:c r="L386" s="21"/>
    </x:row>
    <x:row r="387">
      <x:c r="A387" s="19"/>
      <x:c r="B387" s="20"/>
      <x:c r="C387" s="25"/>
      <x:c r="D387" s="20"/>
      <x:c r="E387" s="20"/>
      <x:c r="F387" s="20"/>
      <x:c r="G387" s="20"/>
      <x:c r="H387" s="20"/>
      <x:c r="I387" s="20"/>
      <x:c r="J387" s="20"/>
      <x:c r="K387" s="20"/>
      <x:c r="L387" s="21"/>
    </x:row>
    <x:row r="388">
      <x:c r="A388" s="19"/>
      <x:c r="B388" s="20"/>
      <x:c r="C388" s="25"/>
      <x:c r="D388" s="20"/>
      <x:c r="E388" s="20"/>
      <x:c r="F388" s="20"/>
      <x:c r="G388" s="20"/>
      <x:c r="H388" s="20"/>
      <x:c r="I388" s="20"/>
      <x:c r="J388" s="20"/>
      <x:c r="K388" s="20"/>
      <x:c r="L388" s="21"/>
    </x:row>
    <x:row r="389">
      <x:c r="A389" s="19"/>
      <x:c r="B389" s="20"/>
      <x:c r="C389" s="25"/>
      <x:c r="D389" s="20"/>
      <x:c r="E389" s="20"/>
      <x:c r="F389" s="20"/>
      <x:c r="G389" s="20"/>
      <x:c r="H389" s="20"/>
      <x:c r="I389" s="20"/>
      <x:c r="J389" s="20"/>
      <x:c r="K389" s="20"/>
      <x:c r="L389" s="21"/>
    </x:row>
    <x:row r="390">
      <x:c r="A390" s="19"/>
      <x:c r="B390" s="20"/>
      <x:c r="C390" s="25"/>
      <x:c r="D390" s="20"/>
      <x:c r="E390" s="20"/>
      <x:c r="F390" s="20"/>
      <x:c r="G390" s="20"/>
      <x:c r="H390" s="20"/>
      <x:c r="I390" s="20"/>
      <x:c r="J390" s="20"/>
      <x:c r="K390" s="20"/>
      <x:c r="L390" s="21"/>
    </x:row>
    <x:row r="391">
      <x:c r="A391" s="19"/>
      <x:c r="B391" s="20"/>
      <x:c r="C391" s="25"/>
      <x:c r="D391" s="20"/>
      <x:c r="E391" s="20"/>
      <x:c r="F391" s="20"/>
      <x:c r="G391" s="20"/>
      <x:c r="H391" s="20"/>
      <x:c r="I391" s="20"/>
      <x:c r="J391" s="20"/>
      <x:c r="K391" s="20"/>
      <x:c r="L391" s="21"/>
    </x:row>
    <x:row r="392">
      <x:c r="A392" s="19"/>
      <x:c r="B392" s="20"/>
      <x:c r="C392" s="25"/>
      <x:c r="D392" s="20"/>
      <x:c r="E392" s="20"/>
      <x:c r="F392" s="20"/>
      <x:c r="G392" s="20"/>
      <x:c r="H392" s="20"/>
      <x:c r="I392" s="20"/>
      <x:c r="J392" s="20"/>
      <x:c r="K392" s="20"/>
      <x:c r="L392" s="21"/>
    </x:row>
    <x:row r="393">
      <x:c r="A393" s="19"/>
      <x:c r="B393" s="20"/>
      <x:c r="C393" s="25"/>
      <x:c r="D393" s="20"/>
      <x:c r="E393" s="20"/>
      <x:c r="F393" s="20"/>
      <x:c r="G393" s="20"/>
      <x:c r="H393" s="20"/>
      <x:c r="I393" s="20"/>
      <x:c r="J393" s="20"/>
      <x:c r="K393" s="20"/>
      <x:c r="L393" s="21"/>
    </x:row>
    <x:row r="394">
      <x:c r="A394" s="19"/>
      <x:c r="B394" s="20"/>
      <x:c r="C394" s="25"/>
      <x:c r="D394" s="20"/>
      <x:c r="E394" s="20"/>
      <x:c r="F394" s="20"/>
      <x:c r="G394" s="20"/>
      <x:c r="H394" s="20"/>
      <x:c r="I394" s="20"/>
      <x:c r="J394" s="20"/>
      <x:c r="K394" s="20"/>
      <x:c r="L394" s="21"/>
    </x:row>
    <x:row r="395">
      <x:c r="A395" s="19"/>
      <x:c r="B395" s="20"/>
      <x:c r="C395" s="25"/>
      <x:c r="D395" s="20"/>
      <x:c r="E395" s="20"/>
      <x:c r="F395" s="20"/>
      <x:c r="G395" s="20"/>
      <x:c r="H395" s="20"/>
      <x:c r="I395" s="20"/>
      <x:c r="J395" s="20"/>
      <x:c r="K395" s="20"/>
      <x:c r="L395" s="21"/>
    </x:row>
    <x:row r="396">
      <x:c r="A396" s="19"/>
      <x:c r="B396" s="20"/>
      <x:c r="C396" s="25"/>
      <x:c r="D396" s="20"/>
      <x:c r="E396" s="20"/>
      <x:c r="F396" s="20"/>
      <x:c r="G396" s="20"/>
      <x:c r="H396" s="20"/>
      <x:c r="I396" s="20"/>
      <x:c r="J396" s="20"/>
      <x:c r="K396" s="20"/>
      <x:c r="L396" s="21"/>
    </x:row>
    <x:row r="397">
      <x:c r="A397" s="19"/>
      <x:c r="B397" s="20"/>
      <x:c r="C397" s="25"/>
      <x:c r="D397" s="20"/>
      <x:c r="E397" s="20"/>
      <x:c r="F397" s="20"/>
      <x:c r="G397" s="20"/>
      <x:c r="H397" s="20"/>
      <x:c r="I397" s="20"/>
      <x:c r="J397" s="20"/>
      <x:c r="K397" s="20"/>
      <x:c r="L397" s="21"/>
    </x:row>
    <x:row r="398">
      <x:c r="A398" s="19"/>
      <x:c r="B398" s="20"/>
      <x:c r="C398" s="25"/>
      <x:c r="D398" s="20"/>
      <x:c r="E398" s="20"/>
      <x:c r="F398" s="20"/>
      <x:c r="G398" s="20"/>
      <x:c r="H398" s="20"/>
      <x:c r="I398" s="20"/>
      <x:c r="J398" s="20"/>
      <x:c r="K398" s="20"/>
      <x:c r="L398" s="21"/>
    </x:row>
    <x:row r="399">
      <x:c r="A399" s="19"/>
      <x:c r="B399" s="20"/>
      <x:c r="C399" s="25"/>
      <x:c r="D399" s="20"/>
      <x:c r="E399" s="20"/>
      <x:c r="F399" s="20"/>
      <x:c r="G399" s="20"/>
      <x:c r="H399" s="20"/>
      <x:c r="I399" s="20"/>
      <x:c r="J399" s="20"/>
      <x:c r="K399" s="20"/>
      <x:c r="L399" s="21"/>
    </x:row>
    <x:row r="400">
      <x:c r="A400" s="19"/>
      <x:c r="B400" s="20"/>
      <x:c r="C400" s="25"/>
      <x:c r="D400" s="20"/>
      <x:c r="E400" s="20"/>
      <x:c r="F400" s="20"/>
      <x:c r="G400" s="20"/>
      <x:c r="H400" s="20"/>
      <x:c r="I400" s="20"/>
      <x:c r="J400" s="20"/>
      <x:c r="K400" s="20"/>
      <x:c r="L400" s="21"/>
    </x:row>
    <x:row r="401">
      <x:c r="A401" s="19"/>
      <x:c r="B401" s="20"/>
      <x:c r="C401" s="25"/>
      <x:c r="D401" s="20"/>
      <x:c r="E401" s="20"/>
      <x:c r="F401" s="20"/>
      <x:c r="G401" s="20"/>
      <x:c r="H401" s="20"/>
      <x:c r="I401" s="20"/>
      <x:c r="J401" s="20"/>
      <x:c r="K401" s="20"/>
      <x:c r="L401" s="21"/>
    </x:row>
    <x:row r="402">
      <x:c r="A402" s="19"/>
      <x:c r="B402" s="20"/>
      <x:c r="C402" s="25"/>
      <x:c r="D402" s="20"/>
      <x:c r="E402" s="20"/>
      <x:c r="F402" s="20"/>
      <x:c r="G402" s="20"/>
      <x:c r="H402" s="20"/>
      <x:c r="I402" s="20"/>
      <x:c r="J402" s="20"/>
      <x:c r="K402" s="20"/>
      <x:c r="L402" s="21"/>
    </x:row>
    <x:row r="403">
      <x:c r="A403" s="19"/>
      <x:c r="B403" s="20"/>
      <x:c r="C403" s="25"/>
      <x:c r="D403" s="20"/>
      <x:c r="E403" s="20"/>
      <x:c r="F403" s="20"/>
      <x:c r="G403" s="20"/>
      <x:c r="H403" s="20"/>
      <x:c r="I403" s="20"/>
      <x:c r="J403" s="20"/>
      <x:c r="K403" s="20"/>
      <x:c r="L403" s="21"/>
    </x:row>
    <x:row r="404">
      <x:c r="A404" s="19"/>
      <x:c r="B404" s="20"/>
      <x:c r="C404" s="25"/>
      <x:c r="D404" s="20"/>
      <x:c r="E404" s="20"/>
      <x:c r="F404" s="20"/>
      <x:c r="G404" s="20"/>
      <x:c r="H404" s="20"/>
      <x:c r="I404" s="20"/>
      <x:c r="J404" s="20"/>
      <x:c r="K404" s="20"/>
      <x:c r="L404" s="21"/>
    </x:row>
    <x:row r="405">
      <x:c r="A405" s="19"/>
      <x:c r="B405" s="20"/>
      <x:c r="C405" s="25"/>
      <x:c r="D405" s="20"/>
      <x:c r="E405" s="20"/>
      <x:c r="F405" s="20"/>
      <x:c r="G405" s="20"/>
      <x:c r="H405" s="20"/>
      <x:c r="I405" s="20"/>
      <x:c r="J405" s="20"/>
      <x:c r="K405" s="20"/>
      <x:c r="L405" s="21"/>
    </x:row>
    <x:row r="406">
      <x:c r="A406" s="19"/>
      <x:c r="B406" s="20"/>
      <x:c r="C406" s="25"/>
      <x:c r="D406" s="20"/>
      <x:c r="E406" s="20"/>
      <x:c r="F406" s="20"/>
      <x:c r="G406" s="20"/>
      <x:c r="H406" s="20"/>
      <x:c r="I406" s="20"/>
      <x:c r="J406" s="20"/>
      <x:c r="K406" s="20"/>
      <x:c r="L406" s="21"/>
    </x:row>
    <x:row r="407">
      <x:c r="A407" s="19"/>
      <x:c r="B407" s="20"/>
      <x:c r="C407" s="25"/>
      <x:c r="D407" s="20"/>
      <x:c r="E407" s="20"/>
      <x:c r="F407" s="20"/>
      <x:c r="G407" s="20"/>
      <x:c r="H407" s="20"/>
      <x:c r="I407" s="20"/>
      <x:c r="J407" s="20"/>
      <x:c r="K407" s="20"/>
      <x:c r="L407" s="21"/>
    </x:row>
    <x:row r="408">
      <x:c r="A408" s="19"/>
      <x:c r="B408" s="20"/>
      <x:c r="C408" s="25"/>
      <x:c r="D408" s="20"/>
      <x:c r="E408" s="20"/>
      <x:c r="F408" s="20"/>
      <x:c r="G408" s="20"/>
      <x:c r="H408" s="20"/>
      <x:c r="I408" s="20"/>
      <x:c r="J408" s="20"/>
      <x:c r="K408" s="20"/>
      <x:c r="L408" s="21"/>
    </x:row>
    <x:row r="409">
      <x:c r="A409" s="19"/>
      <x:c r="B409" s="20"/>
      <x:c r="C409" s="25"/>
      <x:c r="D409" s="20"/>
      <x:c r="E409" s="20"/>
      <x:c r="F409" s="20"/>
      <x:c r="G409" s="20"/>
      <x:c r="H409" s="20"/>
      <x:c r="I409" s="20"/>
      <x:c r="J409" s="20"/>
      <x:c r="K409" s="20"/>
      <x:c r="L409" s="21"/>
    </x:row>
    <x:row r="410">
      <x:c r="A410" s="19"/>
      <x:c r="B410" s="20"/>
      <x:c r="C410" s="25"/>
      <x:c r="D410" s="20"/>
      <x:c r="E410" s="20"/>
      <x:c r="F410" s="20"/>
      <x:c r="G410" s="20"/>
      <x:c r="H410" s="20"/>
      <x:c r="I410" s="20"/>
      <x:c r="J410" s="20"/>
      <x:c r="K410" s="20"/>
      <x:c r="L410" s="21"/>
    </x:row>
    <x:row r="411">
      <x:c r="A411" s="19"/>
      <x:c r="B411" s="20"/>
      <x:c r="C411" s="25"/>
      <x:c r="D411" s="20"/>
      <x:c r="E411" s="20"/>
      <x:c r="F411" s="20"/>
      <x:c r="G411" s="20"/>
      <x:c r="H411" s="20"/>
      <x:c r="I411" s="20"/>
      <x:c r="J411" s="20"/>
      <x:c r="K411" s="20"/>
      <x:c r="L411" s="21"/>
    </x:row>
    <x:row r="412">
      <x:c r="A412" s="19"/>
      <x:c r="B412" s="20"/>
      <x:c r="C412" s="25"/>
      <x:c r="D412" s="20"/>
      <x:c r="E412" s="20"/>
      <x:c r="F412" s="20"/>
      <x:c r="G412" s="20"/>
      <x:c r="H412" s="20"/>
      <x:c r="I412" s="20"/>
      <x:c r="J412" s="20"/>
      <x:c r="K412" s="20"/>
      <x:c r="L412" s="21"/>
    </x:row>
    <x:row r="413">
      <x:c r="A413" s="19"/>
      <x:c r="B413" s="20"/>
      <x:c r="C413" s="25"/>
      <x:c r="D413" s="20"/>
      <x:c r="E413" s="20"/>
      <x:c r="F413" s="20"/>
      <x:c r="G413" s="20"/>
      <x:c r="H413" s="20"/>
      <x:c r="I413" s="20"/>
      <x:c r="J413" s="20"/>
      <x:c r="K413" s="20"/>
      <x:c r="L413" s="21"/>
    </x:row>
    <x:row r="414">
      <x:c r="A414" s="19"/>
      <x:c r="B414" s="20"/>
      <x:c r="C414" s="25"/>
      <x:c r="D414" s="20"/>
      <x:c r="E414" s="20"/>
      <x:c r="F414" s="20"/>
      <x:c r="G414" s="20"/>
      <x:c r="H414" s="20"/>
      <x:c r="I414" s="20"/>
      <x:c r="J414" s="20"/>
      <x:c r="K414" s="20"/>
      <x:c r="L414" s="21"/>
    </x:row>
    <x:row r="415">
      <x:c r="A415" s="19"/>
      <x:c r="B415" s="20"/>
      <x:c r="C415" s="25"/>
      <x:c r="D415" s="20"/>
      <x:c r="E415" s="20"/>
      <x:c r="F415" s="20"/>
      <x:c r="G415" s="20"/>
      <x:c r="H415" s="20"/>
      <x:c r="I415" s="20"/>
      <x:c r="J415" s="20"/>
      <x:c r="K415" s="20"/>
      <x:c r="L415" s="21"/>
    </x:row>
    <x:row r="416">
      <x:c r="A416" s="19"/>
      <x:c r="B416" s="20"/>
      <x:c r="C416" s="25"/>
      <x:c r="D416" s="20"/>
      <x:c r="E416" s="20"/>
      <x:c r="F416" s="20"/>
      <x:c r="G416" s="20"/>
      <x:c r="H416" s="20"/>
      <x:c r="I416" s="20"/>
      <x:c r="J416" s="20"/>
      <x:c r="K416" s="20"/>
      <x:c r="L416" s="21"/>
    </x:row>
    <x:row r="417">
      <x:c r="A417" s="19"/>
      <x:c r="B417" s="20"/>
      <x:c r="C417" s="25"/>
      <x:c r="D417" s="20"/>
      <x:c r="E417" s="20"/>
      <x:c r="F417" s="20"/>
      <x:c r="G417" s="20"/>
      <x:c r="H417" s="20"/>
      <x:c r="I417" s="20"/>
      <x:c r="J417" s="20"/>
      <x:c r="K417" s="20"/>
      <x:c r="L417" s="21"/>
    </x:row>
    <x:row r="418">
      <x:c r="A418" s="19"/>
      <x:c r="B418" s="20"/>
      <x:c r="C418" s="25"/>
      <x:c r="D418" s="20"/>
      <x:c r="E418" s="20"/>
      <x:c r="F418" s="20"/>
      <x:c r="G418" s="20"/>
      <x:c r="H418" s="20"/>
      <x:c r="I418" s="20"/>
      <x:c r="J418" s="20"/>
      <x:c r="K418" s="20"/>
      <x:c r="L418" s="21"/>
    </x:row>
    <x:row r="419">
      <x:c r="A419" s="19"/>
      <x:c r="B419" s="20"/>
      <x:c r="C419" s="25"/>
      <x:c r="D419" s="20"/>
      <x:c r="E419" s="20"/>
      <x:c r="F419" s="20"/>
      <x:c r="G419" s="20"/>
      <x:c r="H419" s="20"/>
      <x:c r="I419" s="20"/>
      <x:c r="J419" s="20"/>
      <x:c r="K419" s="20"/>
      <x:c r="L419" s="21"/>
    </x:row>
    <x:row r="420">
      <x:c r="A420" s="19"/>
      <x:c r="B420" s="20"/>
      <x:c r="C420" s="25"/>
      <x:c r="D420" s="20"/>
      <x:c r="E420" s="20"/>
      <x:c r="F420" s="20"/>
      <x:c r="G420" s="20"/>
      <x:c r="H420" s="20"/>
      <x:c r="I420" s="20"/>
      <x:c r="J420" s="20"/>
      <x:c r="K420" s="20"/>
      <x:c r="L420" s="21"/>
    </x:row>
    <x:row r="421">
      <x:c r="A421" s="19"/>
      <x:c r="B421" s="20"/>
      <x:c r="C421" s="25"/>
      <x:c r="D421" s="20"/>
      <x:c r="E421" s="20"/>
      <x:c r="F421" s="20"/>
      <x:c r="G421" s="20"/>
      <x:c r="H421" s="20"/>
      <x:c r="I421" s="20"/>
      <x:c r="J421" s="20"/>
      <x:c r="K421" s="20"/>
      <x:c r="L421" s="21"/>
    </x:row>
    <x:row r="422">
      <x:c r="A422" s="19"/>
      <x:c r="B422" s="20"/>
      <x:c r="C422" s="25"/>
      <x:c r="D422" s="20"/>
      <x:c r="E422" s="20"/>
      <x:c r="F422" s="20"/>
      <x:c r="G422" s="20"/>
      <x:c r="H422" s="20"/>
      <x:c r="I422" s="20"/>
      <x:c r="J422" s="20"/>
      <x:c r="K422" s="20"/>
      <x:c r="L422" s="21"/>
    </x:row>
    <x:row r="423">
      <x:c r="A423" s="19"/>
      <x:c r="B423" s="20"/>
      <x:c r="C423" s="25"/>
      <x:c r="D423" s="20"/>
      <x:c r="E423" s="20"/>
      <x:c r="F423" s="20"/>
      <x:c r="G423" s="20"/>
      <x:c r="H423" s="20"/>
      <x:c r="I423" s="20"/>
      <x:c r="J423" s="20"/>
      <x:c r="K423" s="20"/>
      <x:c r="L423" s="21"/>
    </x:row>
    <x:row r="424">
      <x:c r="A424" s="19"/>
      <x:c r="B424" s="20"/>
      <x:c r="C424" s="25"/>
      <x:c r="D424" s="20"/>
      <x:c r="E424" s="20"/>
      <x:c r="F424" s="20"/>
      <x:c r="G424" s="20"/>
      <x:c r="H424" s="20"/>
      <x:c r="I424" s="20"/>
      <x:c r="J424" s="20"/>
      <x:c r="K424" s="20"/>
      <x:c r="L424" s="21"/>
    </x:row>
    <x:row r="425">
      <x:c r="A425" s="19"/>
      <x:c r="B425" s="20"/>
      <x:c r="C425" s="25"/>
      <x:c r="D425" s="20"/>
      <x:c r="E425" s="20"/>
      <x:c r="F425" s="20"/>
      <x:c r="G425" s="20"/>
      <x:c r="H425" s="20"/>
      <x:c r="I425" s="20"/>
      <x:c r="J425" s="20"/>
      <x:c r="K425" s="20"/>
      <x:c r="L425" s="21"/>
    </x:row>
    <x:row r="426">
      <x:c r="A426" s="19"/>
      <x:c r="B426" s="20"/>
      <x:c r="C426" s="25"/>
      <x:c r="D426" s="20"/>
      <x:c r="E426" s="20"/>
      <x:c r="F426" s="20"/>
      <x:c r="G426" s="20"/>
      <x:c r="H426" s="20"/>
      <x:c r="I426" s="20"/>
      <x:c r="J426" s="20"/>
      <x:c r="K426" s="20"/>
      <x:c r="L426" s="21"/>
    </x:row>
    <x:row r="427">
      <x:c r="A427" s="19"/>
      <x:c r="B427" s="20"/>
      <x:c r="C427" s="25"/>
      <x:c r="D427" s="20"/>
      <x:c r="E427" s="20"/>
      <x:c r="F427" s="20"/>
      <x:c r="G427" s="20"/>
      <x:c r="H427" s="20"/>
      <x:c r="I427" s="20"/>
      <x:c r="J427" s="20"/>
      <x:c r="K427" s="20"/>
      <x:c r="L427" s="21"/>
    </x:row>
    <x:row r="428">
      <x:c r="A428" s="19"/>
      <x:c r="B428" s="20"/>
      <x:c r="C428" s="25"/>
      <x:c r="D428" s="20"/>
      <x:c r="E428" s="20"/>
      <x:c r="F428" s="20"/>
      <x:c r="G428" s="20"/>
      <x:c r="H428" s="20"/>
      <x:c r="I428" s="20"/>
      <x:c r="J428" s="20"/>
      <x:c r="K428" s="20"/>
      <x:c r="L428" s="21"/>
    </x:row>
    <x:row r="429">
      <x:c r="A429" s="19"/>
      <x:c r="B429" s="20"/>
      <x:c r="C429" s="25"/>
      <x:c r="D429" s="20"/>
      <x:c r="E429" s="20"/>
      <x:c r="F429" s="20"/>
      <x:c r="G429" s="20"/>
      <x:c r="H429" s="20"/>
      <x:c r="I429" s="20"/>
      <x:c r="J429" s="20"/>
      <x:c r="K429" s="20"/>
      <x:c r="L429" s="21"/>
    </x:row>
    <x:row r="430">
      <x:c r="A430" s="19"/>
      <x:c r="B430" s="20"/>
      <x:c r="C430" s="25"/>
      <x:c r="D430" s="20"/>
      <x:c r="E430" s="20"/>
      <x:c r="F430" s="20"/>
      <x:c r="G430" s="20"/>
      <x:c r="H430" s="20"/>
      <x:c r="I430" s="20"/>
      <x:c r="J430" s="20"/>
      <x:c r="K430" s="20"/>
      <x:c r="L430" s="21"/>
    </x:row>
    <x:row r="431">
      <x:c r="A431" s="19"/>
      <x:c r="B431" s="20"/>
      <x:c r="C431" s="25"/>
      <x:c r="D431" s="20"/>
      <x:c r="E431" s="20"/>
      <x:c r="F431" s="20"/>
      <x:c r="G431" s="20"/>
      <x:c r="H431" s="20"/>
      <x:c r="I431" s="20"/>
      <x:c r="J431" s="20"/>
      <x:c r="K431" s="20"/>
      <x:c r="L431" s="21"/>
    </x:row>
    <x:row r="432">
      <x:c r="A432" s="19"/>
      <x:c r="B432" s="20"/>
      <x:c r="C432" s="25"/>
      <x:c r="D432" s="20"/>
      <x:c r="E432" s="20"/>
      <x:c r="F432" s="20"/>
      <x:c r="G432" s="20"/>
      <x:c r="H432" s="20"/>
      <x:c r="I432" s="20"/>
      <x:c r="J432" s="20"/>
      <x:c r="K432" s="20"/>
      <x:c r="L432" s="21"/>
    </x:row>
    <x:row r="433">
      <x:c r="A433" s="19"/>
      <x:c r="B433" s="20"/>
      <x:c r="C433" s="25"/>
      <x:c r="D433" s="20"/>
      <x:c r="E433" s="20"/>
      <x:c r="F433" s="20"/>
      <x:c r="G433" s="20"/>
      <x:c r="H433" s="20"/>
      <x:c r="I433" s="20"/>
      <x:c r="J433" s="20"/>
      <x:c r="K433" s="20"/>
      <x:c r="L433" s="21"/>
    </x:row>
    <x:row r="434">
      <x:c r="A434" s="19"/>
      <x:c r="B434" s="20"/>
      <x:c r="C434" s="25"/>
      <x:c r="D434" s="20"/>
      <x:c r="E434" s="20"/>
      <x:c r="F434" s="20"/>
      <x:c r="G434" s="20"/>
      <x:c r="H434" s="20"/>
      <x:c r="I434" s="20"/>
      <x:c r="J434" s="20"/>
      <x:c r="K434" s="20"/>
      <x:c r="L434" s="21"/>
    </x:row>
    <x:row r="435">
      <x:c r="A435" s="19"/>
      <x:c r="B435" s="20"/>
      <x:c r="C435" s="25"/>
      <x:c r="D435" s="20"/>
      <x:c r="E435" s="20"/>
      <x:c r="F435" s="20"/>
      <x:c r="G435" s="20"/>
      <x:c r="H435" s="20"/>
      <x:c r="I435" s="20"/>
      <x:c r="J435" s="20"/>
      <x:c r="K435" s="20"/>
      <x:c r="L435" s="21"/>
    </x:row>
    <x:row r="436">
      <x:c r="A436" s="19"/>
      <x:c r="B436" s="20"/>
      <x:c r="C436" s="25"/>
      <x:c r="D436" s="20"/>
      <x:c r="E436" s="20"/>
      <x:c r="F436" s="20"/>
      <x:c r="G436" s="20"/>
      <x:c r="H436" s="20"/>
      <x:c r="I436" s="20"/>
      <x:c r="J436" s="20"/>
      <x:c r="K436" s="20"/>
      <x:c r="L436" s="21"/>
    </x:row>
    <x:row r="437">
      <x:c r="A437" s="19"/>
      <x:c r="B437" s="20"/>
      <x:c r="C437" s="25"/>
      <x:c r="D437" s="20"/>
      <x:c r="E437" s="20"/>
      <x:c r="F437" s="20"/>
      <x:c r="G437" s="20"/>
      <x:c r="H437" s="20"/>
      <x:c r="I437" s="20"/>
      <x:c r="J437" s="20"/>
      <x:c r="K437" s="20"/>
      <x:c r="L437" s="21"/>
    </x:row>
    <x:row r="438">
      <x:c r="A438" s="19"/>
      <x:c r="B438" s="20"/>
      <x:c r="C438" s="25"/>
      <x:c r="D438" s="20"/>
      <x:c r="E438" s="20"/>
      <x:c r="F438" s="20"/>
      <x:c r="G438" s="20"/>
      <x:c r="H438" s="20"/>
      <x:c r="I438" s="20"/>
      <x:c r="J438" s="20"/>
      <x:c r="K438" s="20"/>
      <x:c r="L438" s="21"/>
    </x:row>
    <x:row r="439">
      <x:c r="A439" s="19"/>
      <x:c r="B439" s="20"/>
      <x:c r="C439" s="25"/>
      <x:c r="D439" s="20"/>
      <x:c r="E439" s="20"/>
      <x:c r="F439" s="20"/>
      <x:c r="G439" s="20"/>
      <x:c r="H439" s="20"/>
      <x:c r="I439" s="20"/>
      <x:c r="J439" s="20"/>
      <x:c r="K439" s="20"/>
      <x:c r="L439" s="21"/>
    </x:row>
    <x:row r="440">
      <x:c r="A440" s="19"/>
      <x:c r="B440" s="20"/>
      <x:c r="C440" s="25"/>
      <x:c r="D440" s="20"/>
      <x:c r="E440" s="20"/>
      <x:c r="F440" s="20"/>
      <x:c r="G440" s="20"/>
      <x:c r="H440" s="20"/>
      <x:c r="I440" s="20"/>
      <x:c r="J440" s="20"/>
      <x:c r="K440" s="20"/>
      <x:c r="L440" s="21"/>
    </x:row>
    <x:row r="441">
      <x:c r="A441" s="19"/>
      <x:c r="B441" s="20"/>
      <x:c r="C441" s="25"/>
      <x:c r="D441" s="20"/>
      <x:c r="E441" s="20"/>
      <x:c r="F441" s="20"/>
      <x:c r="G441" s="20"/>
      <x:c r="H441" s="20"/>
      <x:c r="I441" s="20"/>
      <x:c r="J441" s="20"/>
      <x:c r="K441" s="20"/>
      <x:c r="L441" s="21"/>
    </x:row>
    <x:row r="442">
      <x:c r="A442" s="19"/>
      <x:c r="B442" s="20"/>
      <x:c r="C442" s="25"/>
      <x:c r="D442" s="20"/>
      <x:c r="E442" s="20"/>
      <x:c r="F442" s="20"/>
      <x:c r="G442" s="20"/>
      <x:c r="H442" s="20"/>
      <x:c r="I442" s="20"/>
      <x:c r="J442" s="20"/>
      <x:c r="K442" s="20"/>
      <x:c r="L442" s="21"/>
    </x:row>
    <x:row r="443">
      <x:c r="A443" s="19"/>
      <x:c r="B443" s="20"/>
      <x:c r="C443" s="25"/>
      <x:c r="D443" s="20"/>
      <x:c r="E443" s="20"/>
      <x:c r="F443" s="20"/>
      <x:c r="G443" s="20"/>
      <x:c r="H443" s="20"/>
      <x:c r="I443" s="20"/>
      <x:c r="J443" s="20"/>
      <x:c r="K443" s="20"/>
      <x:c r="L443" s="21"/>
    </x:row>
    <x:row r="444">
      <x:c r="A444" s="19"/>
      <x:c r="B444" s="20"/>
      <x:c r="C444" s="25"/>
      <x:c r="D444" s="20"/>
      <x:c r="E444" s="20"/>
      <x:c r="F444" s="20"/>
      <x:c r="G444" s="20"/>
      <x:c r="H444" s="20"/>
      <x:c r="I444" s="20"/>
      <x:c r="J444" s="20"/>
      <x:c r="K444" s="20"/>
      <x:c r="L444" s="21"/>
    </x:row>
    <x:row r="445">
      <x:c r="A445" s="19"/>
      <x:c r="B445" s="20"/>
      <x:c r="C445" s="25"/>
      <x:c r="D445" s="20"/>
      <x:c r="E445" s="20"/>
      <x:c r="F445" s="20"/>
      <x:c r="G445" s="20"/>
      <x:c r="H445" s="20"/>
      <x:c r="I445" s="20"/>
      <x:c r="J445" s="20"/>
      <x:c r="K445" s="20"/>
      <x:c r="L445" s="21"/>
    </x:row>
    <x:row r="446">
      <x:c r="A446" s="19"/>
      <x:c r="B446" s="20"/>
      <x:c r="C446" s="25"/>
      <x:c r="D446" s="20"/>
      <x:c r="E446" s="20"/>
      <x:c r="F446" s="20"/>
      <x:c r="G446" s="20"/>
      <x:c r="H446" s="20"/>
      <x:c r="I446" s="20"/>
      <x:c r="J446" s="20"/>
      <x:c r="K446" s="20"/>
      <x:c r="L446" s="21"/>
    </x:row>
    <x:row r="447">
      <x:c r="A447" s="19"/>
      <x:c r="B447" s="20"/>
      <x:c r="C447" s="25"/>
      <x:c r="D447" s="20"/>
      <x:c r="E447" s="20"/>
      <x:c r="F447" s="20"/>
      <x:c r="G447" s="20"/>
      <x:c r="H447" s="20"/>
      <x:c r="I447" s="20"/>
      <x:c r="J447" s="20"/>
      <x:c r="K447" s="20"/>
      <x:c r="L447" s="21"/>
    </x:row>
    <x:row r="448">
      <x:c r="A448" s="19"/>
      <x:c r="B448" s="20"/>
      <x:c r="C448" s="25"/>
      <x:c r="D448" s="20"/>
      <x:c r="E448" s="20"/>
      <x:c r="F448" s="20"/>
      <x:c r="G448" s="20"/>
      <x:c r="H448" s="20"/>
      <x:c r="I448" s="20"/>
      <x:c r="J448" s="20"/>
      <x:c r="K448" s="20"/>
      <x:c r="L448" s="21"/>
    </x:row>
    <x:row r="449">
      <x:c r="A449" s="19"/>
      <x:c r="B449" s="20"/>
      <x:c r="C449" s="25"/>
      <x:c r="D449" s="20"/>
      <x:c r="E449" s="20"/>
      <x:c r="F449" s="20"/>
      <x:c r="G449" s="20"/>
      <x:c r="H449" s="20"/>
      <x:c r="I449" s="20"/>
      <x:c r="J449" s="20"/>
      <x:c r="K449" s="20"/>
      <x:c r="L449" s="21"/>
    </x:row>
    <x:row r="450">
      <x:c r="A450" s="19"/>
      <x:c r="B450" s="20"/>
      <x:c r="C450" s="25"/>
      <x:c r="D450" s="20"/>
      <x:c r="E450" s="20"/>
      <x:c r="F450" s="20"/>
      <x:c r="G450" s="20"/>
      <x:c r="H450" s="20"/>
      <x:c r="I450" s="20"/>
      <x:c r="J450" s="20"/>
      <x:c r="K450" s="20"/>
      <x:c r="L450" s="21"/>
    </x:row>
    <x:row r="451">
      <x:c r="A451" s="19"/>
      <x:c r="B451" s="20"/>
      <x:c r="C451" s="25"/>
      <x:c r="D451" s="20"/>
      <x:c r="E451" s="20"/>
      <x:c r="F451" s="20"/>
      <x:c r="G451" s="20"/>
      <x:c r="H451" s="20"/>
      <x:c r="I451" s="20"/>
      <x:c r="J451" s="20"/>
      <x:c r="K451" s="20"/>
      <x:c r="L451" s="21"/>
    </x:row>
    <x:row r="452">
      <x:c r="A452" s="19"/>
      <x:c r="B452" s="20"/>
      <x:c r="C452" s="25"/>
      <x:c r="D452" s="20"/>
      <x:c r="E452" s="20"/>
      <x:c r="F452" s="20"/>
      <x:c r="G452" s="20"/>
      <x:c r="H452" s="20"/>
      <x:c r="I452" s="20"/>
      <x:c r="J452" s="20"/>
      <x:c r="K452" s="20"/>
      <x:c r="L452" s="21"/>
    </x:row>
    <x:row r="453">
      <x:c r="A453" s="19"/>
      <x:c r="B453" s="20"/>
      <x:c r="C453" s="25"/>
      <x:c r="D453" s="20"/>
      <x:c r="E453" s="20"/>
      <x:c r="F453" s="20"/>
      <x:c r="G453" s="20"/>
      <x:c r="H453" s="20"/>
      <x:c r="I453" s="20"/>
      <x:c r="J453" s="20"/>
      <x:c r="K453" s="20"/>
      <x:c r="L453" s="21"/>
    </x:row>
    <x:row r="454">
      <x:c r="A454" s="19"/>
      <x:c r="B454" s="20"/>
      <x:c r="C454" s="25"/>
      <x:c r="D454" s="20"/>
      <x:c r="E454" s="20"/>
      <x:c r="F454" s="20"/>
      <x:c r="G454" s="20"/>
      <x:c r="H454" s="20"/>
      <x:c r="I454" s="20"/>
      <x:c r="J454" s="20"/>
      <x:c r="K454" s="20"/>
      <x:c r="L454" s="21"/>
    </x:row>
    <x:row r="455">
      <x:c r="A455" s="19"/>
      <x:c r="B455" s="20"/>
      <x:c r="C455" s="25"/>
      <x:c r="D455" s="20"/>
      <x:c r="E455" s="20"/>
      <x:c r="F455" s="20"/>
      <x:c r="G455" s="20"/>
      <x:c r="H455" s="20"/>
      <x:c r="I455" s="20"/>
      <x:c r="J455" s="20"/>
      <x:c r="K455" s="20"/>
      <x:c r="L455" s="21"/>
    </x:row>
    <x:row r="456">
      <x:c r="A456" s="19"/>
      <x:c r="B456" s="20"/>
      <x:c r="C456" s="25"/>
      <x:c r="D456" s="20"/>
      <x:c r="E456" s="20"/>
      <x:c r="F456" s="20"/>
      <x:c r="G456" s="20"/>
      <x:c r="H456" s="20"/>
      <x:c r="I456" s="20"/>
      <x:c r="J456" s="20"/>
      <x:c r="K456" s="20"/>
      <x:c r="L456" s="21"/>
    </x:row>
    <x:row r="457">
      <x:c r="A457" s="19"/>
      <x:c r="B457" s="20"/>
      <x:c r="C457" s="25"/>
      <x:c r="D457" s="20"/>
      <x:c r="E457" s="20"/>
      <x:c r="F457" s="20"/>
      <x:c r="G457" s="20"/>
      <x:c r="H457" s="20"/>
      <x:c r="I457" s="20"/>
      <x:c r="J457" s="20"/>
      <x:c r="K457" s="20"/>
      <x:c r="L457" s="21"/>
    </x:row>
    <x:row r="458">
      <x:c r="A458" s="19"/>
      <x:c r="B458" s="20"/>
      <x:c r="C458" s="25"/>
      <x:c r="D458" s="20"/>
      <x:c r="E458" s="20"/>
      <x:c r="F458" s="20"/>
      <x:c r="G458" s="20"/>
      <x:c r="H458" s="20"/>
      <x:c r="I458" s="20"/>
      <x:c r="J458" s="20"/>
      <x:c r="K458" s="20"/>
      <x:c r="L458" s="21"/>
    </x:row>
    <x:row r="459">
      <x:c r="A459" s="19"/>
      <x:c r="B459" s="20"/>
      <x:c r="C459" s="25"/>
      <x:c r="D459" s="20"/>
      <x:c r="E459" s="20"/>
      <x:c r="F459" s="20"/>
      <x:c r="G459" s="20"/>
      <x:c r="H459" s="20"/>
      <x:c r="I459" s="20"/>
      <x:c r="J459" s="20"/>
      <x:c r="K459" s="20"/>
      <x:c r="L459" s="21"/>
    </x:row>
    <x:row r="460">
      <x:c r="A460" s="19"/>
      <x:c r="B460" s="20"/>
      <x:c r="C460" s="25"/>
      <x:c r="D460" s="20"/>
      <x:c r="E460" s="20"/>
      <x:c r="F460" s="20"/>
      <x:c r="G460" s="20"/>
      <x:c r="H460" s="20"/>
      <x:c r="I460" s="20"/>
      <x:c r="J460" s="20"/>
      <x:c r="K460" s="20"/>
      <x:c r="L460" s="21"/>
    </x:row>
    <x:row r="461">
      <x:c r="A461" s="19"/>
      <x:c r="B461" s="20"/>
      <x:c r="C461" s="25"/>
      <x:c r="D461" s="20"/>
      <x:c r="E461" s="20"/>
      <x:c r="F461" s="20"/>
      <x:c r="G461" s="20"/>
      <x:c r="H461" s="20"/>
      <x:c r="I461" s="20"/>
      <x:c r="J461" s="20"/>
      <x:c r="K461" s="20"/>
      <x:c r="L461" s="21"/>
    </x:row>
    <x:row r="462">
      <x:c r="A462" s="19"/>
      <x:c r="B462" s="20"/>
      <x:c r="C462" s="25"/>
      <x:c r="D462" s="20"/>
      <x:c r="E462" s="20"/>
      <x:c r="F462" s="20"/>
      <x:c r="G462" s="20"/>
      <x:c r="H462" s="20"/>
      <x:c r="I462" s="20"/>
      <x:c r="J462" s="20"/>
      <x:c r="K462" s="20"/>
      <x:c r="L462" s="21"/>
    </x:row>
    <x:row r="463">
      <x:c r="A463" s="19"/>
      <x:c r="B463" s="20"/>
      <x:c r="C463" s="25"/>
      <x:c r="D463" s="20"/>
      <x:c r="E463" s="20"/>
      <x:c r="F463" s="20"/>
      <x:c r="G463" s="20"/>
      <x:c r="H463" s="20"/>
      <x:c r="I463" s="20"/>
      <x:c r="J463" s="20"/>
      <x:c r="K463" s="20"/>
      <x:c r="L463" s="21"/>
    </x:row>
    <x:row r="464">
      <x:c r="A464" s="19"/>
      <x:c r="B464" s="20"/>
      <x:c r="C464" s="25"/>
      <x:c r="D464" s="20"/>
      <x:c r="E464" s="20"/>
      <x:c r="F464" s="20"/>
      <x:c r="G464" s="20"/>
      <x:c r="H464" s="20"/>
      <x:c r="I464" s="20"/>
      <x:c r="J464" s="20"/>
      <x:c r="K464" s="20"/>
      <x:c r="L464" s="21"/>
    </x:row>
    <x:row r="465">
      <x:c r="A465" s="19"/>
      <x:c r="B465" s="20"/>
      <x:c r="C465" s="25"/>
      <x:c r="D465" s="20"/>
      <x:c r="E465" s="20"/>
      <x:c r="F465" s="20"/>
      <x:c r="G465" s="20"/>
      <x:c r="H465" s="20"/>
      <x:c r="I465" s="20"/>
      <x:c r="J465" s="20"/>
      <x:c r="K465" s="20"/>
      <x:c r="L465" s="21"/>
    </x:row>
    <x:row r="466">
      <x:c r="A466" s="19"/>
      <x:c r="B466" s="20"/>
      <x:c r="C466" s="25"/>
      <x:c r="D466" s="20"/>
      <x:c r="E466" s="20"/>
      <x:c r="F466" s="20"/>
      <x:c r="G466" s="20"/>
      <x:c r="H466" s="20"/>
      <x:c r="I466" s="20"/>
      <x:c r="J466" s="20"/>
      <x:c r="K466" s="20"/>
      <x:c r="L466" s="21"/>
    </x:row>
    <x:row r="467">
      <x:c r="A467" s="19"/>
      <x:c r="B467" s="20"/>
      <x:c r="C467" s="25"/>
      <x:c r="D467" s="20"/>
      <x:c r="E467" s="20"/>
      <x:c r="F467" s="20"/>
      <x:c r="G467" s="20"/>
      <x:c r="H467" s="20"/>
      <x:c r="I467" s="20"/>
      <x:c r="J467" s="20"/>
      <x:c r="K467" s="20"/>
      <x:c r="L467" s="21"/>
    </x:row>
    <x:row r="468">
      <x:c r="A468" s="19"/>
      <x:c r="B468" s="20"/>
      <x:c r="C468" s="25"/>
      <x:c r="D468" s="20"/>
      <x:c r="E468" s="20"/>
      <x:c r="F468" s="20"/>
      <x:c r="G468" s="20"/>
      <x:c r="H468" s="20"/>
      <x:c r="I468" s="20"/>
      <x:c r="J468" s="20"/>
      <x:c r="K468" s="20"/>
      <x:c r="L468" s="21"/>
    </x:row>
    <x:row r="469">
      <x:c r="A469" s="19"/>
      <x:c r="B469" s="20"/>
      <x:c r="C469" s="25"/>
      <x:c r="D469" s="20"/>
      <x:c r="E469" s="20"/>
      <x:c r="F469" s="20"/>
      <x:c r="G469" s="20"/>
      <x:c r="H469" s="20"/>
      <x:c r="I469" s="20"/>
      <x:c r="J469" s="20"/>
      <x:c r="K469" s="20"/>
      <x:c r="L469" s="21"/>
    </x:row>
    <x:row r="470">
      <x:c r="A470" s="19"/>
      <x:c r="B470" s="20"/>
      <x:c r="C470" s="25"/>
      <x:c r="D470" s="20"/>
      <x:c r="E470" s="20"/>
      <x:c r="F470" s="20"/>
      <x:c r="G470" s="20"/>
      <x:c r="H470" s="20"/>
      <x:c r="I470" s="20"/>
      <x:c r="J470" s="20"/>
      <x:c r="K470" s="20"/>
      <x:c r="L470" s="21"/>
    </x:row>
    <x:row r="471">
      <x:c r="A471" s="19"/>
      <x:c r="B471" s="20"/>
      <x:c r="C471" s="25"/>
      <x:c r="D471" s="20"/>
      <x:c r="E471" s="20"/>
      <x:c r="F471" s="20"/>
      <x:c r="G471" s="20"/>
      <x:c r="H471" s="20"/>
      <x:c r="I471" s="20"/>
      <x:c r="J471" s="20"/>
      <x:c r="K471" s="20"/>
      <x:c r="L471" s="21"/>
    </x:row>
    <x:row r="472">
      <x:c r="A472" s="19"/>
      <x:c r="B472" s="20"/>
      <x:c r="C472" s="25"/>
      <x:c r="D472" s="20"/>
      <x:c r="E472" s="20"/>
      <x:c r="F472" s="20"/>
      <x:c r="G472" s="20"/>
      <x:c r="H472" s="20"/>
      <x:c r="I472" s="20"/>
      <x:c r="J472" s="20"/>
      <x:c r="K472" s="20"/>
      <x:c r="L472" s="21"/>
    </x:row>
    <x:row r="473">
      <x:c r="A473" s="19"/>
      <x:c r="B473" s="20"/>
      <x:c r="C473" s="25"/>
      <x:c r="D473" s="20"/>
      <x:c r="E473" s="20"/>
      <x:c r="F473" s="20"/>
      <x:c r="G473" s="20"/>
      <x:c r="H473" s="20"/>
      <x:c r="I473" s="20"/>
      <x:c r="J473" s="20"/>
      <x:c r="K473" s="20"/>
      <x:c r="L473" s="21"/>
    </x:row>
    <x:row r="474">
      <x:c r="A474" s="19"/>
      <x:c r="B474" s="20"/>
      <x:c r="C474" s="25"/>
      <x:c r="D474" s="20"/>
      <x:c r="E474" s="20"/>
      <x:c r="F474" s="20"/>
      <x:c r="G474" s="20"/>
      <x:c r="H474" s="20"/>
      <x:c r="I474" s="20"/>
      <x:c r="J474" s="20"/>
      <x:c r="K474" s="20"/>
      <x:c r="L474" s="21"/>
    </x:row>
    <x:row r="475">
      <x:c r="A475" s="19"/>
      <x:c r="B475" s="20"/>
      <x:c r="C475" s="25"/>
      <x:c r="D475" s="20"/>
      <x:c r="E475" s="20"/>
      <x:c r="F475" s="20"/>
      <x:c r="G475" s="20"/>
      <x:c r="H475" s="20"/>
      <x:c r="I475" s="20"/>
      <x:c r="J475" s="20"/>
      <x:c r="K475" s="20"/>
      <x:c r="L475" s="21"/>
    </x:row>
    <x:row r="476">
      <x:c r="A476" s="19"/>
      <x:c r="B476" s="20"/>
      <x:c r="C476" s="25"/>
      <x:c r="D476" s="20"/>
      <x:c r="E476" s="20"/>
      <x:c r="F476" s="20"/>
      <x:c r="G476" s="20"/>
      <x:c r="H476" s="20"/>
      <x:c r="I476" s="20"/>
      <x:c r="J476" s="20"/>
      <x:c r="K476" s="20"/>
      <x:c r="L476" s="21"/>
    </x:row>
    <x:row r="477">
      <x:c r="A477" s="19"/>
      <x:c r="B477" s="20"/>
      <x:c r="C477" s="25"/>
      <x:c r="D477" s="20"/>
      <x:c r="E477" s="20"/>
      <x:c r="F477" s="20"/>
      <x:c r="G477" s="20"/>
      <x:c r="H477" s="20"/>
      <x:c r="I477" s="20"/>
      <x:c r="J477" s="20"/>
      <x:c r="K477" s="20"/>
      <x:c r="L477" s="21"/>
    </x:row>
    <x:row r="478">
      <x:c r="A478" s="19"/>
      <x:c r="B478" s="20"/>
      <x:c r="C478" s="25"/>
      <x:c r="D478" s="20"/>
      <x:c r="E478" s="20"/>
      <x:c r="F478" s="20"/>
      <x:c r="G478" s="20"/>
      <x:c r="H478" s="20"/>
      <x:c r="I478" s="20"/>
      <x:c r="J478" s="20"/>
      <x:c r="K478" s="20"/>
      <x:c r="L478" s="21"/>
    </x:row>
    <x:row r="479">
      <x:c r="A479" s="19"/>
      <x:c r="B479" s="20"/>
      <x:c r="C479" s="25"/>
      <x:c r="D479" s="20"/>
      <x:c r="E479" s="20"/>
      <x:c r="F479" s="20"/>
      <x:c r="G479" s="20"/>
      <x:c r="H479" s="20"/>
      <x:c r="I479" s="20"/>
      <x:c r="J479" s="20"/>
      <x:c r="K479" s="20"/>
      <x:c r="L479" s="21"/>
    </x:row>
    <x:row r="480">
      <x:c r="A480" s="19"/>
      <x:c r="B480" s="20"/>
      <x:c r="C480" s="25"/>
      <x:c r="D480" s="20"/>
      <x:c r="E480" s="20"/>
      <x:c r="F480" s="20"/>
      <x:c r="G480" s="20"/>
      <x:c r="H480" s="20"/>
      <x:c r="I480" s="20"/>
      <x:c r="J480" s="20"/>
      <x:c r="K480" s="20"/>
      <x:c r="L480" s="21"/>
    </x:row>
    <x:row r="481">
      <x:c r="A481" s="19"/>
      <x:c r="B481" s="20"/>
      <x:c r="C481" s="25"/>
      <x:c r="D481" s="20"/>
      <x:c r="E481" s="20"/>
      <x:c r="F481" s="20"/>
      <x:c r="G481" s="20"/>
      <x:c r="H481" s="20"/>
      <x:c r="I481" s="20"/>
      <x:c r="J481" s="20"/>
      <x:c r="K481" s="20"/>
      <x:c r="L481" s="21"/>
    </x:row>
    <x:row r="482">
      <x:c r="A482" s="19"/>
      <x:c r="B482" s="20"/>
      <x:c r="C482" s="25"/>
      <x:c r="D482" s="20"/>
      <x:c r="E482" s="20"/>
      <x:c r="F482" s="20"/>
      <x:c r="G482" s="20"/>
      <x:c r="H482" s="20"/>
      <x:c r="I482" s="20"/>
      <x:c r="J482" s="20"/>
      <x:c r="K482" s="20"/>
      <x:c r="L482" s="21"/>
    </x:row>
    <x:row r="483">
      <x:c r="A483" s="19"/>
      <x:c r="B483" s="20"/>
      <x:c r="C483" s="25"/>
      <x:c r="D483" s="20"/>
      <x:c r="E483" s="20"/>
      <x:c r="F483" s="20"/>
      <x:c r="G483" s="20"/>
      <x:c r="H483" s="20"/>
      <x:c r="I483" s="20"/>
      <x:c r="J483" s="20"/>
      <x:c r="K483" s="20"/>
      <x:c r="L483" s="21"/>
    </x:row>
    <x:row r="484">
      <x:c r="A484" s="19"/>
      <x:c r="B484" s="20"/>
      <x:c r="C484" s="25"/>
      <x:c r="D484" s="20"/>
      <x:c r="E484" s="20"/>
      <x:c r="F484" s="20"/>
      <x:c r="G484" s="20"/>
      <x:c r="H484" s="20"/>
      <x:c r="I484" s="20"/>
      <x:c r="J484" s="20"/>
      <x:c r="K484" s="20"/>
      <x:c r="L484" s="21"/>
    </x:row>
    <x:row r="485">
      <x:c r="A485" s="19"/>
      <x:c r="B485" s="20"/>
      <x:c r="C485" s="25"/>
      <x:c r="D485" s="20"/>
      <x:c r="E485" s="20"/>
      <x:c r="F485" s="20"/>
      <x:c r="G485" s="20"/>
      <x:c r="H485" s="20"/>
      <x:c r="I485" s="20"/>
      <x:c r="J485" s="20"/>
      <x:c r="K485" s="20"/>
      <x:c r="L485" s="21"/>
    </x:row>
    <x:row r="486">
      <x:c r="A486" s="19"/>
      <x:c r="B486" s="20"/>
      <x:c r="C486" s="25"/>
      <x:c r="D486" s="20"/>
      <x:c r="E486" s="20"/>
      <x:c r="F486" s="20"/>
      <x:c r="G486" s="20"/>
      <x:c r="H486" s="20"/>
      <x:c r="I486" s="20"/>
      <x:c r="J486" s="20"/>
      <x:c r="K486" s="20"/>
      <x:c r="L486" s="21"/>
    </x:row>
    <x:row r="487">
      <x:c r="A487" s="19"/>
      <x:c r="B487" s="20"/>
      <x:c r="C487" s="25"/>
      <x:c r="D487" s="20"/>
      <x:c r="E487" s="20"/>
      <x:c r="F487" s="20"/>
      <x:c r="G487" s="20"/>
      <x:c r="H487" s="20"/>
      <x:c r="I487" s="20"/>
      <x:c r="J487" s="20"/>
      <x:c r="K487" s="20"/>
      <x:c r="L487" s="21"/>
    </x:row>
    <x:row r="488">
      <x:c r="A488" s="19"/>
      <x:c r="B488" s="20"/>
      <x:c r="C488" s="25"/>
      <x:c r="D488" s="20"/>
      <x:c r="E488" s="20"/>
      <x:c r="F488" s="20"/>
      <x:c r="G488" s="20"/>
      <x:c r="H488" s="20"/>
      <x:c r="I488" s="20"/>
      <x:c r="J488" s="20"/>
      <x:c r="K488" s="20"/>
      <x:c r="L488" s="21"/>
    </x:row>
    <x:row r="489">
      <x:c r="A489" s="19"/>
      <x:c r="B489" s="20"/>
      <x:c r="C489" s="25"/>
      <x:c r="D489" s="20"/>
      <x:c r="E489" s="20"/>
      <x:c r="F489" s="20"/>
      <x:c r="G489" s="20"/>
      <x:c r="H489" s="20"/>
      <x:c r="I489" s="20"/>
      <x:c r="J489" s="20"/>
      <x:c r="K489" s="20"/>
      <x:c r="L489" s="21"/>
    </x:row>
    <x:row r="490">
      <x:c r="A490" s="19"/>
      <x:c r="B490" s="20"/>
      <x:c r="C490" s="25"/>
      <x:c r="D490" s="20"/>
      <x:c r="E490" s="20"/>
      <x:c r="F490" s="20"/>
      <x:c r="G490" s="20"/>
      <x:c r="H490" s="20"/>
      <x:c r="I490" s="20"/>
      <x:c r="J490" s="20"/>
      <x:c r="K490" s="20"/>
      <x:c r="L490" s="21"/>
    </x:row>
    <x:row r="491">
      <x:c r="A491" s="19"/>
      <x:c r="B491" s="20"/>
      <x:c r="C491" s="25"/>
      <x:c r="D491" s="20"/>
      <x:c r="E491" s="20"/>
      <x:c r="F491" s="20"/>
      <x:c r="G491" s="20"/>
      <x:c r="H491" s="20"/>
      <x:c r="I491" s="20"/>
      <x:c r="J491" s="20"/>
      <x:c r="K491" s="20"/>
      <x:c r="L491" s="21"/>
    </x:row>
    <x:row r="492">
      <x:c r="A492" s="19"/>
      <x:c r="B492" s="20"/>
      <x:c r="C492" s="25"/>
      <x:c r="D492" s="20"/>
      <x:c r="E492" s="20"/>
      <x:c r="F492" s="20"/>
      <x:c r="G492" s="20"/>
      <x:c r="H492" s="20"/>
      <x:c r="I492" s="20"/>
      <x:c r="J492" s="20"/>
      <x:c r="K492" s="20"/>
      <x:c r="L492" s="21"/>
    </x:row>
    <x:row r="493">
      <x:c r="A493" s="19"/>
      <x:c r="B493" s="20"/>
      <x:c r="C493" s="25"/>
      <x:c r="D493" s="20"/>
      <x:c r="E493" s="20"/>
      <x:c r="F493" s="20"/>
      <x:c r="G493" s="20"/>
      <x:c r="H493" s="20"/>
      <x:c r="I493" s="20"/>
      <x:c r="J493" s="20"/>
      <x:c r="K493" s="20"/>
      <x:c r="L493" s="21"/>
    </x:row>
    <x:row r="494">
      <x:c r="A494" s="19"/>
      <x:c r="B494" s="20"/>
      <x:c r="C494" s="25"/>
      <x:c r="D494" s="20"/>
      <x:c r="E494" s="20"/>
      <x:c r="F494" s="20"/>
      <x:c r="G494" s="20"/>
      <x:c r="H494" s="20"/>
      <x:c r="I494" s="20"/>
      <x:c r="J494" s="20"/>
      <x:c r="K494" s="20"/>
      <x:c r="L494" s="21"/>
    </x:row>
    <x:row r="495">
      <x:c r="A495" s="19"/>
      <x:c r="B495" s="20"/>
      <x:c r="C495" s="25"/>
      <x:c r="D495" s="20"/>
      <x:c r="E495" s="20"/>
      <x:c r="F495" s="20"/>
      <x:c r="G495" s="20"/>
      <x:c r="H495" s="20"/>
      <x:c r="I495" s="20"/>
      <x:c r="J495" s="20"/>
      <x:c r="K495" s="20"/>
      <x:c r="L495" s="21"/>
    </x:row>
    <x:row r="496">
      <x:c r="A496" s="19"/>
      <x:c r="B496" s="20"/>
      <x:c r="C496" s="25"/>
      <x:c r="D496" s="20"/>
      <x:c r="E496" s="20"/>
      <x:c r="F496" s="20"/>
      <x:c r="G496" s="20"/>
      <x:c r="H496" s="20"/>
      <x:c r="I496" s="20"/>
      <x:c r="J496" s="20"/>
      <x:c r="K496" s="20"/>
      <x:c r="L496" s="21"/>
    </x:row>
    <x:row r="497">
      <x:c r="A497" s="19"/>
      <x:c r="B497" s="20"/>
      <x:c r="C497" s="25"/>
      <x:c r="D497" s="20"/>
      <x:c r="E497" s="20"/>
      <x:c r="F497" s="20"/>
      <x:c r="G497" s="20"/>
      <x:c r="H497" s="20"/>
      <x:c r="I497" s="20"/>
      <x:c r="J497" s="20"/>
      <x:c r="K497" s="20"/>
      <x:c r="L497" s="21"/>
    </x:row>
    <x:row r="498">
      <x:c r="A498" s="19"/>
      <x:c r="B498" s="20"/>
      <x:c r="C498" s="25"/>
      <x:c r="D498" s="20"/>
      <x:c r="E498" s="20"/>
      <x:c r="F498" s="20"/>
      <x:c r="G498" s="20"/>
      <x:c r="H498" s="20"/>
      <x:c r="I498" s="20"/>
      <x:c r="J498" s="20"/>
      <x:c r="K498" s="20"/>
      <x:c r="L498" s="21"/>
    </x:row>
    <x:row r="499">
      <x:c r="A499" s="19"/>
      <x:c r="B499" s="20"/>
      <x:c r="C499" s="25"/>
      <x:c r="D499" s="20"/>
      <x:c r="E499" s="20"/>
      <x:c r="F499" s="20"/>
      <x:c r="G499" s="20"/>
      <x:c r="H499" s="20"/>
      <x:c r="I499" s="20"/>
      <x:c r="J499" s="20"/>
      <x:c r="K499" s="20"/>
      <x:c r="L499" s="21"/>
    </x:row>
    <x:row r="500">
      <x:c r="A500" s="19"/>
      <x:c r="B500" s="20"/>
      <x:c r="C500" s="25"/>
      <x:c r="D500" s="20"/>
      <x:c r="E500" s="20"/>
      <x:c r="F500" s="20"/>
      <x:c r="G500" s="20"/>
      <x:c r="H500" s="20"/>
      <x:c r="I500" s="20"/>
      <x:c r="J500" s="20"/>
      <x:c r="K500" s="20"/>
      <x:c r="L500" s="21"/>
    </x:row>
    <x:row r="501">
      <x:c r="A501" s="19"/>
      <x:c r="B501" s="20"/>
      <x:c r="C501" s="25"/>
      <x:c r="D501" s="20"/>
      <x:c r="E501" s="20"/>
      <x:c r="F501" s="20"/>
      <x:c r="G501" s="20"/>
      <x:c r="H501" s="20"/>
      <x:c r="I501" s="20"/>
      <x:c r="J501" s="20"/>
      <x:c r="K501" s="20"/>
      <x:c r="L501" s="21"/>
    </x:row>
    <x:row r="502">
      <x:c r="A502" s="19"/>
      <x:c r="B502" s="20"/>
      <x:c r="C502" s="25"/>
      <x:c r="D502" s="20"/>
      <x:c r="E502" s="20"/>
      <x:c r="F502" s="20"/>
      <x:c r="G502" s="20"/>
      <x:c r="H502" s="20"/>
      <x:c r="I502" s="20"/>
      <x:c r="J502" s="20"/>
      <x:c r="K502" s="20"/>
      <x:c r="L502" s="21"/>
    </x:row>
    <x:row r="503">
      <x:c r="A503" s="22"/>
      <x:c r="B503" s="23"/>
      <x:c r="C503" s="26"/>
      <x:c r="D503" s="23"/>
      <x:c r="E503" s="23"/>
      <x:c r="F503" s="23"/>
      <x:c r="G503" s="23"/>
      <x:c r="H503" s="23"/>
      <x:c r="I503" s="23"/>
      <x:c r="J503" s="23"/>
      <x:c r="K503" s="23"/>
      <x:c r="L503" s="24"/>
    </x:row>
  </x:sheetData>
  <x:mergeCells>
    <x:mergeCell ref="A1:L1"/>
  </x:mergeCells>
  <x:dataValidations count="3">
    <x:dataValidation type="list" sqref="E4:E503">
      <x:formula1>"Réunion des jeunes,Réunion compagnon,Cours en Cayenne,Fête de juin,Fête de novembre,JEP,Autre"</x:formula1>
    </x:dataValidation>
    <x:dataValidation type="list" sqref="I4:I503">
      <x:formula1>"Paris,Autre"</x:formula1>
    </x:dataValidation>
    <x:dataValidation type="list" sqref="K4:K503">
      <x:formula1>"Oui,Non"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6.670000076293945" hidden="0" customWidth="1"/>
    <x:col min="3" max="3" width="16.670000076293945" hidden="0" customWidth="1"/>
    <x:col min="4" max="4" width="7.78000020980835" hidden="0" customWidth="1"/>
    <x:col min="5" max="5" width="21.110000610351562" hidden="0" customWidth="1"/>
    <x:col min="6" max="6" width="12.779999732971191" hidden="0" customWidth="1"/>
    <x:col min="7" max="7" width="26.670000076293945" hidden="0" customWidth="1"/>
    <x:col min="8" max="8" width="18.889999389648438" hidden="0" customWidth="1"/>
    <x:col min="9" max="9" width="14.4399995803833" hidden="0" customWidth="1"/>
    <x:col min="10" max="10" width="14.4399995803833" hidden="0" customWidth="1"/>
    <x:col min="11" max="11" width="24.440000534057617" hidden="0" customWidth="1"/>
    <x:col min="12" max="12" width="15.5600004196167" hidden="0" customWidth="1"/>
    <x:col min="13" max="13" width="13.329999923706055" hidden="0" customWidth="1"/>
    <x:col min="14" max="14" width="11.109999656677246" hidden="0" customWidth="1"/>
    <x:col min="15" max="15" width="13.890000343322754" hidden="0" customWidth="1"/>
    <x:col min="16" max="16" width="24.440000534057617" hidden="0" customWidth="1"/>
    <x:col min="17" max="17" width="28.889999389648438" hidden="0" customWidth="1"/>
    <x:col min="18" max="18" width="13.329999923706055" hidden="0" customWidth="1"/>
    <x:col min="19" max="19" width="13.329999923706055" hidden="0" customWidth="1"/>
    <x:col min="20" max="20" width="13.329999923706055" hidden="0" customWidth="1"/>
    <x:col min="21" max="21" width="28.889999389648438" hidden="0" customWidth="1"/>
    <x:col min="22" max="22" width="20" hidden="0" customWidth="1"/>
    <x:col min="23" max="23" width="10" hidden="0" customWidth="1"/>
    <x:col min="24" max="24" width="8.890000343322754" hidden="0" customWidth="1"/>
    <x:col min="25" max="25" width="17.780000686645508" hidden="0" customWidth="1"/>
  </x:cols>
  <x:sheetData>
    <x:row r="1">
      <x:c r="A1" s="4" t="str">
        <x:v>Réponses enregistrées par le formulaire</x:v>
      </x:c>
      <x:c r="B1" s="4" t="str">
        <x:v>Réponses enregistrées par le formulaire</x:v>
      </x:c>
      <x:c r="C1" s="4" t="str">
        <x:v>Réponses enregistrées par le formulaire</x:v>
      </x:c>
      <x:c r="D1" s="4" t="str">
        <x:v>Réponses enregistrées par le formulaire</x:v>
      </x:c>
      <x:c r="E1" s="4" t="str">
        <x:v>Réponses enregistrées par le formulaire</x:v>
      </x:c>
      <x:c r="F1" s="4" t="str">
        <x:v>Réponses enregistrées par le formulaire</x:v>
      </x:c>
      <x:c r="G1" s="4" t="str">
        <x:v>Réponses enregistrées par le formulaire</x:v>
      </x:c>
      <x:c r="H1" s="4" t="str">
        <x:v>Réponses enregistrées par le formulaire</x:v>
      </x:c>
      <x:c r="I1" s="4" t="str">
        <x:v>Réponses enregistrées par le formulaire</x:v>
      </x:c>
      <x:c r="J1" s="4" t="str">
        <x:v>Réponses enregistrées par le formulaire</x:v>
      </x:c>
      <x:c r="K1" s="4" t="str">
        <x:v>Réponses enregistrées par le formulaire</x:v>
      </x:c>
      <x:c r="L1" s="4" t="str">
        <x:v>Réponses enregistrées par le formulaire</x:v>
      </x:c>
      <x:c r="M1" s="4" t="str">
        <x:v>Réponses enregistrées par le formulaire</x:v>
      </x:c>
      <x:c r="N1" s="4" t="str">
        <x:v>Réponses enregistrées par le formulaire</x:v>
      </x:c>
      <x:c r="O1" s="4" t="str">
        <x:v>Réponses enregistrées par le formulaire</x:v>
      </x:c>
      <x:c r="P1" s="4" t="str">
        <x:v>Réponses enregistrées par le formulaire</x:v>
      </x:c>
      <x:c r="Q1" s="4" t="str">
        <x:v>Réponses enregistrées par le formulaire</x:v>
      </x:c>
      <x:c r="R1" s="4" t="str">
        <x:v>Réponses enregistrées par le formulaire</x:v>
      </x:c>
      <x:c r="S1" s="4" t="str">
        <x:v>Réponses enregistrées par le formulaire</x:v>
      </x:c>
      <x:c r="T1" s="4" t="str">
        <x:v>Réponses enregistrées par le formulaire</x:v>
      </x:c>
      <x:c r="U1" s="4" t="str">
        <x:v>Réponses enregistrées par le formulaire</x:v>
      </x:c>
      <x:c r="V1" s="4" t="str">
        <x:v>Réponses enregistrées par le formulaire</x:v>
      </x:c>
      <x:c r="W1" s="4" t="str">
        <x:v>Réponses enregistrées par le formulaire</x:v>
      </x:c>
      <x:c r="X1" s="4" t="str">
        <x:v>Réponses enregistrées par le formulaire</x:v>
      </x:c>
      <x:c r="Y1" s="4" t="str">
        <x:v>Réponses enregistrées par le formulaire</x:v>
      </x:c>
    </x:row>
    <x:row r="3">
      <x:c r="A3" s="16" t="str">
        <x:v>ID_Reponse</x:v>
      </x:c>
      <x:c r="B3" s="17" t="str">
        <x:v>Horodatage</x:v>
      </x:c>
      <x:c r="C3" s="17" t="str">
        <x:v>Source</x:v>
      </x:c>
      <x:c r="D3" s="17" t="str">
        <x:v>Annee</x:v>
      </x:c>
      <x:c r="E3" s="17" t="str">
        <x:v>ID_Evenement</x:v>
      </x:c>
      <x:c r="F3" s="17" t="str">
        <x:v>Date_Evenement</x:v>
      </x:c>
      <x:c r="G3" s="17" t="str">
        <x:v>Titre_Evenement</x:v>
      </x:c>
      <x:c r="H3" s="17" t="str">
        <x:v>Type_Evenement</x:v>
      </x:c>
      <x:c r="I3" s="17" t="str">
        <x:v>Nom</x:v>
      </x:c>
      <x:c r="J3" s="17" t="str">
        <x:v>Prenom</x:v>
      </x:c>
      <x:c r="K3" s="17" t="str">
        <x:v>Email</x:v>
      </x:c>
      <x:c r="L3" s="17" t="str">
        <x:v>Telephone</x:v>
      </x:c>
      <x:c r="M3" s="17" t="str">
        <x:v>Statut</x:v>
      </x:c>
      <x:c r="N3" s="17" t="str">
        <x:v>Cayenne</x:v>
      </x:c>
      <x:c r="O3" s="17" t="str">
        <x:v>Reponse</x:v>
      </x:c>
      <x:c r="P3" s="17" t="str">
        <x:v>Causes</x:v>
      </x:c>
      <x:c r="Q3" s="17" t="str">
        <x:v>Precision</x:v>
      </x:c>
      <x:c r="R3" s="17" t="str">
        <x:v>Aide_Disponible</x:v>
      </x:c>
      <x:c r="S3" s="17" t="str">
        <x:v>Heure_Debut_Aide</x:v>
      </x:c>
      <x:c r="T3" s="17" t="str">
        <x:v>Heure_Fin_Aide</x:v>
      </x:c>
      <x:c r="U3" s="17" t="str">
        <x:v>Commentaire</x:v>
      </x:c>
      <x:c r="V3" s="17" t="str">
        <x:v>Cle_Personne</x:v>
      </x:c>
      <x:c r="W3" s="17" t="str">
        <x:v>Mois</x:v>
      </x:c>
      <x:c r="X3" s="17" t="str">
        <x:v>Semaine</x:v>
      </x:c>
      <x:c r="Y3" s="18" t="str">
        <x:v>Feuille_CR</x:v>
      </x:c>
    </x:row>
    <x:row r="4">
      <x:c r="A4" s="19"/>
      <x:c r="B4" s="27"/>
      <x:c r="C4" s="20"/>
      <x:c r="D4" s="28"/>
      <x:c r="E4" s="20"/>
      <x:c r="F4" s="25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1"/>
    </x:row>
    <x:row r="5">
      <x:c r="A5" s="19"/>
      <x:c r="B5" s="27"/>
      <x:c r="C5" s="20"/>
      <x:c r="D5" s="28"/>
      <x:c r="E5" s="20"/>
      <x:c r="F5" s="25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1"/>
    </x:row>
    <x:row r="6">
      <x:c r="A6" s="19"/>
      <x:c r="B6" s="27"/>
      <x:c r="C6" s="20"/>
      <x:c r="D6" s="28"/>
      <x:c r="E6" s="20"/>
      <x:c r="F6" s="25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1"/>
    </x:row>
    <x:row r="7">
      <x:c r="A7" s="19"/>
      <x:c r="B7" s="27"/>
      <x:c r="C7" s="20"/>
      <x:c r="D7" s="28"/>
      <x:c r="E7" s="20"/>
      <x:c r="F7" s="25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1"/>
    </x:row>
    <x:row r="8">
      <x:c r="A8" s="19"/>
      <x:c r="B8" s="27"/>
      <x:c r="C8" s="20"/>
      <x:c r="D8" s="28"/>
      <x:c r="E8" s="20"/>
      <x:c r="F8" s="25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1"/>
    </x:row>
    <x:row r="9">
      <x:c r="A9" s="19"/>
      <x:c r="B9" s="27"/>
      <x:c r="C9" s="20"/>
      <x:c r="D9" s="28"/>
      <x:c r="E9" s="20"/>
      <x:c r="F9" s="25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1"/>
    </x:row>
    <x:row r="10">
      <x:c r="A10" s="19"/>
      <x:c r="B10" s="27"/>
      <x:c r="C10" s="20"/>
      <x:c r="D10" s="28"/>
      <x:c r="E10" s="20"/>
      <x:c r="F10" s="25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1"/>
    </x:row>
    <x:row r="11">
      <x:c r="A11" s="19"/>
      <x:c r="B11" s="27"/>
      <x:c r="C11" s="20"/>
      <x:c r="D11" s="28"/>
      <x:c r="E11" s="20"/>
      <x:c r="F11" s="25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1"/>
    </x:row>
    <x:row r="12">
      <x:c r="A12" s="19"/>
      <x:c r="B12" s="27"/>
      <x:c r="C12" s="20"/>
      <x:c r="D12" s="28"/>
      <x:c r="E12" s="20"/>
      <x:c r="F12" s="25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1"/>
    </x:row>
    <x:row r="13">
      <x:c r="A13" s="19"/>
      <x:c r="B13" s="27"/>
      <x:c r="C13" s="20"/>
      <x:c r="D13" s="28"/>
      <x:c r="E13" s="20"/>
      <x:c r="F13" s="25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1"/>
    </x:row>
    <x:row r="14">
      <x:c r="A14" s="19"/>
      <x:c r="B14" s="27"/>
      <x:c r="C14" s="20"/>
      <x:c r="D14" s="28"/>
      <x:c r="E14" s="20"/>
      <x:c r="F14" s="25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1"/>
    </x:row>
    <x:row r="15">
      <x:c r="A15" s="19"/>
      <x:c r="B15" s="27"/>
      <x:c r="C15" s="20"/>
      <x:c r="D15" s="28"/>
      <x:c r="E15" s="20"/>
      <x:c r="F15" s="25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1"/>
    </x:row>
    <x:row r="16">
      <x:c r="A16" s="19"/>
      <x:c r="B16" s="27"/>
      <x:c r="C16" s="20"/>
      <x:c r="D16" s="28"/>
      <x:c r="E16" s="20"/>
      <x:c r="F16" s="25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1"/>
    </x:row>
    <x:row r="17">
      <x:c r="A17" s="19"/>
      <x:c r="B17" s="27"/>
      <x:c r="C17" s="20"/>
      <x:c r="D17" s="28"/>
      <x:c r="E17" s="20"/>
      <x:c r="F17" s="25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1"/>
    </x:row>
    <x:row r="18">
      <x:c r="A18" s="19"/>
      <x:c r="B18" s="27"/>
      <x:c r="C18" s="20"/>
      <x:c r="D18" s="28"/>
      <x:c r="E18" s="20"/>
      <x:c r="F18" s="25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1"/>
    </x:row>
    <x:row r="19">
      <x:c r="A19" s="19"/>
      <x:c r="B19" s="27"/>
      <x:c r="C19" s="20"/>
      <x:c r="D19" s="28"/>
      <x:c r="E19" s="20"/>
      <x:c r="F19" s="25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1"/>
    </x:row>
    <x:row r="20">
      <x:c r="A20" s="19"/>
      <x:c r="B20" s="27"/>
      <x:c r="C20" s="20"/>
      <x:c r="D20" s="28"/>
      <x:c r="E20" s="20"/>
      <x:c r="F20" s="25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1"/>
    </x:row>
    <x:row r="21">
      <x:c r="A21" s="19"/>
      <x:c r="B21" s="27"/>
      <x:c r="C21" s="20"/>
      <x:c r="D21" s="28"/>
      <x:c r="E21" s="20"/>
      <x:c r="F21" s="25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1"/>
    </x:row>
    <x:row r="22">
      <x:c r="A22" s="19"/>
      <x:c r="B22" s="27"/>
      <x:c r="C22" s="20"/>
      <x:c r="D22" s="28"/>
      <x:c r="E22" s="20"/>
      <x:c r="F22" s="25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1"/>
    </x:row>
    <x:row r="23">
      <x:c r="A23" s="19"/>
      <x:c r="B23" s="27"/>
      <x:c r="C23" s="20"/>
      <x:c r="D23" s="28"/>
      <x:c r="E23" s="20"/>
      <x:c r="F23" s="25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1"/>
    </x:row>
    <x:row r="24">
      <x:c r="A24" s="19"/>
      <x:c r="B24" s="27"/>
      <x:c r="C24" s="20"/>
      <x:c r="D24" s="28"/>
      <x:c r="E24" s="20"/>
      <x:c r="F24" s="25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1"/>
    </x:row>
    <x:row r="25">
      <x:c r="A25" s="19"/>
      <x:c r="B25" s="27"/>
      <x:c r="C25" s="20"/>
      <x:c r="D25" s="28"/>
      <x:c r="E25" s="20"/>
      <x:c r="F25" s="25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1"/>
    </x:row>
    <x:row r="26">
      <x:c r="A26" s="19"/>
      <x:c r="B26" s="27"/>
      <x:c r="C26" s="20"/>
      <x:c r="D26" s="28"/>
      <x:c r="E26" s="20"/>
      <x:c r="F26" s="25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1"/>
    </x:row>
    <x:row r="27">
      <x:c r="A27" s="19"/>
      <x:c r="B27" s="27"/>
      <x:c r="C27" s="20"/>
      <x:c r="D27" s="28"/>
      <x:c r="E27" s="20"/>
      <x:c r="F27" s="25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1"/>
    </x:row>
    <x:row r="28">
      <x:c r="A28" s="19"/>
      <x:c r="B28" s="27"/>
      <x:c r="C28" s="20"/>
      <x:c r="D28" s="28"/>
      <x:c r="E28" s="20"/>
      <x:c r="F28" s="25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1"/>
    </x:row>
    <x:row r="29">
      <x:c r="A29" s="19"/>
      <x:c r="B29" s="27"/>
      <x:c r="C29" s="20"/>
      <x:c r="D29" s="28"/>
      <x:c r="E29" s="20"/>
      <x:c r="F29" s="25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1"/>
    </x:row>
    <x:row r="30">
      <x:c r="A30" s="19"/>
      <x:c r="B30" s="27"/>
      <x:c r="C30" s="20"/>
      <x:c r="D30" s="28"/>
      <x:c r="E30" s="20"/>
      <x:c r="F30" s="25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1"/>
    </x:row>
    <x:row r="31">
      <x:c r="A31" s="19"/>
      <x:c r="B31" s="27"/>
      <x:c r="C31" s="20"/>
      <x:c r="D31" s="28"/>
      <x:c r="E31" s="20"/>
      <x:c r="F31" s="25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1"/>
    </x:row>
    <x:row r="32">
      <x:c r="A32" s="19"/>
      <x:c r="B32" s="27"/>
      <x:c r="C32" s="20"/>
      <x:c r="D32" s="28"/>
      <x:c r="E32" s="20"/>
      <x:c r="F32" s="25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1"/>
    </x:row>
    <x:row r="33">
      <x:c r="A33" s="19"/>
      <x:c r="B33" s="27"/>
      <x:c r="C33" s="20"/>
      <x:c r="D33" s="28"/>
      <x:c r="E33" s="20"/>
      <x:c r="F33" s="25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1"/>
    </x:row>
    <x:row r="34">
      <x:c r="A34" s="19"/>
      <x:c r="B34" s="27"/>
      <x:c r="C34" s="20"/>
      <x:c r="D34" s="28"/>
      <x:c r="E34" s="20"/>
      <x:c r="F34" s="25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1"/>
    </x:row>
    <x:row r="35">
      <x:c r="A35" s="19"/>
      <x:c r="B35" s="27"/>
      <x:c r="C35" s="20"/>
      <x:c r="D35" s="28"/>
      <x:c r="E35" s="20"/>
      <x:c r="F35" s="25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1"/>
    </x:row>
    <x:row r="36">
      <x:c r="A36" s="19"/>
      <x:c r="B36" s="27"/>
      <x:c r="C36" s="20"/>
      <x:c r="D36" s="28"/>
      <x:c r="E36" s="20"/>
      <x:c r="F36" s="25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1"/>
    </x:row>
    <x:row r="37">
      <x:c r="A37" s="19"/>
      <x:c r="B37" s="27"/>
      <x:c r="C37" s="20"/>
      <x:c r="D37" s="28"/>
      <x:c r="E37" s="20"/>
      <x:c r="F37" s="25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1"/>
    </x:row>
    <x:row r="38">
      <x:c r="A38" s="19"/>
      <x:c r="B38" s="27"/>
      <x:c r="C38" s="20"/>
      <x:c r="D38" s="28"/>
      <x:c r="E38" s="20"/>
      <x:c r="F38" s="25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1"/>
    </x:row>
    <x:row r="39">
      <x:c r="A39" s="19"/>
      <x:c r="B39" s="27"/>
      <x:c r="C39" s="20"/>
      <x:c r="D39" s="28"/>
      <x:c r="E39" s="20"/>
      <x:c r="F39" s="25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1"/>
    </x:row>
    <x:row r="40">
      <x:c r="A40" s="19"/>
      <x:c r="B40" s="27"/>
      <x:c r="C40" s="20"/>
      <x:c r="D40" s="28"/>
      <x:c r="E40" s="20"/>
      <x:c r="F40" s="25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1"/>
    </x:row>
    <x:row r="41">
      <x:c r="A41" s="19"/>
      <x:c r="B41" s="27"/>
      <x:c r="C41" s="20"/>
      <x:c r="D41" s="28"/>
      <x:c r="E41" s="20"/>
      <x:c r="F41" s="25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1"/>
    </x:row>
    <x:row r="42">
      <x:c r="A42" s="19"/>
      <x:c r="B42" s="27"/>
      <x:c r="C42" s="20"/>
      <x:c r="D42" s="28"/>
      <x:c r="E42" s="20"/>
      <x:c r="F42" s="25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1"/>
    </x:row>
    <x:row r="43">
      <x:c r="A43" s="19"/>
      <x:c r="B43" s="27"/>
      <x:c r="C43" s="20"/>
      <x:c r="D43" s="28"/>
      <x:c r="E43" s="20"/>
      <x:c r="F43" s="25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1"/>
    </x:row>
    <x:row r="44">
      <x:c r="A44" s="19"/>
      <x:c r="B44" s="27"/>
      <x:c r="C44" s="20"/>
      <x:c r="D44" s="28"/>
      <x:c r="E44" s="20"/>
      <x:c r="F44" s="25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1"/>
    </x:row>
    <x:row r="45">
      <x:c r="A45" s="19"/>
      <x:c r="B45" s="27"/>
      <x:c r="C45" s="20"/>
      <x:c r="D45" s="28"/>
      <x:c r="E45" s="20"/>
      <x:c r="F45" s="25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1"/>
    </x:row>
    <x:row r="46">
      <x:c r="A46" s="19"/>
      <x:c r="B46" s="27"/>
      <x:c r="C46" s="20"/>
      <x:c r="D46" s="28"/>
      <x:c r="E46" s="20"/>
      <x:c r="F46" s="25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1"/>
    </x:row>
    <x:row r="47">
      <x:c r="A47" s="19"/>
      <x:c r="B47" s="27"/>
      <x:c r="C47" s="20"/>
      <x:c r="D47" s="28"/>
      <x:c r="E47" s="20"/>
      <x:c r="F47" s="25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1"/>
    </x:row>
    <x:row r="48">
      <x:c r="A48" s="19"/>
      <x:c r="B48" s="27"/>
      <x:c r="C48" s="20"/>
      <x:c r="D48" s="28"/>
      <x:c r="E48" s="20"/>
      <x:c r="F48" s="25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1"/>
    </x:row>
    <x:row r="49">
      <x:c r="A49" s="19"/>
      <x:c r="B49" s="27"/>
      <x:c r="C49" s="20"/>
      <x:c r="D49" s="28"/>
      <x:c r="E49" s="20"/>
      <x:c r="F49" s="25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1"/>
    </x:row>
    <x:row r="50">
      <x:c r="A50" s="19"/>
      <x:c r="B50" s="27"/>
      <x:c r="C50" s="20"/>
      <x:c r="D50" s="28"/>
      <x:c r="E50" s="20"/>
      <x:c r="F50" s="25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1"/>
    </x:row>
    <x:row r="51">
      <x:c r="A51" s="19"/>
      <x:c r="B51" s="27"/>
      <x:c r="C51" s="20"/>
      <x:c r="D51" s="28"/>
      <x:c r="E51" s="20"/>
      <x:c r="F51" s="25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1"/>
    </x:row>
    <x:row r="52">
      <x:c r="A52" s="19"/>
      <x:c r="B52" s="27"/>
      <x:c r="C52" s="20"/>
      <x:c r="D52" s="28"/>
      <x:c r="E52" s="20"/>
      <x:c r="F52" s="25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1"/>
    </x:row>
    <x:row r="53">
      <x:c r="A53" s="19"/>
      <x:c r="B53" s="27"/>
      <x:c r="C53" s="20"/>
      <x:c r="D53" s="28"/>
      <x:c r="E53" s="20"/>
      <x:c r="F53" s="25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1"/>
    </x:row>
    <x:row r="54">
      <x:c r="A54" s="19"/>
      <x:c r="B54" s="27"/>
      <x:c r="C54" s="20"/>
      <x:c r="D54" s="28"/>
      <x:c r="E54" s="20"/>
      <x:c r="F54" s="25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1"/>
    </x:row>
    <x:row r="55">
      <x:c r="A55" s="19"/>
      <x:c r="B55" s="27"/>
      <x:c r="C55" s="20"/>
      <x:c r="D55" s="28"/>
      <x:c r="E55" s="20"/>
      <x:c r="F55" s="25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1"/>
    </x:row>
    <x:row r="56">
      <x:c r="A56" s="19"/>
      <x:c r="B56" s="27"/>
      <x:c r="C56" s="20"/>
      <x:c r="D56" s="28"/>
      <x:c r="E56" s="20"/>
      <x:c r="F56" s="25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1"/>
    </x:row>
    <x:row r="57">
      <x:c r="A57" s="19"/>
      <x:c r="B57" s="27"/>
      <x:c r="C57" s="20"/>
      <x:c r="D57" s="28"/>
      <x:c r="E57" s="20"/>
      <x:c r="F57" s="25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1"/>
    </x:row>
    <x:row r="58">
      <x:c r="A58" s="19"/>
      <x:c r="B58" s="27"/>
      <x:c r="C58" s="20"/>
      <x:c r="D58" s="28"/>
      <x:c r="E58" s="20"/>
      <x:c r="F58" s="25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1"/>
    </x:row>
    <x:row r="59">
      <x:c r="A59" s="19"/>
      <x:c r="B59" s="27"/>
      <x:c r="C59" s="20"/>
      <x:c r="D59" s="28"/>
      <x:c r="E59" s="20"/>
      <x:c r="F59" s="25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1"/>
    </x:row>
    <x:row r="60">
      <x:c r="A60" s="19"/>
      <x:c r="B60" s="27"/>
      <x:c r="C60" s="20"/>
      <x:c r="D60" s="28"/>
      <x:c r="E60" s="20"/>
      <x:c r="F60" s="25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1"/>
    </x:row>
    <x:row r="61">
      <x:c r="A61" s="19"/>
      <x:c r="B61" s="27"/>
      <x:c r="C61" s="20"/>
      <x:c r="D61" s="28"/>
      <x:c r="E61" s="20"/>
      <x:c r="F61" s="25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1"/>
    </x:row>
    <x:row r="62">
      <x:c r="A62" s="19"/>
      <x:c r="B62" s="27"/>
      <x:c r="C62" s="20"/>
      <x:c r="D62" s="28"/>
      <x:c r="E62" s="20"/>
      <x:c r="F62" s="25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1"/>
    </x:row>
    <x:row r="63">
      <x:c r="A63" s="19"/>
      <x:c r="B63" s="27"/>
      <x:c r="C63" s="20"/>
      <x:c r="D63" s="28"/>
      <x:c r="E63" s="20"/>
      <x:c r="F63" s="25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1"/>
    </x:row>
    <x:row r="64">
      <x:c r="A64" s="19"/>
      <x:c r="B64" s="27"/>
      <x:c r="C64" s="20"/>
      <x:c r="D64" s="28"/>
      <x:c r="E64" s="20"/>
      <x:c r="F64" s="25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1"/>
    </x:row>
    <x:row r="65">
      <x:c r="A65" s="19"/>
      <x:c r="B65" s="27"/>
      <x:c r="C65" s="20"/>
      <x:c r="D65" s="28"/>
      <x:c r="E65" s="20"/>
      <x:c r="F65" s="25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1"/>
    </x:row>
    <x:row r="66">
      <x:c r="A66" s="19"/>
      <x:c r="B66" s="27"/>
      <x:c r="C66" s="20"/>
      <x:c r="D66" s="28"/>
      <x:c r="E66" s="20"/>
      <x:c r="F66" s="25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1"/>
    </x:row>
    <x:row r="67">
      <x:c r="A67" s="19"/>
      <x:c r="B67" s="27"/>
      <x:c r="C67" s="20"/>
      <x:c r="D67" s="28"/>
      <x:c r="E67" s="20"/>
      <x:c r="F67" s="25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1"/>
    </x:row>
    <x:row r="68">
      <x:c r="A68" s="19"/>
      <x:c r="B68" s="27"/>
      <x:c r="C68" s="20"/>
      <x:c r="D68" s="28"/>
      <x:c r="E68" s="20"/>
      <x:c r="F68" s="25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1"/>
    </x:row>
    <x:row r="69">
      <x:c r="A69" s="19"/>
      <x:c r="B69" s="27"/>
      <x:c r="C69" s="20"/>
      <x:c r="D69" s="28"/>
      <x:c r="E69" s="20"/>
      <x:c r="F69" s="25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1"/>
    </x:row>
    <x:row r="70">
      <x:c r="A70" s="19"/>
      <x:c r="B70" s="27"/>
      <x:c r="C70" s="20"/>
      <x:c r="D70" s="28"/>
      <x:c r="E70" s="20"/>
      <x:c r="F70" s="25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1"/>
    </x:row>
    <x:row r="71">
      <x:c r="A71" s="19"/>
      <x:c r="B71" s="27"/>
      <x:c r="C71" s="20"/>
      <x:c r="D71" s="28"/>
      <x:c r="E71" s="20"/>
      <x:c r="F71" s="25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1"/>
    </x:row>
    <x:row r="72">
      <x:c r="A72" s="19"/>
      <x:c r="B72" s="27"/>
      <x:c r="C72" s="20"/>
      <x:c r="D72" s="28"/>
      <x:c r="E72" s="20"/>
      <x:c r="F72" s="25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1"/>
    </x:row>
    <x:row r="73">
      <x:c r="A73" s="19"/>
      <x:c r="B73" s="27"/>
      <x:c r="C73" s="20"/>
      <x:c r="D73" s="28"/>
      <x:c r="E73" s="20"/>
      <x:c r="F73" s="25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1"/>
    </x:row>
    <x:row r="74">
      <x:c r="A74" s="19"/>
      <x:c r="B74" s="27"/>
      <x:c r="C74" s="20"/>
      <x:c r="D74" s="28"/>
      <x:c r="E74" s="20"/>
      <x:c r="F74" s="25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1"/>
    </x:row>
    <x:row r="75">
      <x:c r="A75" s="19"/>
      <x:c r="B75" s="27"/>
      <x:c r="C75" s="20"/>
      <x:c r="D75" s="28"/>
      <x:c r="E75" s="20"/>
      <x:c r="F75" s="25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1"/>
    </x:row>
    <x:row r="76">
      <x:c r="A76" s="19"/>
      <x:c r="B76" s="27"/>
      <x:c r="C76" s="20"/>
      <x:c r="D76" s="28"/>
      <x:c r="E76" s="20"/>
      <x:c r="F76" s="25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1"/>
    </x:row>
    <x:row r="77">
      <x:c r="A77" s="19"/>
      <x:c r="B77" s="27"/>
      <x:c r="C77" s="20"/>
      <x:c r="D77" s="28"/>
      <x:c r="E77" s="20"/>
      <x:c r="F77" s="25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1"/>
    </x:row>
    <x:row r="78">
      <x:c r="A78" s="19"/>
      <x:c r="B78" s="27"/>
      <x:c r="C78" s="20"/>
      <x:c r="D78" s="28"/>
      <x:c r="E78" s="20"/>
      <x:c r="F78" s="25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1"/>
    </x:row>
    <x:row r="79">
      <x:c r="A79" s="19"/>
      <x:c r="B79" s="27"/>
      <x:c r="C79" s="20"/>
      <x:c r="D79" s="28"/>
      <x:c r="E79" s="20"/>
      <x:c r="F79" s="25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1"/>
    </x:row>
    <x:row r="80">
      <x:c r="A80" s="19"/>
      <x:c r="B80" s="27"/>
      <x:c r="C80" s="20"/>
      <x:c r="D80" s="28"/>
      <x:c r="E80" s="20"/>
      <x:c r="F80" s="25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1"/>
    </x:row>
    <x:row r="81">
      <x:c r="A81" s="19"/>
      <x:c r="B81" s="27"/>
      <x:c r="C81" s="20"/>
      <x:c r="D81" s="28"/>
      <x:c r="E81" s="20"/>
      <x:c r="F81" s="25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1"/>
    </x:row>
    <x:row r="82">
      <x:c r="A82" s="19"/>
      <x:c r="B82" s="27"/>
      <x:c r="C82" s="20"/>
      <x:c r="D82" s="28"/>
      <x:c r="E82" s="20"/>
      <x:c r="F82" s="25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1"/>
    </x:row>
    <x:row r="83">
      <x:c r="A83" s="19"/>
      <x:c r="B83" s="27"/>
      <x:c r="C83" s="20"/>
      <x:c r="D83" s="28"/>
      <x:c r="E83" s="20"/>
      <x:c r="F83" s="25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1"/>
    </x:row>
    <x:row r="84">
      <x:c r="A84" s="19"/>
      <x:c r="B84" s="27"/>
      <x:c r="C84" s="20"/>
      <x:c r="D84" s="28"/>
      <x:c r="E84" s="20"/>
      <x:c r="F84" s="25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1"/>
    </x:row>
    <x:row r="85">
      <x:c r="A85" s="19"/>
      <x:c r="B85" s="27"/>
      <x:c r="C85" s="20"/>
      <x:c r="D85" s="28"/>
      <x:c r="E85" s="20"/>
      <x:c r="F85" s="25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1"/>
    </x:row>
    <x:row r="86">
      <x:c r="A86" s="19"/>
      <x:c r="B86" s="27"/>
      <x:c r="C86" s="20"/>
      <x:c r="D86" s="28"/>
      <x:c r="E86" s="20"/>
      <x:c r="F86" s="25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1"/>
    </x:row>
    <x:row r="87">
      <x:c r="A87" s="19"/>
      <x:c r="B87" s="27"/>
      <x:c r="C87" s="20"/>
      <x:c r="D87" s="28"/>
      <x:c r="E87" s="20"/>
      <x:c r="F87" s="25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1"/>
    </x:row>
    <x:row r="88">
      <x:c r="A88" s="19"/>
      <x:c r="B88" s="27"/>
      <x:c r="C88" s="20"/>
      <x:c r="D88" s="28"/>
      <x:c r="E88" s="20"/>
      <x:c r="F88" s="25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1"/>
    </x:row>
    <x:row r="89">
      <x:c r="A89" s="19"/>
      <x:c r="B89" s="27"/>
      <x:c r="C89" s="20"/>
      <x:c r="D89" s="28"/>
      <x:c r="E89" s="20"/>
      <x:c r="F89" s="25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1"/>
    </x:row>
    <x:row r="90">
      <x:c r="A90" s="19"/>
      <x:c r="B90" s="27"/>
      <x:c r="C90" s="20"/>
      <x:c r="D90" s="28"/>
      <x:c r="E90" s="20"/>
      <x:c r="F90" s="25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1"/>
    </x:row>
    <x:row r="91">
      <x:c r="A91" s="19"/>
      <x:c r="B91" s="27"/>
      <x:c r="C91" s="20"/>
      <x:c r="D91" s="28"/>
      <x:c r="E91" s="20"/>
      <x:c r="F91" s="25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1"/>
    </x:row>
    <x:row r="92">
      <x:c r="A92" s="19"/>
      <x:c r="B92" s="27"/>
      <x:c r="C92" s="20"/>
      <x:c r="D92" s="28"/>
      <x:c r="E92" s="20"/>
      <x:c r="F92" s="25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1"/>
    </x:row>
    <x:row r="93">
      <x:c r="A93" s="19"/>
      <x:c r="B93" s="27"/>
      <x:c r="C93" s="20"/>
      <x:c r="D93" s="28"/>
      <x:c r="E93" s="20"/>
      <x:c r="F93" s="25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1"/>
    </x:row>
    <x:row r="94">
      <x:c r="A94" s="19"/>
      <x:c r="B94" s="27"/>
      <x:c r="C94" s="20"/>
      <x:c r="D94" s="28"/>
      <x:c r="E94" s="20"/>
      <x:c r="F94" s="25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1"/>
    </x:row>
    <x:row r="95">
      <x:c r="A95" s="19"/>
      <x:c r="B95" s="27"/>
      <x:c r="C95" s="20"/>
      <x:c r="D95" s="28"/>
      <x:c r="E95" s="20"/>
      <x:c r="F95" s="25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1"/>
    </x:row>
    <x:row r="96">
      <x:c r="A96" s="19"/>
      <x:c r="B96" s="27"/>
      <x:c r="C96" s="20"/>
      <x:c r="D96" s="28"/>
      <x:c r="E96" s="20"/>
      <x:c r="F96" s="25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1"/>
    </x:row>
    <x:row r="97">
      <x:c r="A97" s="19"/>
      <x:c r="B97" s="27"/>
      <x:c r="C97" s="20"/>
      <x:c r="D97" s="28"/>
      <x:c r="E97" s="20"/>
      <x:c r="F97" s="25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1"/>
    </x:row>
    <x:row r="98">
      <x:c r="A98" s="19"/>
      <x:c r="B98" s="27"/>
      <x:c r="C98" s="20"/>
      <x:c r="D98" s="28"/>
      <x:c r="E98" s="20"/>
      <x:c r="F98" s="25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1"/>
    </x:row>
    <x:row r="99">
      <x:c r="A99" s="19"/>
      <x:c r="B99" s="27"/>
      <x:c r="C99" s="20"/>
      <x:c r="D99" s="28"/>
      <x:c r="E99" s="20"/>
      <x:c r="F99" s="25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1"/>
    </x:row>
    <x:row r="100">
      <x:c r="A100" s="19"/>
      <x:c r="B100" s="27"/>
      <x:c r="C100" s="20"/>
      <x:c r="D100" s="28"/>
      <x:c r="E100" s="20"/>
      <x:c r="F100" s="25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1"/>
    </x:row>
    <x:row r="101">
      <x:c r="A101" s="19"/>
      <x:c r="B101" s="27"/>
      <x:c r="C101" s="20"/>
      <x:c r="D101" s="28"/>
      <x:c r="E101" s="20"/>
      <x:c r="F101" s="25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1"/>
    </x:row>
    <x:row r="102">
      <x:c r="A102" s="19"/>
      <x:c r="B102" s="27"/>
      <x:c r="C102" s="20"/>
      <x:c r="D102" s="28"/>
      <x:c r="E102" s="20"/>
      <x:c r="F102" s="25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1"/>
    </x:row>
    <x:row r="103">
      <x:c r="A103" s="19"/>
      <x:c r="B103" s="27"/>
      <x:c r="C103" s="20"/>
      <x:c r="D103" s="28"/>
      <x:c r="E103" s="20"/>
      <x:c r="F103" s="25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1"/>
    </x:row>
    <x:row r="104">
      <x:c r="A104" s="19"/>
      <x:c r="B104" s="27"/>
      <x:c r="C104" s="20"/>
      <x:c r="D104" s="28"/>
      <x:c r="E104" s="20"/>
      <x:c r="F104" s="25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1"/>
    </x:row>
    <x:row r="105">
      <x:c r="A105" s="19"/>
      <x:c r="B105" s="27"/>
      <x:c r="C105" s="20"/>
      <x:c r="D105" s="28"/>
      <x:c r="E105" s="20"/>
      <x:c r="F105" s="25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1"/>
    </x:row>
    <x:row r="106">
      <x:c r="A106" s="19"/>
      <x:c r="B106" s="27"/>
      <x:c r="C106" s="20"/>
      <x:c r="D106" s="28"/>
      <x:c r="E106" s="20"/>
      <x:c r="F106" s="25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1"/>
    </x:row>
    <x:row r="107">
      <x:c r="A107" s="19"/>
      <x:c r="B107" s="27"/>
      <x:c r="C107" s="20"/>
      <x:c r="D107" s="28"/>
      <x:c r="E107" s="20"/>
      <x:c r="F107" s="25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1"/>
    </x:row>
    <x:row r="108">
      <x:c r="A108" s="19"/>
      <x:c r="B108" s="27"/>
      <x:c r="C108" s="20"/>
      <x:c r="D108" s="28"/>
      <x:c r="E108" s="20"/>
      <x:c r="F108" s="25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1"/>
    </x:row>
    <x:row r="109">
      <x:c r="A109" s="19"/>
      <x:c r="B109" s="27"/>
      <x:c r="C109" s="20"/>
      <x:c r="D109" s="28"/>
      <x:c r="E109" s="20"/>
      <x:c r="F109" s="25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1"/>
    </x:row>
    <x:row r="110">
      <x:c r="A110" s="19"/>
      <x:c r="B110" s="27"/>
      <x:c r="C110" s="20"/>
      <x:c r="D110" s="28"/>
      <x:c r="E110" s="20"/>
      <x:c r="F110" s="25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1"/>
    </x:row>
    <x:row r="111">
      <x:c r="A111" s="19"/>
      <x:c r="B111" s="27"/>
      <x:c r="C111" s="20"/>
      <x:c r="D111" s="28"/>
      <x:c r="E111" s="20"/>
      <x:c r="F111" s="25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1"/>
    </x:row>
    <x:row r="112">
      <x:c r="A112" s="19"/>
      <x:c r="B112" s="27"/>
      <x:c r="C112" s="20"/>
      <x:c r="D112" s="28"/>
      <x:c r="E112" s="20"/>
      <x:c r="F112" s="25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1"/>
    </x:row>
    <x:row r="113">
      <x:c r="A113" s="19"/>
      <x:c r="B113" s="27"/>
      <x:c r="C113" s="20"/>
      <x:c r="D113" s="28"/>
      <x:c r="E113" s="20"/>
      <x:c r="F113" s="25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1"/>
    </x:row>
    <x:row r="114">
      <x:c r="A114" s="19"/>
      <x:c r="B114" s="27"/>
      <x:c r="C114" s="20"/>
      <x:c r="D114" s="28"/>
      <x:c r="E114" s="20"/>
      <x:c r="F114" s="25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1"/>
    </x:row>
    <x:row r="115">
      <x:c r="A115" s="19"/>
      <x:c r="B115" s="27"/>
      <x:c r="C115" s="20"/>
      <x:c r="D115" s="28"/>
      <x:c r="E115" s="20"/>
      <x:c r="F115" s="25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1"/>
    </x:row>
    <x:row r="116">
      <x:c r="A116" s="19"/>
      <x:c r="B116" s="27"/>
      <x:c r="C116" s="20"/>
      <x:c r="D116" s="28"/>
      <x:c r="E116" s="20"/>
      <x:c r="F116" s="25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1"/>
    </x:row>
    <x:row r="117">
      <x:c r="A117" s="19"/>
      <x:c r="B117" s="27"/>
      <x:c r="C117" s="20"/>
      <x:c r="D117" s="28"/>
      <x:c r="E117" s="20"/>
      <x:c r="F117" s="25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1"/>
    </x:row>
    <x:row r="118">
      <x:c r="A118" s="19"/>
      <x:c r="B118" s="27"/>
      <x:c r="C118" s="20"/>
      <x:c r="D118" s="28"/>
      <x:c r="E118" s="20"/>
      <x:c r="F118" s="25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1"/>
    </x:row>
    <x:row r="119">
      <x:c r="A119" s="19"/>
      <x:c r="B119" s="27"/>
      <x:c r="C119" s="20"/>
      <x:c r="D119" s="28"/>
      <x:c r="E119" s="20"/>
      <x:c r="F119" s="25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1"/>
    </x:row>
    <x:row r="120">
      <x:c r="A120" s="19"/>
      <x:c r="B120" s="27"/>
      <x:c r="C120" s="20"/>
      <x:c r="D120" s="28"/>
      <x:c r="E120" s="20"/>
      <x:c r="F120" s="25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1"/>
    </x:row>
    <x:row r="121">
      <x:c r="A121" s="19"/>
      <x:c r="B121" s="27"/>
      <x:c r="C121" s="20"/>
      <x:c r="D121" s="28"/>
      <x:c r="E121" s="20"/>
      <x:c r="F121" s="25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1"/>
    </x:row>
    <x:row r="122">
      <x:c r="A122" s="19"/>
      <x:c r="B122" s="27"/>
      <x:c r="C122" s="20"/>
      <x:c r="D122" s="28"/>
      <x:c r="E122" s="20"/>
      <x:c r="F122" s="25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1"/>
    </x:row>
    <x:row r="123">
      <x:c r="A123" s="19"/>
      <x:c r="B123" s="27"/>
      <x:c r="C123" s="20"/>
      <x:c r="D123" s="28"/>
      <x:c r="E123" s="20"/>
      <x:c r="F123" s="25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1"/>
    </x:row>
    <x:row r="124">
      <x:c r="A124" s="19"/>
      <x:c r="B124" s="27"/>
      <x:c r="C124" s="20"/>
      <x:c r="D124" s="28"/>
      <x:c r="E124" s="20"/>
      <x:c r="F124" s="25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1"/>
    </x:row>
    <x:row r="125">
      <x:c r="A125" s="19"/>
      <x:c r="B125" s="27"/>
      <x:c r="C125" s="20"/>
      <x:c r="D125" s="28"/>
      <x:c r="E125" s="20"/>
      <x:c r="F125" s="25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1"/>
    </x:row>
    <x:row r="126">
      <x:c r="A126" s="19"/>
      <x:c r="B126" s="27"/>
      <x:c r="C126" s="20"/>
      <x:c r="D126" s="28"/>
      <x:c r="E126" s="20"/>
      <x:c r="F126" s="25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1"/>
    </x:row>
    <x:row r="127">
      <x:c r="A127" s="19"/>
      <x:c r="B127" s="27"/>
      <x:c r="C127" s="20"/>
      <x:c r="D127" s="28"/>
      <x:c r="E127" s="20"/>
      <x:c r="F127" s="25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1"/>
    </x:row>
    <x:row r="128">
      <x:c r="A128" s="19"/>
      <x:c r="B128" s="27"/>
      <x:c r="C128" s="20"/>
      <x:c r="D128" s="28"/>
      <x:c r="E128" s="20"/>
      <x:c r="F128" s="25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1"/>
    </x:row>
    <x:row r="129">
      <x:c r="A129" s="19"/>
      <x:c r="B129" s="27"/>
      <x:c r="C129" s="20"/>
      <x:c r="D129" s="28"/>
      <x:c r="E129" s="20"/>
      <x:c r="F129" s="25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1"/>
    </x:row>
    <x:row r="130">
      <x:c r="A130" s="19"/>
      <x:c r="B130" s="27"/>
      <x:c r="C130" s="20"/>
      <x:c r="D130" s="28"/>
      <x:c r="E130" s="20"/>
      <x:c r="F130" s="25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1"/>
    </x:row>
    <x:row r="131">
      <x:c r="A131" s="19"/>
      <x:c r="B131" s="27"/>
      <x:c r="C131" s="20"/>
      <x:c r="D131" s="28"/>
      <x:c r="E131" s="20"/>
      <x:c r="F131" s="25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1"/>
    </x:row>
    <x:row r="132">
      <x:c r="A132" s="19"/>
      <x:c r="B132" s="27"/>
      <x:c r="C132" s="20"/>
      <x:c r="D132" s="28"/>
      <x:c r="E132" s="20"/>
      <x:c r="F132" s="25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1"/>
    </x:row>
    <x:row r="133">
      <x:c r="A133" s="19"/>
      <x:c r="B133" s="27"/>
      <x:c r="C133" s="20"/>
      <x:c r="D133" s="28"/>
      <x:c r="E133" s="20"/>
      <x:c r="F133" s="25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1"/>
    </x:row>
    <x:row r="134">
      <x:c r="A134" s="19"/>
      <x:c r="B134" s="27"/>
      <x:c r="C134" s="20"/>
      <x:c r="D134" s="28"/>
      <x:c r="E134" s="20"/>
      <x:c r="F134" s="25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1"/>
    </x:row>
    <x:row r="135">
      <x:c r="A135" s="19"/>
      <x:c r="B135" s="27"/>
      <x:c r="C135" s="20"/>
      <x:c r="D135" s="28"/>
      <x:c r="E135" s="20"/>
      <x:c r="F135" s="25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1"/>
    </x:row>
    <x:row r="136">
      <x:c r="A136" s="19"/>
      <x:c r="B136" s="27"/>
      <x:c r="C136" s="20"/>
      <x:c r="D136" s="28"/>
      <x:c r="E136" s="20"/>
      <x:c r="F136" s="25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1"/>
    </x:row>
    <x:row r="137">
      <x:c r="A137" s="19"/>
      <x:c r="B137" s="27"/>
      <x:c r="C137" s="20"/>
      <x:c r="D137" s="28"/>
      <x:c r="E137" s="20"/>
      <x:c r="F137" s="25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1"/>
    </x:row>
    <x:row r="138">
      <x:c r="A138" s="19"/>
      <x:c r="B138" s="27"/>
      <x:c r="C138" s="20"/>
      <x:c r="D138" s="28"/>
      <x:c r="E138" s="20"/>
      <x:c r="F138" s="25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1"/>
    </x:row>
    <x:row r="139">
      <x:c r="A139" s="19"/>
      <x:c r="B139" s="27"/>
      <x:c r="C139" s="20"/>
      <x:c r="D139" s="28"/>
      <x:c r="E139" s="20"/>
      <x:c r="F139" s="25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1"/>
    </x:row>
    <x:row r="140">
      <x:c r="A140" s="19"/>
      <x:c r="B140" s="27"/>
      <x:c r="C140" s="20"/>
      <x:c r="D140" s="28"/>
      <x:c r="E140" s="20"/>
      <x:c r="F140" s="25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1"/>
    </x:row>
    <x:row r="141">
      <x:c r="A141" s="19"/>
      <x:c r="B141" s="27"/>
      <x:c r="C141" s="20"/>
      <x:c r="D141" s="28"/>
      <x:c r="E141" s="20"/>
      <x:c r="F141" s="25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1"/>
    </x:row>
    <x:row r="142">
      <x:c r="A142" s="19"/>
      <x:c r="B142" s="27"/>
      <x:c r="C142" s="20"/>
      <x:c r="D142" s="28"/>
      <x:c r="E142" s="20"/>
      <x:c r="F142" s="25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1"/>
    </x:row>
    <x:row r="143">
      <x:c r="A143" s="19"/>
      <x:c r="B143" s="27"/>
      <x:c r="C143" s="20"/>
      <x:c r="D143" s="28"/>
      <x:c r="E143" s="20"/>
      <x:c r="F143" s="25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1"/>
    </x:row>
    <x:row r="144">
      <x:c r="A144" s="19"/>
      <x:c r="B144" s="27"/>
      <x:c r="C144" s="20"/>
      <x:c r="D144" s="28"/>
      <x:c r="E144" s="20"/>
      <x:c r="F144" s="25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1"/>
    </x:row>
    <x:row r="145">
      <x:c r="A145" s="19"/>
      <x:c r="B145" s="27"/>
      <x:c r="C145" s="20"/>
      <x:c r="D145" s="28"/>
      <x:c r="E145" s="20"/>
      <x:c r="F145" s="25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1"/>
    </x:row>
    <x:row r="146">
      <x:c r="A146" s="19"/>
      <x:c r="B146" s="27"/>
      <x:c r="C146" s="20"/>
      <x:c r="D146" s="28"/>
      <x:c r="E146" s="20"/>
      <x:c r="F146" s="25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1"/>
    </x:row>
    <x:row r="147">
      <x:c r="A147" s="19"/>
      <x:c r="B147" s="27"/>
      <x:c r="C147" s="20"/>
      <x:c r="D147" s="28"/>
      <x:c r="E147" s="20"/>
      <x:c r="F147" s="25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1"/>
    </x:row>
    <x:row r="148">
      <x:c r="A148" s="19"/>
      <x:c r="B148" s="27"/>
      <x:c r="C148" s="20"/>
      <x:c r="D148" s="28"/>
      <x:c r="E148" s="20"/>
      <x:c r="F148" s="25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1"/>
    </x:row>
    <x:row r="149">
      <x:c r="A149" s="19"/>
      <x:c r="B149" s="27"/>
      <x:c r="C149" s="20"/>
      <x:c r="D149" s="28"/>
      <x:c r="E149" s="20"/>
      <x:c r="F149" s="25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1"/>
    </x:row>
    <x:row r="150">
      <x:c r="A150" s="19"/>
      <x:c r="B150" s="27"/>
      <x:c r="C150" s="20"/>
      <x:c r="D150" s="28"/>
      <x:c r="E150" s="20"/>
      <x:c r="F150" s="25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1"/>
    </x:row>
    <x:row r="151">
      <x:c r="A151" s="19"/>
      <x:c r="B151" s="27"/>
      <x:c r="C151" s="20"/>
      <x:c r="D151" s="28"/>
      <x:c r="E151" s="20"/>
      <x:c r="F151" s="25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1"/>
    </x:row>
    <x:row r="152">
      <x:c r="A152" s="19"/>
      <x:c r="B152" s="27"/>
      <x:c r="C152" s="20"/>
      <x:c r="D152" s="28"/>
      <x:c r="E152" s="20"/>
      <x:c r="F152" s="25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1"/>
    </x:row>
    <x:row r="153">
      <x:c r="A153" s="19"/>
      <x:c r="B153" s="27"/>
      <x:c r="C153" s="20"/>
      <x:c r="D153" s="28"/>
      <x:c r="E153" s="20"/>
      <x:c r="F153" s="25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1"/>
    </x:row>
    <x:row r="154">
      <x:c r="A154" s="19"/>
      <x:c r="B154" s="27"/>
      <x:c r="C154" s="20"/>
      <x:c r="D154" s="28"/>
      <x:c r="E154" s="20"/>
      <x:c r="F154" s="25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1"/>
    </x:row>
    <x:row r="155">
      <x:c r="A155" s="19"/>
      <x:c r="B155" s="27"/>
      <x:c r="C155" s="20"/>
      <x:c r="D155" s="28"/>
      <x:c r="E155" s="20"/>
      <x:c r="F155" s="25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1"/>
    </x:row>
    <x:row r="156">
      <x:c r="A156" s="19"/>
      <x:c r="B156" s="27"/>
      <x:c r="C156" s="20"/>
      <x:c r="D156" s="28"/>
      <x:c r="E156" s="20"/>
      <x:c r="F156" s="25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1"/>
    </x:row>
    <x:row r="157">
      <x:c r="A157" s="19"/>
      <x:c r="B157" s="27"/>
      <x:c r="C157" s="20"/>
      <x:c r="D157" s="28"/>
      <x:c r="E157" s="20"/>
      <x:c r="F157" s="25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1"/>
    </x:row>
    <x:row r="158">
      <x:c r="A158" s="19"/>
      <x:c r="B158" s="27"/>
      <x:c r="C158" s="20"/>
      <x:c r="D158" s="28"/>
      <x:c r="E158" s="20"/>
      <x:c r="F158" s="25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1"/>
    </x:row>
    <x:row r="159">
      <x:c r="A159" s="19"/>
      <x:c r="B159" s="27"/>
      <x:c r="C159" s="20"/>
      <x:c r="D159" s="28"/>
      <x:c r="E159" s="20"/>
      <x:c r="F159" s="25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1"/>
    </x:row>
    <x:row r="160">
      <x:c r="A160" s="19"/>
      <x:c r="B160" s="27"/>
      <x:c r="C160" s="20"/>
      <x:c r="D160" s="28"/>
      <x:c r="E160" s="20"/>
      <x:c r="F160" s="25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1"/>
    </x:row>
    <x:row r="161">
      <x:c r="A161" s="19"/>
      <x:c r="B161" s="27"/>
      <x:c r="C161" s="20"/>
      <x:c r="D161" s="28"/>
      <x:c r="E161" s="20"/>
      <x:c r="F161" s="25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1"/>
    </x:row>
    <x:row r="162">
      <x:c r="A162" s="19"/>
      <x:c r="B162" s="27"/>
      <x:c r="C162" s="20"/>
      <x:c r="D162" s="28"/>
      <x:c r="E162" s="20"/>
      <x:c r="F162" s="25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1"/>
    </x:row>
    <x:row r="163">
      <x:c r="A163" s="19"/>
      <x:c r="B163" s="27"/>
      <x:c r="C163" s="20"/>
      <x:c r="D163" s="28"/>
      <x:c r="E163" s="20"/>
      <x:c r="F163" s="25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1"/>
    </x:row>
    <x:row r="164">
      <x:c r="A164" s="19"/>
      <x:c r="B164" s="27"/>
      <x:c r="C164" s="20"/>
      <x:c r="D164" s="28"/>
      <x:c r="E164" s="20"/>
      <x:c r="F164" s="25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1"/>
    </x:row>
    <x:row r="165">
      <x:c r="A165" s="19"/>
      <x:c r="B165" s="27"/>
      <x:c r="C165" s="20"/>
      <x:c r="D165" s="28"/>
      <x:c r="E165" s="20"/>
      <x:c r="F165" s="25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1"/>
    </x:row>
    <x:row r="166">
      <x:c r="A166" s="19"/>
      <x:c r="B166" s="27"/>
      <x:c r="C166" s="20"/>
      <x:c r="D166" s="28"/>
      <x:c r="E166" s="20"/>
      <x:c r="F166" s="25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1"/>
    </x:row>
    <x:row r="167">
      <x:c r="A167" s="19"/>
      <x:c r="B167" s="27"/>
      <x:c r="C167" s="20"/>
      <x:c r="D167" s="28"/>
      <x:c r="E167" s="20"/>
      <x:c r="F167" s="25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1"/>
    </x:row>
    <x:row r="168">
      <x:c r="A168" s="19"/>
      <x:c r="B168" s="27"/>
      <x:c r="C168" s="20"/>
      <x:c r="D168" s="28"/>
      <x:c r="E168" s="20"/>
      <x:c r="F168" s="25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1"/>
    </x:row>
    <x:row r="169">
      <x:c r="A169" s="19"/>
      <x:c r="B169" s="27"/>
      <x:c r="C169" s="20"/>
      <x:c r="D169" s="28"/>
      <x:c r="E169" s="20"/>
      <x:c r="F169" s="25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1"/>
    </x:row>
    <x:row r="170">
      <x:c r="A170" s="19"/>
      <x:c r="B170" s="27"/>
      <x:c r="C170" s="20"/>
      <x:c r="D170" s="28"/>
      <x:c r="E170" s="20"/>
      <x:c r="F170" s="25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1"/>
    </x:row>
    <x:row r="171">
      <x:c r="A171" s="19"/>
      <x:c r="B171" s="27"/>
      <x:c r="C171" s="20"/>
      <x:c r="D171" s="28"/>
      <x:c r="E171" s="20"/>
      <x:c r="F171" s="25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1"/>
    </x:row>
    <x:row r="172">
      <x:c r="A172" s="19"/>
      <x:c r="B172" s="27"/>
      <x:c r="C172" s="20"/>
      <x:c r="D172" s="28"/>
      <x:c r="E172" s="20"/>
      <x:c r="F172" s="25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1"/>
    </x:row>
    <x:row r="173">
      <x:c r="A173" s="19"/>
      <x:c r="B173" s="27"/>
      <x:c r="C173" s="20"/>
      <x:c r="D173" s="28"/>
      <x:c r="E173" s="20"/>
      <x:c r="F173" s="25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1"/>
    </x:row>
    <x:row r="174">
      <x:c r="A174" s="19"/>
      <x:c r="B174" s="27"/>
      <x:c r="C174" s="20"/>
      <x:c r="D174" s="28"/>
      <x:c r="E174" s="20"/>
      <x:c r="F174" s="25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1"/>
    </x:row>
    <x:row r="175">
      <x:c r="A175" s="19"/>
      <x:c r="B175" s="27"/>
      <x:c r="C175" s="20"/>
      <x:c r="D175" s="28"/>
      <x:c r="E175" s="20"/>
      <x:c r="F175" s="25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1"/>
    </x:row>
    <x:row r="176">
      <x:c r="A176" s="19"/>
      <x:c r="B176" s="27"/>
      <x:c r="C176" s="20"/>
      <x:c r="D176" s="28"/>
      <x:c r="E176" s="20"/>
      <x:c r="F176" s="25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1"/>
    </x:row>
    <x:row r="177">
      <x:c r="A177" s="19"/>
      <x:c r="B177" s="27"/>
      <x:c r="C177" s="20"/>
      <x:c r="D177" s="28"/>
      <x:c r="E177" s="20"/>
      <x:c r="F177" s="25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1"/>
    </x:row>
    <x:row r="178">
      <x:c r="A178" s="19"/>
      <x:c r="B178" s="27"/>
      <x:c r="C178" s="20"/>
      <x:c r="D178" s="28"/>
      <x:c r="E178" s="20"/>
      <x:c r="F178" s="25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1"/>
    </x:row>
    <x:row r="179">
      <x:c r="A179" s="19"/>
      <x:c r="B179" s="27"/>
      <x:c r="C179" s="20"/>
      <x:c r="D179" s="28"/>
      <x:c r="E179" s="20"/>
      <x:c r="F179" s="25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1"/>
    </x:row>
    <x:row r="180">
      <x:c r="A180" s="19"/>
      <x:c r="B180" s="27"/>
      <x:c r="C180" s="20"/>
      <x:c r="D180" s="28"/>
      <x:c r="E180" s="20"/>
      <x:c r="F180" s="25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1"/>
    </x:row>
    <x:row r="181">
      <x:c r="A181" s="19"/>
      <x:c r="B181" s="27"/>
      <x:c r="C181" s="20"/>
      <x:c r="D181" s="28"/>
      <x:c r="E181" s="20"/>
      <x:c r="F181" s="25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1"/>
    </x:row>
    <x:row r="182">
      <x:c r="A182" s="19"/>
      <x:c r="B182" s="27"/>
      <x:c r="C182" s="20"/>
      <x:c r="D182" s="28"/>
      <x:c r="E182" s="20"/>
      <x:c r="F182" s="25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1"/>
    </x:row>
    <x:row r="183">
      <x:c r="A183" s="19"/>
      <x:c r="B183" s="27"/>
      <x:c r="C183" s="20"/>
      <x:c r="D183" s="28"/>
      <x:c r="E183" s="20"/>
      <x:c r="F183" s="25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1"/>
    </x:row>
    <x:row r="184">
      <x:c r="A184" s="19"/>
      <x:c r="B184" s="27"/>
      <x:c r="C184" s="20"/>
      <x:c r="D184" s="28"/>
      <x:c r="E184" s="20"/>
      <x:c r="F184" s="25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1"/>
    </x:row>
    <x:row r="185">
      <x:c r="A185" s="19"/>
      <x:c r="B185" s="27"/>
      <x:c r="C185" s="20"/>
      <x:c r="D185" s="28"/>
      <x:c r="E185" s="20"/>
      <x:c r="F185" s="25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1"/>
    </x:row>
    <x:row r="186">
      <x:c r="A186" s="19"/>
      <x:c r="B186" s="27"/>
      <x:c r="C186" s="20"/>
      <x:c r="D186" s="28"/>
      <x:c r="E186" s="20"/>
      <x:c r="F186" s="25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1"/>
    </x:row>
    <x:row r="187">
      <x:c r="A187" s="19"/>
      <x:c r="B187" s="27"/>
      <x:c r="C187" s="20"/>
      <x:c r="D187" s="28"/>
      <x:c r="E187" s="20"/>
      <x:c r="F187" s="25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1"/>
    </x:row>
    <x:row r="188">
      <x:c r="A188" s="19"/>
      <x:c r="B188" s="27"/>
      <x:c r="C188" s="20"/>
      <x:c r="D188" s="28"/>
      <x:c r="E188" s="20"/>
      <x:c r="F188" s="25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1"/>
    </x:row>
    <x:row r="189">
      <x:c r="A189" s="19"/>
      <x:c r="B189" s="27"/>
      <x:c r="C189" s="20"/>
      <x:c r="D189" s="28"/>
      <x:c r="E189" s="20"/>
      <x:c r="F189" s="25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1"/>
    </x:row>
    <x:row r="190">
      <x:c r="A190" s="19"/>
      <x:c r="B190" s="27"/>
      <x:c r="C190" s="20"/>
      <x:c r="D190" s="28"/>
      <x:c r="E190" s="20"/>
      <x:c r="F190" s="25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1"/>
    </x:row>
    <x:row r="191">
      <x:c r="A191" s="19"/>
      <x:c r="B191" s="27"/>
      <x:c r="C191" s="20"/>
      <x:c r="D191" s="28"/>
      <x:c r="E191" s="20"/>
      <x:c r="F191" s="25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1"/>
    </x:row>
    <x:row r="192">
      <x:c r="A192" s="19"/>
      <x:c r="B192" s="27"/>
      <x:c r="C192" s="20"/>
      <x:c r="D192" s="28"/>
      <x:c r="E192" s="20"/>
      <x:c r="F192" s="25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1"/>
    </x:row>
    <x:row r="193">
      <x:c r="A193" s="19"/>
      <x:c r="B193" s="27"/>
      <x:c r="C193" s="20"/>
      <x:c r="D193" s="28"/>
      <x:c r="E193" s="20"/>
      <x:c r="F193" s="25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1"/>
    </x:row>
    <x:row r="194">
      <x:c r="A194" s="19"/>
      <x:c r="B194" s="27"/>
      <x:c r="C194" s="20"/>
      <x:c r="D194" s="28"/>
      <x:c r="E194" s="20"/>
      <x:c r="F194" s="25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1"/>
    </x:row>
    <x:row r="195">
      <x:c r="A195" s="19"/>
      <x:c r="B195" s="27"/>
      <x:c r="C195" s="20"/>
      <x:c r="D195" s="28"/>
      <x:c r="E195" s="20"/>
      <x:c r="F195" s="25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1"/>
    </x:row>
    <x:row r="196">
      <x:c r="A196" s="19"/>
      <x:c r="B196" s="27"/>
      <x:c r="C196" s="20"/>
      <x:c r="D196" s="28"/>
      <x:c r="E196" s="20"/>
      <x:c r="F196" s="25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1"/>
    </x:row>
    <x:row r="197">
      <x:c r="A197" s="19"/>
      <x:c r="B197" s="27"/>
      <x:c r="C197" s="20"/>
      <x:c r="D197" s="28"/>
      <x:c r="E197" s="20"/>
      <x:c r="F197" s="25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1"/>
    </x:row>
    <x:row r="198">
      <x:c r="A198" s="19"/>
      <x:c r="B198" s="27"/>
      <x:c r="C198" s="20"/>
      <x:c r="D198" s="28"/>
      <x:c r="E198" s="20"/>
      <x:c r="F198" s="25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1"/>
    </x:row>
    <x:row r="199">
      <x:c r="A199" s="19"/>
      <x:c r="B199" s="27"/>
      <x:c r="C199" s="20"/>
      <x:c r="D199" s="28"/>
      <x:c r="E199" s="20"/>
      <x:c r="F199" s="25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1"/>
    </x:row>
    <x:row r="200">
      <x:c r="A200" s="19"/>
      <x:c r="B200" s="27"/>
      <x:c r="C200" s="20"/>
      <x:c r="D200" s="28"/>
      <x:c r="E200" s="20"/>
      <x:c r="F200" s="25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1"/>
    </x:row>
    <x:row r="201">
      <x:c r="A201" s="19"/>
      <x:c r="B201" s="27"/>
      <x:c r="C201" s="20"/>
      <x:c r="D201" s="28"/>
      <x:c r="E201" s="20"/>
      <x:c r="F201" s="25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1"/>
    </x:row>
    <x:row r="202">
      <x:c r="A202" s="19"/>
      <x:c r="B202" s="27"/>
      <x:c r="C202" s="20"/>
      <x:c r="D202" s="28"/>
      <x:c r="E202" s="20"/>
      <x:c r="F202" s="25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1"/>
    </x:row>
    <x:row r="203">
      <x:c r="A203" s="19"/>
      <x:c r="B203" s="27"/>
      <x:c r="C203" s="20"/>
      <x:c r="D203" s="28"/>
      <x:c r="E203" s="20"/>
      <x:c r="F203" s="25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1"/>
    </x:row>
    <x:row r="204">
      <x:c r="A204" s="19"/>
      <x:c r="B204" s="27"/>
      <x:c r="C204" s="20"/>
      <x:c r="D204" s="28"/>
      <x:c r="E204" s="20"/>
      <x:c r="F204" s="25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1"/>
    </x:row>
    <x:row r="205">
      <x:c r="A205" s="19"/>
      <x:c r="B205" s="27"/>
      <x:c r="C205" s="20"/>
      <x:c r="D205" s="28"/>
      <x:c r="E205" s="20"/>
      <x:c r="F205" s="25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1"/>
    </x:row>
    <x:row r="206">
      <x:c r="A206" s="19"/>
      <x:c r="B206" s="27"/>
      <x:c r="C206" s="20"/>
      <x:c r="D206" s="28"/>
      <x:c r="E206" s="20"/>
      <x:c r="F206" s="25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1"/>
    </x:row>
    <x:row r="207">
      <x:c r="A207" s="19"/>
      <x:c r="B207" s="27"/>
      <x:c r="C207" s="20"/>
      <x:c r="D207" s="28"/>
      <x:c r="E207" s="20"/>
      <x:c r="F207" s="25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1"/>
    </x:row>
    <x:row r="208">
      <x:c r="A208" s="19"/>
      <x:c r="B208" s="27"/>
      <x:c r="C208" s="20"/>
      <x:c r="D208" s="28"/>
      <x:c r="E208" s="20"/>
      <x:c r="F208" s="25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1"/>
    </x:row>
    <x:row r="209">
      <x:c r="A209" s="19"/>
      <x:c r="B209" s="27"/>
      <x:c r="C209" s="20"/>
      <x:c r="D209" s="28"/>
      <x:c r="E209" s="20"/>
      <x:c r="F209" s="25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1"/>
    </x:row>
    <x:row r="210">
      <x:c r="A210" s="19"/>
      <x:c r="B210" s="27"/>
      <x:c r="C210" s="20"/>
      <x:c r="D210" s="28"/>
      <x:c r="E210" s="20"/>
      <x:c r="F210" s="25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1"/>
    </x:row>
    <x:row r="211">
      <x:c r="A211" s="19"/>
      <x:c r="B211" s="27"/>
      <x:c r="C211" s="20"/>
      <x:c r="D211" s="28"/>
      <x:c r="E211" s="20"/>
      <x:c r="F211" s="25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1"/>
    </x:row>
    <x:row r="212">
      <x:c r="A212" s="19"/>
      <x:c r="B212" s="27"/>
      <x:c r="C212" s="20"/>
      <x:c r="D212" s="28"/>
      <x:c r="E212" s="20"/>
      <x:c r="F212" s="25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1"/>
    </x:row>
    <x:row r="213">
      <x:c r="A213" s="19"/>
      <x:c r="B213" s="27"/>
      <x:c r="C213" s="20"/>
      <x:c r="D213" s="28"/>
      <x:c r="E213" s="20"/>
      <x:c r="F213" s="25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1"/>
    </x:row>
    <x:row r="214">
      <x:c r="A214" s="19"/>
      <x:c r="B214" s="27"/>
      <x:c r="C214" s="20"/>
      <x:c r="D214" s="28"/>
      <x:c r="E214" s="20"/>
      <x:c r="F214" s="25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1"/>
    </x:row>
    <x:row r="215">
      <x:c r="A215" s="19"/>
      <x:c r="B215" s="27"/>
      <x:c r="C215" s="20"/>
      <x:c r="D215" s="28"/>
      <x:c r="E215" s="20"/>
      <x:c r="F215" s="25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1"/>
    </x:row>
    <x:row r="216">
      <x:c r="A216" s="19"/>
      <x:c r="B216" s="27"/>
      <x:c r="C216" s="20"/>
      <x:c r="D216" s="28"/>
      <x:c r="E216" s="20"/>
      <x:c r="F216" s="25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1"/>
    </x:row>
    <x:row r="217">
      <x:c r="A217" s="19"/>
      <x:c r="B217" s="27"/>
      <x:c r="C217" s="20"/>
      <x:c r="D217" s="28"/>
      <x:c r="E217" s="20"/>
      <x:c r="F217" s="25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1"/>
    </x:row>
    <x:row r="218">
      <x:c r="A218" s="19"/>
      <x:c r="B218" s="27"/>
      <x:c r="C218" s="20"/>
      <x:c r="D218" s="28"/>
      <x:c r="E218" s="20"/>
      <x:c r="F218" s="25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1"/>
    </x:row>
    <x:row r="219">
      <x:c r="A219" s="19"/>
      <x:c r="B219" s="27"/>
      <x:c r="C219" s="20"/>
      <x:c r="D219" s="28"/>
      <x:c r="E219" s="20"/>
      <x:c r="F219" s="25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1"/>
    </x:row>
    <x:row r="220">
      <x:c r="A220" s="19"/>
      <x:c r="B220" s="27"/>
      <x:c r="C220" s="20"/>
      <x:c r="D220" s="28"/>
      <x:c r="E220" s="20"/>
      <x:c r="F220" s="25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1"/>
    </x:row>
    <x:row r="221">
      <x:c r="A221" s="19"/>
      <x:c r="B221" s="27"/>
      <x:c r="C221" s="20"/>
      <x:c r="D221" s="28"/>
      <x:c r="E221" s="20"/>
      <x:c r="F221" s="25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1"/>
    </x:row>
    <x:row r="222">
      <x:c r="A222" s="19"/>
      <x:c r="B222" s="27"/>
      <x:c r="C222" s="20"/>
      <x:c r="D222" s="28"/>
      <x:c r="E222" s="20"/>
      <x:c r="F222" s="25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1"/>
    </x:row>
    <x:row r="223">
      <x:c r="A223" s="19"/>
      <x:c r="B223" s="27"/>
      <x:c r="C223" s="20"/>
      <x:c r="D223" s="28"/>
      <x:c r="E223" s="20"/>
      <x:c r="F223" s="25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1"/>
    </x:row>
    <x:row r="224">
      <x:c r="A224" s="19"/>
      <x:c r="B224" s="27"/>
      <x:c r="C224" s="20"/>
      <x:c r="D224" s="28"/>
      <x:c r="E224" s="20"/>
      <x:c r="F224" s="25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1"/>
    </x:row>
    <x:row r="225">
      <x:c r="A225" s="19"/>
      <x:c r="B225" s="27"/>
      <x:c r="C225" s="20"/>
      <x:c r="D225" s="28"/>
      <x:c r="E225" s="20"/>
      <x:c r="F225" s="25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1"/>
    </x:row>
    <x:row r="226">
      <x:c r="A226" s="19"/>
      <x:c r="B226" s="27"/>
      <x:c r="C226" s="20"/>
      <x:c r="D226" s="28"/>
      <x:c r="E226" s="20"/>
      <x:c r="F226" s="25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1"/>
    </x:row>
    <x:row r="227">
      <x:c r="A227" s="19"/>
      <x:c r="B227" s="27"/>
      <x:c r="C227" s="20"/>
      <x:c r="D227" s="28"/>
      <x:c r="E227" s="20"/>
      <x:c r="F227" s="25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1"/>
    </x:row>
    <x:row r="228">
      <x:c r="A228" s="19"/>
      <x:c r="B228" s="27"/>
      <x:c r="C228" s="20"/>
      <x:c r="D228" s="28"/>
      <x:c r="E228" s="20"/>
      <x:c r="F228" s="25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1"/>
    </x:row>
    <x:row r="229">
      <x:c r="A229" s="19"/>
      <x:c r="B229" s="27"/>
      <x:c r="C229" s="20"/>
      <x:c r="D229" s="28"/>
      <x:c r="E229" s="20"/>
      <x:c r="F229" s="25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1"/>
    </x:row>
    <x:row r="230">
      <x:c r="A230" s="19"/>
      <x:c r="B230" s="27"/>
      <x:c r="C230" s="20"/>
      <x:c r="D230" s="28"/>
      <x:c r="E230" s="20"/>
      <x:c r="F230" s="25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1"/>
    </x:row>
    <x:row r="231">
      <x:c r="A231" s="19"/>
      <x:c r="B231" s="27"/>
      <x:c r="C231" s="20"/>
      <x:c r="D231" s="28"/>
      <x:c r="E231" s="20"/>
      <x:c r="F231" s="25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1"/>
    </x:row>
    <x:row r="232">
      <x:c r="A232" s="19"/>
      <x:c r="B232" s="27"/>
      <x:c r="C232" s="20"/>
      <x:c r="D232" s="28"/>
      <x:c r="E232" s="20"/>
      <x:c r="F232" s="25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1"/>
    </x:row>
    <x:row r="233">
      <x:c r="A233" s="19"/>
      <x:c r="B233" s="27"/>
      <x:c r="C233" s="20"/>
      <x:c r="D233" s="28"/>
      <x:c r="E233" s="20"/>
      <x:c r="F233" s="25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1"/>
    </x:row>
    <x:row r="234">
      <x:c r="A234" s="19"/>
      <x:c r="B234" s="27"/>
      <x:c r="C234" s="20"/>
      <x:c r="D234" s="28"/>
      <x:c r="E234" s="20"/>
      <x:c r="F234" s="25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1"/>
    </x:row>
    <x:row r="235">
      <x:c r="A235" s="19"/>
      <x:c r="B235" s="27"/>
      <x:c r="C235" s="20"/>
      <x:c r="D235" s="28"/>
      <x:c r="E235" s="20"/>
      <x:c r="F235" s="25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1"/>
    </x:row>
    <x:row r="236">
      <x:c r="A236" s="19"/>
      <x:c r="B236" s="27"/>
      <x:c r="C236" s="20"/>
      <x:c r="D236" s="28"/>
      <x:c r="E236" s="20"/>
      <x:c r="F236" s="25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1"/>
    </x:row>
    <x:row r="237">
      <x:c r="A237" s="19"/>
      <x:c r="B237" s="27"/>
      <x:c r="C237" s="20"/>
      <x:c r="D237" s="28"/>
      <x:c r="E237" s="20"/>
      <x:c r="F237" s="25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1"/>
    </x:row>
    <x:row r="238">
      <x:c r="A238" s="19"/>
      <x:c r="B238" s="27"/>
      <x:c r="C238" s="20"/>
      <x:c r="D238" s="28"/>
      <x:c r="E238" s="20"/>
      <x:c r="F238" s="25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1"/>
    </x:row>
    <x:row r="239">
      <x:c r="A239" s="19"/>
      <x:c r="B239" s="27"/>
      <x:c r="C239" s="20"/>
      <x:c r="D239" s="28"/>
      <x:c r="E239" s="20"/>
      <x:c r="F239" s="25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1"/>
    </x:row>
    <x:row r="240">
      <x:c r="A240" s="19"/>
      <x:c r="B240" s="27"/>
      <x:c r="C240" s="20"/>
      <x:c r="D240" s="28"/>
      <x:c r="E240" s="20"/>
      <x:c r="F240" s="25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1"/>
    </x:row>
    <x:row r="241">
      <x:c r="A241" s="19"/>
      <x:c r="B241" s="27"/>
      <x:c r="C241" s="20"/>
      <x:c r="D241" s="28"/>
      <x:c r="E241" s="20"/>
      <x:c r="F241" s="25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1"/>
    </x:row>
    <x:row r="242">
      <x:c r="A242" s="19"/>
      <x:c r="B242" s="27"/>
      <x:c r="C242" s="20"/>
      <x:c r="D242" s="28"/>
      <x:c r="E242" s="20"/>
      <x:c r="F242" s="25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1"/>
    </x:row>
    <x:row r="243">
      <x:c r="A243" s="19"/>
      <x:c r="B243" s="27"/>
      <x:c r="C243" s="20"/>
      <x:c r="D243" s="28"/>
      <x:c r="E243" s="20"/>
      <x:c r="F243" s="25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1"/>
    </x:row>
    <x:row r="244">
      <x:c r="A244" s="19"/>
      <x:c r="B244" s="27"/>
      <x:c r="C244" s="20"/>
      <x:c r="D244" s="28"/>
      <x:c r="E244" s="20"/>
      <x:c r="F244" s="25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1"/>
    </x:row>
    <x:row r="245">
      <x:c r="A245" s="19"/>
      <x:c r="B245" s="27"/>
      <x:c r="C245" s="20"/>
      <x:c r="D245" s="28"/>
      <x:c r="E245" s="20"/>
      <x:c r="F245" s="25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1"/>
    </x:row>
    <x:row r="246">
      <x:c r="A246" s="19"/>
      <x:c r="B246" s="27"/>
      <x:c r="C246" s="20"/>
      <x:c r="D246" s="28"/>
      <x:c r="E246" s="20"/>
      <x:c r="F246" s="25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1"/>
    </x:row>
    <x:row r="247">
      <x:c r="A247" s="19"/>
      <x:c r="B247" s="27"/>
      <x:c r="C247" s="20"/>
      <x:c r="D247" s="28"/>
      <x:c r="E247" s="20"/>
      <x:c r="F247" s="25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1"/>
    </x:row>
    <x:row r="248">
      <x:c r="A248" s="19"/>
      <x:c r="B248" s="27"/>
      <x:c r="C248" s="20"/>
      <x:c r="D248" s="28"/>
      <x:c r="E248" s="20"/>
      <x:c r="F248" s="25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1"/>
    </x:row>
    <x:row r="249">
      <x:c r="A249" s="19"/>
      <x:c r="B249" s="27"/>
      <x:c r="C249" s="20"/>
      <x:c r="D249" s="28"/>
      <x:c r="E249" s="20"/>
      <x:c r="F249" s="25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1"/>
    </x:row>
    <x:row r="250">
      <x:c r="A250" s="19"/>
      <x:c r="B250" s="27"/>
      <x:c r="C250" s="20"/>
      <x:c r="D250" s="28"/>
      <x:c r="E250" s="20"/>
      <x:c r="F250" s="25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1"/>
    </x:row>
    <x:row r="251">
      <x:c r="A251" s="19"/>
      <x:c r="B251" s="27"/>
      <x:c r="C251" s="20"/>
      <x:c r="D251" s="28"/>
      <x:c r="E251" s="20"/>
      <x:c r="F251" s="25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1"/>
    </x:row>
    <x:row r="252">
      <x:c r="A252" s="19"/>
      <x:c r="B252" s="27"/>
      <x:c r="C252" s="20"/>
      <x:c r="D252" s="28"/>
      <x:c r="E252" s="20"/>
      <x:c r="F252" s="25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1"/>
    </x:row>
    <x:row r="253">
      <x:c r="A253" s="19"/>
      <x:c r="B253" s="27"/>
      <x:c r="C253" s="20"/>
      <x:c r="D253" s="28"/>
      <x:c r="E253" s="20"/>
      <x:c r="F253" s="25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1"/>
    </x:row>
    <x:row r="254">
      <x:c r="A254" s="19"/>
      <x:c r="B254" s="27"/>
      <x:c r="C254" s="20"/>
      <x:c r="D254" s="28"/>
      <x:c r="E254" s="20"/>
      <x:c r="F254" s="25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1"/>
    </x:row>
    <x:row r="255">
      <x:c r="A255" s="19"/>
      <x:c r="B255" s="27"/>
      <x:c r="C255" s="20"/>
      <x:c r="D255" s="28"/>
      <x:c r="E255" s="20"/>
      <x:c r="F255" s="25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1"/>
    </x:row>
    <x:row r="256">
      <x:c r="A256" s="19"/>
      <x:c r="B256" s="27"/>
      <x:c r="C256" s="20"/>
      <x:c r="D256" s="28"/>
      <x:c r="E256" s="20"/>
      <x:c r="F256" s="25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1"/>
    </x:row>
    <x:row r="257">
      <x:c r="A257" s="19"/>
      <x:c r="B257" s="27"/>
      <x:c r="C257" s="20"/>
      <x:c r="D257" s="28"/>
      <x:c r="E257" s="20"/>
      <x:c r="F257" s="25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1"/>
    </x:row>
    <x:row r="258">
      <x:c r="A258" s="19"/>
      <x:c r="B258" s="27"/>
      <x:c r="C258" s="20"/>
      <x:c r="D258" s="28"/>
      <x:c r="E258" s="20"/>
      <x:c r="F258" s="25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1"/>
    </x:row>
    <x:row r="259">
      <x:c r="A259" s="19"/>
      <x:c r="B259" s="27"/>
      <x:c r="C259" s="20"/>
      <x:c r="D259" s="28"/>
      <x:c r="E259" s="20"/>
      <x:c r="F259" s="25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1"/>
    </x:row>
    <x:row r="260">
      <x:c r="A260" s="19"/>
      <x:c r="B260" s="27"/>
      <x:c r="C260" s="20"/>
      <x:c r="D260" s="28"/>
      <x:c r="E260" s="20"/>
      <x:c r="F260" s="25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1"/>
    </x:row>
    <x:row r="261">
      <x:c r="A261" s="19"/>
      <x:c r="B261" s="27"/>
      <x:c r="C261" s="20"/>
      <x:c r="D261" s="28"/>
      <x:c r="E261" s="20"/>
      <x:c r="F261" s="25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1"/>
    </x:row>
    <x:row r="262">
      <x:c r="A262" s="19"/>
      <x:c r="B262" s="27"/>
      <x:c r="C262" s="20"/>
      <x:c r="D262" s="28"/>
      <x:c r="E262" s="20"/>
      <x:c r="F262" s="25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1"/>
    </x:row>
    <x:row r="263">
      <x:c r="A263" s="19"/>
      <x:c r="B263" s="27"/>
      <x:c r="C263" s="20"/>
      <x:c r="D263" s="28"/>
      <x:c r="E263" s="20"/>
      <x:c r="F263" s="25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1"/>
    </x:row>
    <x:row r="264">
      <x:c r="A264" s="19"/>
      <x:c r="B264" s="27"/>
      <x:c r="C264" s="20"/>
      <x:c r="D264" s="28"/>
      <x:c r="E264" s="20"/>
      <x:c r="F264" s="25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1"/>
    </x:row>
    <x:row r="265">
      <x:c r="A265" s="19"/>
      <x:c r="B265" s="27"/>
      <x:c r="C265" s="20"/>
      <x:c r="D265" s="28"/>
      <x:c r="E265" s="20"/>
      <x:c r="F265" s="25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1"/>
    </x:row>
    <x:row r="266">
      <x:c r="A266" s="19"/>
      <x:c r="B266" s="27"/>
      <x:c r="C266" s="20"/>
      <x:c r="D266" s="28"/>
      <x:c r="E266" s="20"/>
      <x:c r="F266" s="25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1"/>
    </x:row>
    <x:row r="267">
      <x:c r="A267" s="19"/>
      <x:c r="B267" s="27"/>
      <x:c r="C267" s="20"/>
      <x:c r="D267" s="28"/>
      <x:c r="E267" s="20"/>
      <x:c r="F267" s="25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1"/>
    </x:row>
    <x:row r="268">
      <x:c r="A268" s="19"/>
      <x:c r="B268" s="27"/>
      <x:c r="C268" s="20"/>
      <x:c r="D268" s="28"/>
      <x:c r="E268" s="20"/>
      <x:c r="F268" s="25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1"/>
    </x:row>
    <x:row r="269">
      <x:c r="A269" s="19"/>
      <x:c r="B269" s="27"/>
      <x:c r="C269" s="20"/>
      <x:c r="D269" s="28"/>
      <x:c r="E269" s="20"/>
      <x:c r="F269" s="25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1"/>
    </x:row>
    <x:row r="270">
      <x:c r="A270" s="19"/>
      <x:c r="B270" s="27"/>
      <x:c r="C270" s="20"/>
      <x:c r="D270" s="28"/>
      <x:c r="E270" s="20"/>
      <x:c r="F270" s="25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1"/>
    </x:row>
    <x:row r="271">
      <x:c r="A271" s="19"/>
      <x:c r="B271" s="27"/>
      <x:c r="C271" s="20"/>
      <x:c r="D271" s="28"/>
      <x:c r="E271" s="20"/>
      <x:c r="F271" s="25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1"/>
    </x:row>
    <x:row r="272">
      <x:c r="A272" s="19"/>
      <x:c r="B272" s="27"/>
      <x:c r="C272" s="20"/>
      <x:c r="D272" s="28"/>
      <x:c r="E272" s="20"/>
      <x:c r="F272" s="25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1"/>
    </x:row>
    <x:row r="273">
      <x:c r="A273" s="19"/>
      <x:c r="B273" s="27"/>
      <x:c r="C273" s="20"/>
      <x:c r="D273" s="28"/>
      <x:c r="E273" s="20"/>
      <x:c r="F273" s="25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1"/>
    </x:row>
    <x:row r="274">
      <x:c r="A274" s="19"/>
      <x:c r="B274" s="27"/>
      <x:c r="C274" s="20"/>
      <x:c r="D274" s="28"/>
      <x:c r="E274" s="20"/>
      <x:c r="F274" s="25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1"/>
    </x:row>
    <x:row r="275">
      <x:c r="A275" s="19"/>
      <x:c r="B275" s="27"/>
      <x:c r="C275" s="20"/>
      <x:c r="D275" s="28"/>
      <x:c r="E275" s="20"/>
      <x:c r="F275" s="25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1"/>
    </x:row>
    <x:row r="276">
      <x:c r="A276" s="19"/>
      <x:c r="B276" s="27"/>
      <x:c r="C276" s="20"/>
      <x:c r="D276" s="28"/>
      <x:c r="E276" s="20"/>
      <x:c r="F276" s="25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1"/>
    </x:row>
    <x:row r="277">
      <x:c r="A277" s="19"/>
      <x:c r="B277" s="27"/>
      <x:c r="C277" s="20"/>
      <x:c r="D277" s="28"/>
      <x:c r="E277" s="20"/>
      <x:c r="F277" s="25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1"/>
    </x:row>
    <x:row r="278">
      <x:c r="A278" s="19"/>
      <x:c r="B278" s="27"/>
      <x:c r="C278" s="20"/>
      <x:c r="D278" s="28"/>
      <x:c r="E278" s="20"/>
      <x:c r="F278" s="25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1"/>
    </x:row>
    <x:row r="279">
      <x:c r="A279" s="19"/>
      <x:c r="B279" s="27"/>
      <x:c r="C279" s="20"/>
      <x:c r="D279" s="28"/>
      <x:c r="E279" s="20"/>
      <x:c r="F279" s="25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1"/>
    </x:row>
    <x:row r="280">
      <x:c r="A280" s="19"/>
      <x:c r="B280" s="27"/>
      <x:c r="C280" s="20"/>
      <x:c r="D280" s="28"/>
      <x:c r="E280" s="20"/>
      <x:c r="F280" s="25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1"/>
    </x:row>
    <x:row r="281">
      <x:c r="A281" s="19"/>
      <x:c r="B281" s="27"/>
      <x:c r="C281" s="20"/>
      <x:c r="D281" s="28"/>
      <x:c r="E281" s="20"/>
      <x:c r="F281" s="25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1"/>
    </x:row>
    <x:row r="282">
      <x:c r="A282" s="19"/>
      <x:c r="B282" s="27"/>
      <x:c r="C282" s="20"/>
      <x:c r="D282" s="28"/>
      <x:c r="E282" s="20"/>
      <x:c r="F282" s="25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1"/>
    </x:row>
    <x:row r="283">
      <x:c r="A283" s="19"/>
      <x:c r="B283" s="27"/>
      <x:c r="C283" s="20"/>
      <x:c r="D283" s="28"/>
      <x:c r="E283" s="20"/>
      <x:c r="F283" s="25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1"/>
    </x:row>
    <x:row r="284">
      <x:c r="A284" s="19"/>
      <x:c r="B284" s="27"/>
      <x:c r="C284" s="20"/>
      <x:c r="D284" s="28"/>
      <x:c r="E284" s="20"/>
      <x:c r="F284" s="25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1"/>
    </x:row>
    <x:row r="285">
      <x:c r="A285" s="19"/>
      <x:c r="B285" s="27"/>
      <x:c r="C285" s="20"/>
      <x:c r="D285" s="28"/>
      <x:c r="E285" s="20"/>
      <x:c r="F285" s="25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1"/>
    </x:row>
    <x:row r="286">
      <x:c r="A286" s="19"/>
      <x:c r="B286" s="27"/>
      <x:c r="C286" s="20"/>
      <x:c r="D286" s="28"/>
      <x:c r="E286" s="20"/>
      <x:c r="F286" s="25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1"/>
    </x:row>
    <x:row r="287">
      <x:c r="A287" s="19"/>
      <x:c r="B287" s="27"/>
      <x:c r="C287" s="20"/>
      <x:c r="D287" s="28"/>
      <x:c r="E287" s="20"/>
      <x:c r="F287" s="25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1"/>
    </x:row>
    <x:row r="288">
      <x:c r="A288" s="19"/>
      <x:c r="B288" s="27"/>
      <x:c r="C288" s="20"/>
      <x:c r="D288" s="28"/>
      <x:c r="E288" s="20"/>
      <x:c r="F288" s="25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1"/>
    </x:row>
    <x:row r="289">
      <x:c r="A289" s="19"/>
      <x:c r="B289" s="27"/>
      <x:c r="C289" s="20"/>
      <x:c r="D289" s="28"/>
      <x:c r="E289" s="20"/>
      <x:c r="F289" s="25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1"/>
    </x:row>
    <x:row r="290">
      <x:c r="A290" s="19"/>
      <x:c r="B290" s="27"/>
      <x:c r="C290" s="20"/>
      <x:c r="D290" s="28"/>
      <x:c r="E290" s="20"/>
      <x:c r="F290" s="25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1"/>
    </x:row>
    <x:row r="291">
      <x:c r="A291" s="19"/>
      <x:c r="B291" s="27"/>
      <x:c r="C291" s="20"/>
      <x:c r="D291" s="28"/>
      <x:c r="E291" s="20"/>
      <x:c r="F291" s="25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1"/>
    </x:row>
    <x:row r="292">
      <x:c r="A292" s="19"/>
      <x:c r="B292" s="27"/>
      <x:c r="C292" s="20"/>
      <x:c r="D292" s="28"/>
      <x:c r="E292" s="20"/>
      <x:c r="F292" s="25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1"/>
    </x:row>
    <x:row r="293">
      <x:c r="A293" s="19"/>
      <x:c r="B293" s="27"/>
      <x:c r="C293" s="20"/>
      <x:c r="D293" s="28"/>
      <x:c r="E293" s="20"/>
      <x:c r="F293" s="25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1"/>
    </x:row>
    <x:row r="294">
      <x:c r="A294" s="19"/>
      <x:c r="B294" s="27"/>
      <x:c r="C294" s="20"/>
      <x:c r="D294" s="28"/>
      <x:c r="E294" s="20"/>
      <x:c r="F294" s="25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1"/>
    </x:row>
    <x:row r="295">
      <x:c r="A295" s="19"/>
      <x:c r="B295" s="27"/>
      <x:c r="C295" s="20"/>
      <x:c r="D295" s="28"/>
      <x:c r="E295" s="20"/>
      <x:c r="F295" s="25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1"/>
    </x:row>
    <x:row r="296">
      <x:c r="A296" s="19"/>
      <x:c r="B296" s="27"/>
      <x:c r="C296" s="20"/>
      <x:c r="D296" s="28"/>
      <x:c r="E296" s="20"/>
      <x:c r="F296" s="25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1"/>
    </x:row>
    <x:row r="297">
      <x:c r="A297" s="19"/>
      <x:c r="B297" s="27"/>
      <x:c r="C297" s="20"/>
      <x:c r="D297" s="28"/>
      <x:c r="E297" s="20"/>
      <x:c r="F297" s="25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1"/>
    </x:row>
    <x:row r="298">
      <x:c r="A298" s="19"/>
      <x:c r="B298" s="27"/>
      <x:c r="C298" s="20"/>
      <x:c r="D298" s="28"/>
      <x:c r="E298" s="20"/>
      <x:c r="F298" s="25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1"/>
    </x:row>
    <x:row r="299">
      <x:c r="A299" s="19"/>
      <x:c r="B299" s="27"/>
      <x:c r="C299" s="20"/>
      <x:c r="D299" s="28"/>
      <x:c r="E299" s="20"/>
      <x:c r="F299" s="25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1"/>
    </x:row>
    <x:row r="300">
      <x:c r="A300" s="19"/>
      <x:c r="B300" s="27"/>
      <x:c r="C300" s="20"/>
      <x:c r="D300" s="28"/>
      <x:c r="E300" s="20"/>
      <x:c r="F300" s="25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1"/>
    </x:row>
    <x:row r="301">
      <x:c r="A301" s="19"/>
      <x:c r="B301" s="27"/>
      <x:c r="C301" s="20"/>
      <x:c r="D301" s="28"/>
      <x:c r="E301" s="20"/>
      <x:c r="F301" s="25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1"/>
    </x:row>
    <x:row r="302">
      <x:c r="A302" s="19"/>
      <x:c r="B302" s="27"/>
      <x:c r="C302" s="20"/>
      <x:c r="D302" s="28"/>
      <x:c r="E302" s="20"/>
      <x:c r="F302" s="25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1"/>
    </x:row>
    <x:row r="303">
      <x:c r="A303" s="19"/>
      <x:c r="B303" s="27"/>
      <x:c r="C303" s="20"/>
      <x:c r="D303" s="28"/>
      <x:c r="E303" s="20"/>
      <x:c r="F303" s="25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1"/>
    </x:row>
    <x:row r="304">
      <x:c r="A304" s="19"/>
      <x:c r="B304" s="27"/>
      <x:c r="C304" s="20"/>
      <x:c r="D304" s="28"/>
      <x:c r="E304" s="20"/>
      <x:c r="F304" s="25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1"/>
    </x:row>
    <x:row r="305">
      <x:c r="A305" s="19"/>
      <x:c r="B305" s="27"/>
      <x:c r="C305" s="20"/>
      <x:c r="D305" s="28"/>
      <x:c r="E305" s="20"/>
      <x:c r="F305" s="25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1"/>
    </x:row>
    <x:row r="306">
      <x:c r="A306" s="19"/>
      <x:c r="B306" s="27"/>
      <x:c r="C306" s="20"/>
      <x:c r="D306" s="28"/>
      <x:c r="E306" s="20"/>
      <x:c r="F306" s="25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1"/>
    </x:row>
    <x:row r="307">
      <x:c r="A307" s="19"/>
      <x:c r="B307" s="27"/>
      <x:c r="C307" s="20"/>
      <x:c r="D307" s="28"/>
      <x:c r="E307" s="20"/>
      <x:c r="F307" s="25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1"/>
    </x:row>
    <x:row r="308">
      <x:c r="A308" s="19"/>
      <x:c r="B308" s="27"/>
      <x:c r="C308" s="20"/>
      <x:c r="D308" s="28"/>
      <x:c r="E308" s="20"/>
      <x:c r="F308" s="25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1"/>
    </x:row>
    <x:row r="309">
      <x:c r="A309" s="19"/>
      <x:c r="B309" s="27"/>
      <x:c r="C309" s="20"/>
      <x:c r="D309" s="28"/>
      <x:c r="E309" s="20"/>
      <x:c r="F309" s="25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1"/>
    </x:row>
    <x:row r="310">
      <x:c r="A310" s="19"/>
      <x:c r="B310" s="27"/>
      <x:c r="C310" s="20"/>
      <x:c r="D310" s="28"/>
      <x:c r="E310" s="20"/>
      <x:c r="F310" s="25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1"/>
    </x:row>
    <x:row r="311">
      <x:c r="A311" s="19"/>
      <x:c r="B311" s="27"/>
      <x:c r="C311" s="20"/>
      <x:c r="D311" s="28"/>
      <x:c r="E311" s="20"/>
      <x:c r="F311" s="25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1"/>
    </x:row>
    <x:row r="312">
      <x:c r="A312" s="19"/>
      <x:c r="B312" s="27"/>
      <x:c r="C312" s="20"/>
      <x:c r="D312" s="28"/>
      <x:c r="E312" s="20"/>
      <x:c r="F312" s="25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1"/>
    </x:row>
    <x:row r="313">
      <x:c r="A313" s="19"/>
      <x:c r="B313" s="27"/>
      <x:c r="C313" s="20"/>
      <x:c r="D313" s="28"/>
      <x:c r="E313" s="20"/>
      <x:c r="F313" s="25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1"/>
    </x:row>
    <x:row r="314">
      <x:c r="A314" s="19"/>
      <x:c r="B314" s="27"/>
      <x:c r="C314" s="20"/>
      <x:c r="D314" s="28"/>
      <x:c r="E314" s="20"/>
      <x:c r="F314" s="25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1"/>
    </x:row>
    <x:row r="315">
      <x:c r="A315" s="19"/>
      <x:c r="B315" s="27"/>
      <x:c r="C315" s="20"/>
      <x:c r="D315" s="28"/>
      <x:c r="E315" s="20"/>
      <x:c r="F315" s="25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1"/>
    </x:row>
    <x:row r="316">
      <x:c r="A316" s="19"/>
      <x:c r="B316" s="27"/>
      <x:c r="C316" s="20"/>
      <x:c r="D316" s="28"/>
      <x:c r="E316" s="20"/>
      <x:c r="F316" s="25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1"/>
    </x:row>
    <x:row r="317">
      <x:c r="A317" s="19"/>
      <x:c r="B317" s="27"/>
      <x:c r="C317" s="20"/>
      <x:c r="D317" s="28"/>
      <x:c r="E317" s="20"/>
      <x:c r="F317" s="25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1"/>
    </x:row>
    <x:row r="318">
      <x:c r="A318" s="19"/>
      <x:c r="B318" s="27"/>
      <x:c r="C318" s="20"/>
      <x:c r="D318" s="28"/>
      <x:c r="E318" s="20"/>
      <x:c r="F318" s="25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1"/>
    </x:row>
    <x:row r="319">
      <x:c r="A319" s="19"/>
      <x:c r="B319" s="27"/>
      <x:c r="C319" s="20"/>
      <x:c r="D319" s="28"/>
      <x:c r="E319" s="20"/>
      <x:c r="F319" s="25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1"/>
    </x:row>
    <x:row r="320">
      <x:c r="A320" s="19"/>
      <x:c r="B320" s="27"/>
      <x:c r="C320" s="20"/>
      <x:c r="D320" s="28"/>
      <x:c r="E320" s="20"/>
      <x:c r="F320" s="25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1"/>
    </x:row>
    <x:row r="321">
      <x:c r="A321" s="19"/>
      <x:c r="B321" s="27"/>
      <x:c r="C321" s="20"/>
      <x:c r="D321" s="28"/>
      <x:c r="E321" s="20"/>
      <x:c r="F321" s="25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1"/>
    </x:row>
    <x:row r="322">
      <x:c r="A322" s="19"/>
      <x:c r="B322" s="27"/>
      <x:c r="C322" s="20"/>
      <x:c r="D322" s="28"/>
      <x:c r="E322" s="20"/>
      <x:c r="F322" s="25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1"/>
    </x:row>
    <x:row r="323">
      <x:c r="A323" s="19"/>
      <x:c r="B323" s="27"/>
      <x:c r="C323" s="20"/>
      <x:c r="D323" s="28"/>
      <x:c r="E323" s="20"/>
      <x:c r="F323" s="25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1"/>
    </x:row>
    <x:row r="324">
      <x:c r="A324" s="19"/>
      <x:c r="B324" s="27"/>
      <x:c r="C324" s="20"/>
      <x:c r="D324" s="28"/>
      <x:c r="E324" s="20"/>
      <x:c r="F324" s="25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1"/>
    </x:row>
    <x:row r="325">
      <x:c r="A325" s="19"/>
      <x:c r="B325" s="27"/>
      <x:c r="C325" s="20"/>
      <x:c r="D325" s="28"/>
      <x:c r="E325" s="20"/>
      <x:c r="F325" s="25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1"/>
    </x:row>
    <x:row r="326">
      <x:c r="A326" s="19"/>
      <x:c r="B326" s="27"/>
      <x:c r="C326" s="20"/>
      <x:c r="D326" s="28"/>
      <x:c r="E326" s="20"/>
      <x:c r="F326" s="25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1"/>
    </x:row>
    <x:row r="327">
      <x:c r="A327" s="19"/>
      <x:c r="B327" s="27"/>
      <x:c r="C327" s="20"/>
      <x:c r="D327" s="28"/>
      <x:c r="E327" s="20"/>
      <x:c r="F327" s="25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1"/>
    </x:row>
    <x:row r="328">
      <x:c r="A328" s="19"/>
      <x:c r="B328" s="27"/>
      <x:c r="C328" s="20"/>
      <x:c r="D328" s="28"/>
      <x:c r="E328" s="20"/>
      <x:c r="F328" s="25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1"/>
    </x:row>
    <x:row r="329">
      <x:c r="A329" s="19"/>
      <x:c r="B329" s="27"/>
      <x:c r="C329" s="20"/>
      <x:c r="D329" s="28"/>
      <x:c r="E329" s="20"/>
      <x:c r="F329" s="25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1"/>
    </x:row>
    <x:row r="330">
      <x:c r="A330" s="19"/>
      <x:c r="B330" s="27"/>
      <x:c r="C330" s="20"/>
      <x:c r="D330" s="28"/>
      <x:c r="E330" s="20"/>
      <x:c r="F330" s="25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1"/>
    </x:row>
    <x:row r="331">
      <x:c r="A331" s="19"/>
      <x:c r="B331" s="27"/>
      <x:c r="C331" s="20"/>
      <x:c r="D331" s="28"/>
      <x:c r="E331" s="20"/>
      <x:c r="F331" s="25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1"/>
    </x:row>
    <x:row r="332">
      <x:c r="A332" s="19"/>
      <x:c r="B332" s="27"/>
      <x:c r="C332" s="20"/>
      <x:c r="D332" s="28"/>
      <x:c r="E332" s="20"/>
      <x:c r="F332" s="25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1"/>
    </x:row>
    <x:row r="333">
      <x:c r="A333" s="19"/>
      <x:c r="B333" s="27"/>
      <x:c r="C333" s="20"/>
      <x:c r="D333" s="28"/>
      <x:c r="E333" s="20"/>
      <x:c r="F333" s="25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1"/>
    </x:row>
    <x:row r="334">
      <x:c r="A334" s="19"/>
      <x:c r="B334" s="27"/>
      <x:c r="C334" s="20"/>
      <x:c r="D334" s="28"/>
      <x:c r="E334" s="20"/>
      <x:c r="F334" s="25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1"/>
    </x:row>
    <x:row r="335">
      <x:c r="A335" s="19"/>
      <x:c r="B335" s="27"/>
      <x:c r="C335" s="20"/>
      <x:c r="D335" s="28"/>
      <x:c r="E335" s="20"/>
      <x:c r="F335" s="25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1"/>
    </x:row>
    <x:row r="336">
      <x:c r="A336" s="19"/>
      <x:c r="B336" s="27"/>
      <x:c r="C336" s="20"/>
      <x:c r="D336" s="28"/>
      <x:c r="E336" s="20"/>
      <x:c r="F336" s="25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1"/>
    </x:row>
    <x:row r="337">
      <x:c r="A337" s="19"/>
      <x:c r="B337" s="27"/>
      <x:c r="C337" s="20"/>
      <x:c r="D337" s="28"/>
      <x:c r="E337" s="20"/>
      <x:c r="F337" s="25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1"/>
    </x:row>
    <x:row r="338">
      <x:c r="A338" s="19"/>
      <x:c r="B338" s="27"/>
      <x:c r="C338" s="20"/>
      <x:c r="D338" s="28"/>
      <x:c r="E338" s="20"/>
      <x:c r="F338" s="25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1"/>
    </x:row>
    <x:row r="339">
      <x:c r="A339" s="19"/>
      <x:c r="B339" s="27"/>
      <x:c r="C339" s="20"/>
      <x:c r="D339" s="28"/>
      <x:c r="E339" s="20"/>
      <x:c r="F339" s="25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1"/>
    </x:row>
    <x:row r="340">
      <x:c r="A340" s="19"/>
      <x:c r="B340" s="27"/>
      <x:c r="C340" s="20"/>
      <x:c r="D340" s="28"/>
      <x:c r="E340" s="20"/>
      <x:c r="F340" s="25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1"/>
    </x:row>
    <x:row r="341">
      <x:c r="A341" s="19"/>
      <x:c r="B341" s="27"/>
      <x:c r="C341" s="20"/>
      <x:c r="D341" s="28"/>
      <x:c r="E341" s="20"/>
      <x:c r="F341" s="25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1"/>
    </x:row>
    <x:row r="342">
      <x:c r="A342" s="19"/>
      <x:c r="B342" s="27"/>
      <x:c r="C342" s="20"/>
      <x:c r="D342" s="28"/>
      <x:c r="E342" s="20"/>
      <x:c r="F342" s="25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1"/>
    </x:row>
    <x:row r="343">
      <x:c r="A343" s="19"/>
      <x:c r="B343" s="27"/>
      <x:c r="C343" s="20"/>
      <x:c r="D343" s="28"/>
      <x:c r="E343" s="20"/>
      <x:c r="F343" s="25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1"/>
    </x:row>
    <x:row r="344">
      <x:c r="A344" s="19"/>
      <x:c r="B344" s="27"/>
      <x:c r="C344" s="20"/>
      <x:c r="D344" s="28"/>
      <x:c r="E344" s="20"/>
      <x:c r="F344" s="25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1"/>
    </x:row>
    <x:row r="345">
      <x:c r="A345" s="19"/>
      <x:c r="B345" s="27"/>
      <x:c r="C345" s="20"/>
      <x:c r="D345" s="28"/>
      <x:c r="E345" s="20"/>
      <x:c r="F345" s="25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1"/>
    </x:row>
    <x:row r="346">
      <x:c r="A346" s="19"/>
      <x:c r="B346" s="27"/>
      <x:c r="C346" s="20"/>
      <x:c r="D346" s="28"/>
      <x:c r="E346" s="20"/>
      <x:c r="F346" s="25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1"/>
    </x:row>
    <x:row r="347">
      <x:c r="A347" s="19"/>
      <x:c r="B347" s="27"/>
      <x:c r="C347" s="20"/>
      <x:c r="D347" s="28"/>
      <x:c r="E347" s="20"/>
      <x:c r="F347" s="25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1"/>
    </x:row>
    <x:row r="348">
      <x:c r="A348" s="19"/>
      <x:c r="B348" s="27"/>
      <x:c r="C348" s="20"/>
      <x:c r="D348" s="28"/>
      <x:c r="E348" s="20"/>
      <x:c r="F348" s="25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1"/>
    </x:row>
    <x:row r="349">
      <x:c r="A349" s="19"/>
      <x:c r="B349" s="27"/>
      <x:c r="C349" s="20"/>
      <x:c r="D349" s="28"/>
      <x:c r="E349" s="20"/>
      <x:c r="F349" s="25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1"/>
    </x:row>
    <x:row r="350">
      <x:c r="A350" s="19"/>
      <x:c r="B350" s="27"/>
      <x:c r="C350" s="20"/>
      <x:c r="D350" s="28"/>
      <x:c r="E350" s="20"/>
      <x:c r="F350" s="25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1"/>
    </x:row>
    <x:row r="351">
      <x:c r="A351" s="19"/>
      <x:c r="B351" s="27"/>
      <x:c r="C351" s="20"/>
      <x:c r="D351" s="28"/>
      <x:c r="E351" s="20"/>
      <x:c r="F351" s="25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1"/>
    </x:row>
    <x:row r="352">
      <x:c r="A352" s="19"/>
      <x:c r="B352" s="27"/>
      <x:c r="C352" s="20"/>
      <x:c r="D352" s="28"/>
      <x:c r="E352" s="20"/>
      <x:c r="F352" s="25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1"/>
    </x:row>
    <x:row r="353">
      <x:c r="A353" s="19"/>
      <x:c r="B353" s="27"/>
      <x:c r="C353" s="20"/>
      <x:c r="D353" s="28"/>
      <x:c r="E353" s="20"/>
      <x:c r="F353" s="25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1"/>
    </x:row>
    <x:row r="354">
      <x:c r="A354" s="19"/>
      <x:c r="B354" s="27"/>
      <x:c r="C354" s="20"/>
      <x:c r="D354" s="28"/>
      <x:c r="E354" s="20"/>
      <x:c r="F354" s="25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1"/>
    </x:row>
    <x:row r="355">
      <x:c r="A355" s="19"/>
      <x:c r="B355" s="27"/>
      <x:c r="C355" s="20"/>
      <x:c r="D355" s="28"/>
      <x:c r="E355" s="20"/>
      <x:c r="F355" s="25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1"/>
    </x:row>
    <x:row r="356">
      <x:c r="A356" s="19"/>
      <x:c r="B356" s="27"/>
      <x:c r="C356" s="20"/>
      <x:c r="D356" s="28"/>
      <x:c r="E356" s="20"/>
      <x:c r="F356" s="25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1"/>
    </x:row>
    <x:row r="357">
      <x:c r="A357" s="19"/>
      <x:c r="B357" s="27"/>
      <x:c r="C357" s="20"/>
      <x:c r="D357" s="28"/>
      <x:c r="E357" s="20"/>
      <x:c r="F357" s="25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1"/>
    </x:row>
    <x:row r="358">
      <x:c r="A358" s="19"/>
      <x:c r="B358" s="27"/>
      <x:c r="C358" s="20"/>
      <x:c r="D358" s="28"/>
      <x:c r="E358" s="20"/>
      <x:c r="F358" s="25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1"/>
    </x:row>
    <x:row r="359">
      <x:c r="A359" s="19"/>
      <x:c r="B359" s="27"/>
      <x:c r="C359" s="20"/>
      <x:c r="D359" s="28"/>
      <x:c r="E359" s="20"/>
      <x:c r="F359" s="25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1"/>
    </x:row>
    <x:row r="360">
      <x:c r="A360" s="19"/>
      <x:c r="B360" s="27"/>
      <x:c r="C360" s="20"/>
      <x:c r="D360" s="28"/>
      <x:c r="E360" s="20"/>
      <x:c r="F360" s="25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1"/>
    </x:row>
    <x:row r="361">
      <x:c r="A361" s="19"/>
      <x:c r="B361" s="27"/>
      <x:c r="C361" s="20"/>
      <x:c r="D361" s="28"/>
      <x:c r="E361" s="20"/>
      <x:c r="F361" s="25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1"/>
    </x:row>
    <x:row r="362">
      <x:c r="A362" s="19"/>
      <x:c r="B362" s="27"/>
      <x:c r="C362" s="20"/>
      <x:c r="D362" s="28"/>
      <x:c r="E362" s="20"/>
      <x:c r="F362" s="25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1"/>
    </x:row>
    <x:row r="363">
      <x:c r="A363" s="19"/>
      <x:c r="B363" s="27"/>
      <x:c r="C363" s="20"/>
      <x:c r="D363" s="28"/>
      <x:c r="E363" s="20"/>
      <x:c r="F363" s="25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1"/>
    </x:row>
    <x:row r="364">
      <x:c r="A364" s="19"/>
      <x:c r="B364" s="27"/>
      <x:c r="C364" s="20"/>
      <x:c r="D364" s="28"/>
      <x:c r="E364" s="20"/>
      <x:c r="F364" s="25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1"/>
    </x:row>
    <x:row r="365">
      <x:c r="A365" s="19"/>
      <x:c r="B365" s="27"/>
      <x:c r="C365" s="20"/>
      <x:c r="D365" s="28"/>
      <x:c r="E365" s="20"/>
      <x:c r="F365" s="25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1"/>
    </x:row>
    <x:row r="366">
      <x:c r="A366" s="19"/>
      <x:c r="B366" s="27"/>
      <x:c r="C366" s="20"/>
      <x:c r="D366" s="28"/>
      <x:c r="E366" s="20"/>
      <x:c r="F366" s="25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1"/>
    </x:row>
    <x:row r="367">
      <x:c r="A367" s="19"/>
      <x:c r="B367" s="27"/>
      <x:c r="C367" s="20"/>
      <x:c r="D367" s="28"/>
      <x:c r="E367" s="20"/>
      <x:c r="F367" s="25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1"/>
    </x:row>
    <x:row r="368">
      <x:c r="A368" s="19"/>
      <x:c r="B368" s="27"/>
      <x:c r="C368" s="20"/>
      <x:c r="D368" s="28"/>
      <x:c r="E368" s="20"/>
      <x:c r="F368" s="25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1"/>
    </x:row>
    <x:row r="369">
      <x:c r="A369" s="19"/>
      <x:c r="B369" s="27"/>
      <x:c r="C369" s="20"/>
      <x:c r="D369" s="28"/>
      <x:c r="E369" s="20"/>
      <x:c r="F369" s="25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1"/>
    </x:row>
    <x:row r="370">
      <x:c r="A370" s="19"/>
      <x:c r="B370" s="27"/>
      <x:c r="C370" s="20"/>
      <x:c r="D370" s="28"/>
      <x:c r="E370" s="20"/>
      <x:c r="F370" s="25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1"/>
    </x:row>
    <x:row r="371">
      <x:c r="A371" s="19"/>
      <x:c r="B371" s="27"/>
      <x:c r="C371" s="20"/>
      <x:c r="D371" s="28"/>
      <x:c r="E371" s="20"/>
      <x:c r="F371" s="25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1"/>
    </x:row>
    <x:row r="372">
      <x:c r="A372" s="19"/>
      <x:c r="B372" s="27"/>
      <x:c r="C372" s="20"/>
      <x:c r="D372" s="28"/>
      <x:c r="E372" s="20"/>
      <x:c r="F372" s="25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1"/>
    </x:row>
    <x:row r="373">
      <x:c r="A373" s="19"/>
      <x:c r="B373" s="27"/>
      <x:c r="C373" s="20"/>
      <x:c r="D373" s="28"/>
      <x:c r="E373" s="20"/>
      <x:c r="F373" s="25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1"/>
    </x:row>
    <x:row r="374">
      <x:c r="A374" s="19"/>
      <x:c r="B374" s="27"/>
      <x:c r="C374" s="20"/>
      <x:c r="D374" s="28"/>
      <x:c r="E374" s="20"/>
      <x:c r="F374" s="25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1"/>
    </x:row>
    <x:row r="375">
      <x:c r="A375" s="19"/>
      <x:c r="B375" s="27"/>
      <x:c r="C375" s="20"/>
      <x:c r="D375" s="28"/>
      <x:c r="E375" s="20"/>
      <x:c r="F375" s="25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1"/>
    </x:row>
    <x:row r="376">
      <x:c r="A376" s="19"/>
      <x:c r="B376" s="27"/>
      <x:c r="C376" s="20"/>
      <x:c r="D376" s="28"/>
      <x:c r="E376" s="20"/>
      <x:c r="F376" s="25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1"/>
    </x:row>
    <x:row r="377">
      <x:c r="A377" s="19"/>
      <x:c r="B377" s="27"/>
      <x:c r="C377" s="20"/>
      <x:c r="D377" s="28"/>
      <x:c r="E377" s="20"/>
      <x:c r="F377" s="25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1"/>
    </x:row>
    <x:row r="378">
      <x:c r="A378" s="19"/>
      <x:c r="B378" s="27"/>
      <x:c r="C378" s="20"/>
      <x:c r="D378" s="28"/>
      <x:c r="E378" s="20"/>
      <x:c r="F378" s="25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1"/>
    </x:row>
    <x:row r="379">
      <x:c r="A379" s="19"/>
      <x:c r="B379" s="27"/>
      <x:c r="C379" s="20"/>
      <x:c r="D379" s="28"/>
      <x:c r="E379" s="20"/>
      <x:c r="F379" s="25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1"/>
    </x:row>
    <x:row r="380">
      <x:c r="A380" s="19"/>
      <x:c r="B380" s="27"/>
      <x:c r="C380" s="20"/>
      <x:c r="D380" s="28"/>
      <x:c r="E380" s="20"/>
      <x:c r="F380" s="25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1"/>
    </x:row>
    <x:row r="381">
      <x:c r="A381" s="19"/>
      <x:c r="B381" s="27"/>
      <x:c r="C381" s="20"/>
      <x:c r="D381" s="28"/>
      <x:c r="E381" s="20"/>
      <x:c r="F381" s="25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1"/>
    </x:row>
    <x:row r="382">
      <x:c r="A382" s="19"/>
      <x:c r="B382" s="27"/>
      <x:c r="C382" s="20"/>
      <x:c r="D382" s="28"/>
      <x:c r="E382" s="20"/>
      <x:c r="F382" s="25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1"/>
    </x:row>
    <x:row r="383">
      <x:c r="A383" s="19"/>
      <x:c r="B383" s="27"/>
      <x:c r="C383" s="20"/>
      <x:c r="D383" s="28"/>
      <x:c r="E383" s="20"/>
      <x:c r="F383" s="25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1"/>
    </x:row>
    <x:row r="384">
      <x:c r="A384" s="19"/>
      <x:c r="B384" s="27"/>
      <x:c r="C384" s="20"/>
      <x:c r="D384" s="28"/>
      <x:c r="E384" s="20"/>
      <x:c r="F384" s="25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1"/>
    </x:row>
    <x:row r="385">
      <x:c r="A385" s="19"/>
      <x:c r="B385" s="27"/>
      <x:c r="C385" s="20"/>
      <x:c r="D385" s="28"/>
      <x:c r="E385" s="20"/>
      <x:c r="F385" s="25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1"/>
    </x:row>
    <x:row r="386">
      <x:c r="A386" s="19"/>
      <x:c r="B386" s="27"/>
      <x:c r="C386" s="20"/>
      <x:c r="D386" s="28"/>
      <x:c r="E386" s="20"/>
      <x:c r="F386" s="25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1"/>
    </x:row>
    <x:row r="387">
      <x:c r="A387" s="19"/>
      <x:c r="B387" s="27"/>
      <x:c r="C387" s="20"/>
      <x:c r="D387" s="28"/>
      <x:c r="E387" s="20"/>
      <x:c r="F387" s="25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1"/>
    </x:row>
    <x:row r="388">
      <x:c r="A388" s="19"/>
      <x:c r="B388" s="27"/>
      <x:c r="C388" s="20"/>
      <x:c r="D388" s="28"/>
      <x:c r="E388" s="20"/>
      <x:c r="F388" s="25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1"/>
    </x:row>
    <x:row r="389">
      <x:c r="A389" s="19"/>
      <x:c r="B389" s="27"/>
      <x:c r="C389" s="20"/>
      <x:c r="D389" s="28"/>
      <x:c r="E389" s="20"/>
      <x:c r="F389" s="25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1"/>
    </x:row>
    <x:row r="390">
      <x:c r="A390" s="19"/>
      <x:c r="B390" s="27"/>
      <x:c r="C390" s="20"/>
      <x:c r="D390" s="28"/>
      <x:c r="E390" s="20"/>
      <x:c r="F390" s="25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1"/>
    </x:row>
    <x:row r="391">
      <x:c r="A391" s="19"/>
      <x:c r="B391" s="27"/>
      <x:c r="C391" s="20"/>
      <x:c r="D391" s="28"/>
      <x:c r="E391" s="20"/>
      <x:c r="F391" s="25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1"/>
    </x:row>
    <x:row r="392">
      <x:c r="A392" s="19"/>
      <x:c r="B392" s="27"/>
      <x:c r="C392" s="20"/>
      <x:c r="D392" s="28"/>
      <x:c r="E392" s="20"/>
      <x:c r="F392" s="25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1"/>
    </x:row>
    <x:row r="393">
      <x:c r="A393" s="19"/>
      <x:c r="B393" s="27"/>
      <x:c r="C393" s="20"/>
      <x:c r="D393" s="28"/>
      <x:c r="E393" s="20"/>
      <x:c r="F393" s="25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1"/>
    </x:row>
    <x:row r="394">
      <x:c r="A394" s="19"/>
      <x:c r="B394" s="27"/>
      <x:c r="C394" s="20"/>
      <x:c r="D394" s="28"/>
      <x:c r="E394" s="20"/>
      <x:c r="F394" s="25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1"/>
    </x:row>
    <x:row r="395">
      <x:c r="A395" s="19"/>
      <x:c r="B395" s="27"/>
      <x:c r="C395" s="20"/>
      <x:c r="D395" s="28"/>
      <x:c r="E395" s="20"/>
      <x:c r="F395" s="25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1"/>
    </x:row>
    <x:row r="396">
      <x:c r="A396" s="19"/>
      <x:c r="B396" s="27"/>
      <x:c r="C396" s="20"/>
      <x:c r="D396" s="28"/>
      <x:c r="E396" s="20"/>
      <x:c r="F396" s="25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1"/>
    </x:row>
    <x:row r="397">
      <x:c r="A397" s="19"/>
      <x:c r="B397" s="27"/>
      <x:c r="C397" s="20"/>
      <x:c r="D397" s="28"/>
      <x:c r="E397" s="20"/>
      <x:c r="F397" s="25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1"/>
    </x:row>
    <x:row r="398">
      <x:c r="A398" s="19"/>
      <x:c r="B398" s="27"/>
      <x:c r="C398" s="20"/>
      <x:c r="D398" s="28"/>
      <x:c r="E398" s="20"/>
      <x:c r="F398" s="25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1"/>
    </x:row>
    <x:row r="399">
      <x:c r="A399" s="19"/>
      <x:c r="B399" s="27"/>
      <x:c r="C399" s="20"/>
      <x:c r="D399" s="28"/>
      <x:c r="E399" s="20"/>
      <x:c r="F399" s="25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1"/>
    </x:row>
    <x:row r="400">
      <x:c r="A400" s="19"/>
      <x:c r="B400" s="27"/>
      <x:c r="C400" s="20"/>
      <x:c r="D400" s="28"/>
      <x:c r="E400" s="20"/>
      <x:c r="F400" s="25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1"/>
    </x:row>
    <x:row r="401">
      <x:c r="A401" s="19"/>
      <x:c r="B401" s="27"/>
      <x:c r="C401" s="20"/>
      <x:c r="D401" s="28"/>
      <x:c r="E401" s="20"/>
      <x:c r="F401" s="25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1"/>
    </x:row>
    <x:row r="402">
      <x:c r="A402" s="19"/>
      <x:c r="B402" s="27"/>
      <x:c r="C402" s="20"/>
      <x:c r="D402" s="28"/>
      <x:c r="E402" s="20"/>
      <x:c r="F402" s="25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1"/>
    </x:row>
    <x:row r="403">
      <x:c r="A403" s="19"/>
      <x:c r="B403" s="27"/>
      <x:c r="C403" s="20"/>
      <x:c r="D403" s="28"/>
      <x:c r="E403" s="20"/>
      <x:c r="F403" s="25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1"/>
    </x:row>
    <x:row r="404">
      <x:c r="A404" s="19"/>
      <x:c r="B404" s="27"/>
      <x:c r="C404" s="20"/>
      <x:c r="D404" s="28"/>
      <x:c r="E404" s="20"/>
      <x:c r="F404" s="25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1"/>
    </x:row>
    <x:row r="405">
      <x:c r="A405" s="19"/>
      <x:c r="B405" s="27"/>
      <x:c r="C405" s="20"/>
      <x:c r="D405" s="28"/>
      <x:c r="E405" s="20"/>
      <x:c r="F405" s="25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1"/>
    </x:row>
    <x:row r="406">
      <x:c r="A406" s="19"/>
      <x:c r="B406" s="27"/>
      <x:c r="C406" s="20"/>
      <x:c r="D406" s="28"/>
      <x:c r="E406" s="20"/>
      <x:c r="F406" s="25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1"/>
    </x:row>
    <x:row r="407">
      <x:c r="A407" s="19"/>
      <x:c r="B407" s="27"/>
      <x:c r="C407" s="20"/>
      <x:c r="D407" s="28"/>
      <x:c r="E407" s="20"/>
      <x:c r="F407" s="25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1"/>
    </x:row>
    <x:row r="408">
      <x:c r="A408" s="19"/>
      <x:c r="B408" s="27"/>
      <x:c r="C408" s="20"/>
      <x:c r="D408" s="28"/>
      <x:c r="E408" s="20"/>
      <x:c r="F408" s="25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1"/>
    </x:row>
    <x:row r="409">
      <x:c r="A409" s="19"/>
      <x:c r="B409" s="27"/>
      <x:c r="C409" s="20"/>
      <x:c r="D409" s="28"/>
      <x:c r="E409" s="20"/>
      <x:c r="F409" s="25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1"/>
    </x:row>
    <x:row r="410">
      <x:c r="A410" s="19"/>
      <x:c r="B410" s="27"/>
      <x:c r="C410" s="20"/>
      <x:c r="D410" s="28"/>
      <x:c r="E410" s="20"/>
      <x:c r="F410" s="25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1"/>
    </x:row>
    <x:row r="411">
      <x:c r="A411" s="19"/>
      <x:c r="B411" s="27"/>
      <x:c r="C411" s="20"/>
      <x:c r="D411" s="28"/>
      <x:c r="E411" s="20"/>
      <x:c r="F411" s="25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1"/>
    </x:row>
    <x:row r="412">
      <x:c r="A412" s="19"/>
      <x:c r="B412" s="27"/>
      <x:c r="C412" s="20"/>
      <x:c r="D412" s="28"/>
      <x:c r="E412" s="20"/>
      <x:c r="F412" s="25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1"/>
    </x:row>
    <x:row r="413">
      <x:c r="A413" s="19"/>
      <x:c r="B413" s="27"/>
      <x:c r="C413" s="20"/>
      <x:c r="D413" s="28"/>
      <x:c r="E413" s="20"/>
      <x:c r="F413" s="25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1"/>
    </x:row>
    <x:row r="414">
      <x:c r="A414" s="19"/>
      <x:c r="B414" s="27"/>
      <x:c r="C414" s="20"/>
      <x:c r="D414" s="28"/>
      <x:c r="E414" s="20"/>
      <x:c r="F414" s="25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1"/>
    </x:row>
    <x:row r="415">
      <x:c r="A415" s="19"/>
      <x:c r="B415" s="27"/>
      <x:c r="C415" s="20"/>
      <x:c r="D415" s="28"/>
      <x:c r="E415" s="20"/>
      <x:c r="F415" s="25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1"/>
    </x:row>
    <x:row r="416">
      <x:c r="A416" s="19"/>
      <x:c r="B416" s="27"/>
      <x:c r="C416" s="20"/>
      <x:c r="D416" s="28"/>
      <x:c r="E416" s="20"/>
      <x:c r="F416" s="25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1"/>
    </x:row>
    <x:row r="417">
      <x:c r="A417" s="19"/>
      <x:c r="B417" s="27"/>
      <x:c r="C417" s="20"/>
      <x:c r="D417" s="28"/>
      <x:c r="E417" s="20"/>
      <x:c r="F417" s="25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1"/>
    </x:row>
    <x:row r="418">
      <x:c r="A418" s="19"/>
      <x:c r="B418" s="27"/>
      <x:c r="C418" s="20"/>
      <x:c r="D418" s="28"/>
      <x:c r="E418" s="20"/>
      <x:c r="F418" s="25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1"/>
    </x:row>
    <x:row r="419">
      <x:c r="A419" s="19"/>
      <x:c r="B419" s="27"/>
      <x:c r="C419" s="20"/>
      <x:c r="D419" s="28"/>
      <x:c r="E419" s="20"/>
      <x:c r="F419" s="25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1"/>
    </x:row>
    <x:row r="420">
      <x:c r="A420" s="19"/>
      <x:c r="B420" s="27"/>
      <x:c r="C420" s="20"/>
      <x:c r="D420" s="28"/>
      <x:c r="E420" s="20"/>
      <x:c r="F420" s="25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1"/>
    </x:row>
    <x:row r="421">
      <x:c r="A421" s="19"/>
      <x:c r="B421" s="27"/>
      <x:c r="C421" s="20"/>
      <x:c r="D421" s="28"/>
      <x:c r="E421" s="20"/>
      <x:c r="F421" s="25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1"/>
    </x:row>
    <x:row r="422">
      <x:c r="A422" s="19"/>
      <x:c r="B422" s="27"/>
      <x:c r="C422" s="20"/>
      <x:c r="D422" s="28"/>
      <x:c r="E422" s="20"/>
      <x:c r="F422" s="25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1"/>
    </x:row>
    <x:row r="423">
      <x:c r="A423" s="19"/>
      <x:c r="B423" s="27"/>
      <x:c r="C423" s="20"/>
      <x:c r="D423" s="28"/>
      <x:c r="E423" s="20"/>
      <x:c r="F423" s="25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1"/>
    </x:row>
    <x:row r="424">
      <x:c r="A424" s="19"/>
      <x:c r="B424" s="27"/>
      <x:c r="C424" s="20"/>
      <x:c r="D424" s="28"/>
      <x:c r="E424" s="20"/>
      <x:c r="F424" s="25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1"/>
    </x:row>
    <x:row r="425">
      <x:c r="A425" s="19"/>
      <x:c r="B425" s="27"/>
      <x:c r="C425" s="20"/>
      <x:c r="D425" s="28"/>
      <x:c r="E425" s="20"/>
      <x:c r="F425" s="25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1"/>
    </x:row>
    <x:row r="426">
      <x:c r="A426" s="19"/>
      <x:c r="B426" s="27"/>
      <x:c r="C426" s="20"/>
      <x:c r="D426" s="28"/>
      <x:c r="E426" s="20"/>
      <x:c r="F426" s="25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1"/>
    </x:row>
    <x:row r="427">
      <x:c r="A427" s="19"/>
      <x:c r="B427" s="27"/>
      <x:c r="C427" s="20"/>
      <x:c r="D427" s="28"/>
      <x:c r="E427" s="20"/>
      <x:c r="F427" s="25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1"/>
    </x:row>
    <x:row r="428">
      <x:c r="A428" s="19"/>
      <x:c r="B428" s="27"/>
      <x:c r="C428" s="20"/>
      <x:c r="D428" s="28"/>
      <x:c r="E428" s="20"/>
      <x:c r="F428" s="25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1"/>
    </x:row>
    <x:row r="429">
      <x:c r="A429" s="19"/>
      <x:c r="B429" s="27"/>
      <x:c r="C429" s="20"/>
      <x:c r="D429" s="28"/>
      <x:c r="E429" s="20"/>
      <x:c r="F429" s="25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1"/>
    </x:row>
    <x:row r="430">
      <x:c r="A430" s="19"/>
      <x:c r="B430" s="27"/>
      <x:c r="C430" s="20"/>
      <x:c r="D430" s="28"/>
      <x:c r="E430" s="20"/>
      <x:c r="F430" s="25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1"/>
    </x:row>
    <x:row r="431">
      <x:c r="A431" s="19"/>
      <x:c r="B431" s="27"/>
      <x:c r="C431" s="20"/>
      <x:c r="D431" s="28"/>
      <x:c r="E431" s="20"/>
      <x:c r="F431" s="25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1"/>
    </x:row>
    <x:row r="432">
      <x:c r="A432" s="19"/>
      <x:c r="B432" s="27"/>
      <x:c r="C432" s="20"/>
      <x:c r="D432" s="28"/>
      <x:c r="E432" s="20"/>
      <x:c r="F432" s="25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1"/>
    </x:row>
    <x:row r="433">
      <x:c r="A433" s="19"/>
      <x:c r="B433" s="27"/>
      <x:c r="C433" s="20"/>
      <x:c r="D433" s="28"/>
      <x:c r="E433" s="20"/>
      <x:c r="F433" s="25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1"/>
    </x:row>
    <x:row r="434">
      <x:c r="A434" s="19"/>
      <x:c r="B434" s="27"/>
      <x:c r="C434" s="20"/>
      <x:c r="D434" s="28"/>
      <x:c r="E434" s="20"/>
      <x:c r="F434" s="25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1"/>
    </x:row>
    <x:row r="435">
      <x:c r="A435" s="19"/>
      <x:c r="B435" s="27"/>
      <x:c r="C435" s="20"/>
      <x:c r="D435" s="28"/>
      <x:c r="E435" s="20"/>
      <x:c r="F435" s="25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1"/>
    </x:row>
    <x:row r="436">
      <x:c r="A436" s="19"/>
      <x:c r="B436" s="27"/>
      <x:c r="C436" s="20"/>
      <x:c r="D436" s="28"/>
      <x:c r="E436" s="20"/>
      <x:c r="F436" s="25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1"/>
    </x:row>
    <x:row r="437">
      <x:c r="A437" s="19"/>
      <x:c r="B437" s="27"/>
      <x:c r="C437" s="20"/>
      <x:c r="D437" s="28"/>
      <x:c r="E437" s="20"/>
      <x:c r="F437" s="25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1"/>
    </x:row>
    <x:row r="438">
      <x:c r="A438" s="19"/>
      <x:c r="B438" s="27"/>
      <x:c r="C438" s="20"/>
      <x:c r="D438" s="28"/>
      <x:c r="E438" s="20"/>
      <x:c r="F438" s="25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1"/>
    </x:row>
    <x:row r="439">
      <x:c r="A439" s="19"/>
      <x:c r="B439" s="27"/>
      <x:c r="C439" s="20"/>
      <x:c r="D439" s="28"/>
      <x:c r="E439" s="20"/>
      <x:c r="F439" s="25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1"/>
    </x:row>
    <x:row r="440">
      <x:c r="A440" s="19"/>
      <x:c r="B440" s="27"/>
      <x:c r="C440" s="20"/>
      <x:c r="D440" s="28"/>
      <x:c r="E440" s="20"/>
      <x:c r="F440" s="25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1"/>
    </x:row>
    <x:row r="441">
      <x:c r="A441" s="19"/>
      <x:c r="B441" s="27"/>
      <x:c r="C441" s="20"/>
      <x:c r="D441" s="28"/>
      <x:c r="E441" s="20"/>
      <x:c r="F441" s="25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1"/>
    </x:row>
    <x:row r="442">
      <x:c r="A442" s="19"/>
      <x:c r="B442" s="27"/>
      <x:c r="C442" s="20"/>
      <x:c r="D442" s="28"/>
      <x:c r="E442" s="20"/>
      <x:c r="F442" s="25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1"/>
    </x:row>
    <x:row r="443">
      <x:c r="A443" s="19"/>
      <x:c r="B443" s="27"/>
      <x:c r="C443" s="20"/>
      <x:c r="D443" s="28"/>
      <x:c r="E443" s="20"/>
      <x:c r="F443" s="25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1"/>
    </x:row>
    <x:row r="444">
      <x:c r="A444" s="19"/>
      <x:c r="B444" s="27"/>
      <x:c r="C444" s="20"/>
      <x:c r="D444" s="28"/>
      <x:c r="E444" s="20"/>
      <x:c r="F444" s="25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1"/>
    </x:row>
    <x:row r="445">
      <x:c r="A445" s="19"/>
      <x:c r="B445" s="27"/>
      <x:c r="C445" s="20"/>
      <x:c r="D445" s="28"/>
      <x:c r="E445" s="20"/>
      <x:c r="F445" s="25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1"/>
    </x:row>
    <x:row r="446">
      <x:c r="A446" s="19"/>
      <x:c r="B446" s="27"/>
      <x:c r="C446" s="20"/>
      <x:c r="D446" s="28"/>
      <x:c r="E446" s="20"/>
      <x:c r="F446" s="25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1"/>
    </x:row>
    <x:row r="447">
      <x:c r="A447" s="19"/>
      <x:c r="B447" s="27"/>
      <x:c r="C447" s="20"/>
      <x:c r="D447" s="28"/>
      <x:c r="E447" s="20"/>
      <x:c r="F447" s="25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1"/>
    </x:row>
    <x:row r="448">
      <x:c r="A448" s="19"/>
      <x:c r="B448" s="27"/>
      <x:c r="C448" s="20"/>
      <x:c r="D448" s="28"/>
      <x:c r="E448" s="20"/>
      <x:c r="F448" s="25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1"/>
    </x:row>
    <x:row r="449">
      <x:c r="A449" s="19"/>
      <x:c r="B449" s="27"/>
      <x:c r="C449" s="20"/>
      <x:c r="D449" s="28"/>
      <x:c r="E449" s="20"/>
      <x:c r="F449" s="25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1"/>
    </x:row>
    <x:row r="450">
      <x:c r="A450" s="19"/>
      <x:c r="B450" s="27"/>
      <x:c r="C450" s="20"/>
      <x:c r="D450" s="28"/>
      <x:c r="E450" s="20"/>
      <x:c r="F450" s="25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1"/>
    </x:row>
    <x:row r="451">
      <x:c r="A451" s="19"/>
      <x:c r="B451" s="27"/>
      <x:c r="C451" s="20"/>
      <x:c r="D451" s="28"/>
      <x:c r="E451" s="20"/>
      <x:c r="F451" s="25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1"/>
    </x:row>
    <x:row r="452">
      <x:c r="A452" s="19"/>
      <x:c r="B452" s="27"/>
      <x:c r="C452" s="20"/>
      <x:c r="D452" s="28"/>
      <x:c r="E452" s="20"/>
      <x:c r="F452" s="25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1"/>
    </x:row>
    <x:row r="453">
      <x:c r="A453" s="19"/>
      <x:c r="B453" s="27"/>
      <x:c r="C453" s="20"/>
      <x:c r="D453" s="28"/>
      <x:c r="E453" s="20"/>
      <x:c r="F453" s="25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1"/>
    </x:row>
    <x:row r="454">
      <x:c r="A454" s="19"/>
      <x:c r="B454" s="27"/>
      <x:c r="C454" s="20"/>
      <x:c r="D454" s="28"/>
      <x:c r="E454" s="20"/>
      <x:c r="F454" s="25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1"/>
    </x:row>
    <x:row r="455">
      <x:c r="A455" s="19"/>
      <x:c r="B455" s="27"/>
      <x:c r="C455" s="20"/>
      <x:c r="D455" s="28"/>
      <x:c r="E455" s="20"/>
      <x:c r="F455" s="25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1"/>
    </x:row>
    <x:row r="456">
      <x:c r="A456" s="19"/>
      <x:c r="B456" s="27"/>
      <x:c r="C456" s="20"/>
      <x:c r="D456" s="28"/>
      <x:c r="E456" s="20"/>
      <x:c r="F456" s="25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1"/>
    </x:row>
    <x:row r="457">
      <x:c r="A457" s="19"/>
      <x:c r="B457" s="27"/>
      <x:c r="C457" s="20"/>
      <x:c r="D457" s="28"/>
      <x:c r="E457" s="20"/>
      <x:c r="F457" s="25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1"/>
    </x:row>
    <x:row r="458">
      <x:c r="A458" s="19"/>
      <x:c r="B458" s="27"/>
      <x:c r="C458" s="20"/>
      <x:c r="D458" s="28"/>
      <x:c r="E458" s="20"/>
      <x:c r="F458" s="25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1"/>
    </x:row>
    <x:row r="459">
      <x:c r="A459" s="19"/>
      <x:c r="B459" s="27"/>
      <x:c r="C459" s="20"/>
      <x:c r="D459" s="28"/>
      <x:c r="E459" s="20"/>
      <x:c r="F459" s="25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1"/>
    </x:row>
    <x:row r="460">
      <x:c r="A460" s="19"/>
      <x:c r="B460" s="27"/>
      <x:c r="C460" s="20"/>
      <x:c r="D460" s="28"/>
      <x:c r="E460" s="20"/>
      <x:c r="F460" s="25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1"/>
    </x:row>
    <x:row r="461">
      <x:c r="A461" s="19"/>
      <x:c r="B461" s="27"/>
      <x:c r="C461" s="20"/>
      <x:c r="D461" s="28"/>
      <x:c r="E461" s="20"/>
      <x:c r="F461" s="25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1"/>
    </x:row>
    <x:row r="462">
      <x:c r="A462" s="19"/>
      <x:c r="B462" s="27"/>
      <x:c r="C462" s="20"/>
      <x:c r="D462" s="28"/>
      <x:c r="E462" s="20"/>
      <x:c r="F462" s="25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1"/>
    </x:row>
    <x:row r="463">
      <x:c r="A463" s="19"/>
      <x:c r="B463" s="27"/>
      <x:c r="C463" s="20"/>
      <x:c r="D463" s="28"/>
      <x:c r="E463" s="20"/>
      <x:c r="F463" s="25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1"/>
    </x:row>
    <x:row r="464">
      <x:c r="A464" s="19"/>
      <x:c r="B464" s="27"/>
      <x:c r="C464" s="20"/>
      <x:c r="D464" s="28"/>
      <x:c r="E464" s="20"/>
      <x:c r="F464" s="25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1"/>
    </x:row>
    <x:row r="465">
      <x:c r="A465" s="19"/>
      <x:c r="B465" s="27"/>
      <x:c r="C465" s="20"/>
      <x:c r="D465" s="28"/>
      <x:c r="E465" s="20"/>
      <x:c r="F465" s="25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1"/>
    </x:row>
    <x:row r="466">
      <x:c r="A466" s="19"/>
      <x:c r="B466" s="27"/>
      <x:c r="C466" s="20"/>
      <x:c r="D466" s="28"/>
      <x:c r="E466" s="20"/>
      <x:c r="F466" s="25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1"/>
    </x:row>
    <x:row r="467">
      <x:c r="A467" s="19"/>
      <x:c r="B467" s="27"/>
      <x:c r="C467" s="20"/>
      <x:c r="D467" s="28"/>
      <x:c r="E467" s="20"/>
      <x:c r="F467" s="25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1"/>
    </x:row>
    <x:row r="468">
      <x:c r="A468" s="19"/>
      <x:c r="B468" s="27"/>
      <x:c r="C468" s="20"/>
      <x:c r="D468" s="28"/>
      <x:c r="E468" s="20"/>
      <x:c r="F468" s="25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1"/>
    </x:row>
    <x:row r="469">
      <x:c r="A469" s="19"/>
      <x:c r="B469" s="27"/>
      <x:c r="C469" s="20"/>
      <x:c r="D469" s="28"/>
      <x:c r="E469" s="20"/>
      <x:c r="F469" s="25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1"/>
    </x:row>
    <x:row r="470">
      <x:c r="A470" s="19"/>
      <x:c r="B470" s="27"/>
      <x:c r="C470" s="20"/>
      <x:c r="D470" s="28"/>
      <x:c r="E470" s="20"/>
      <x:c r="F470" s="25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1"/>
    </x:row>
    <x:row r="471">
      <x:c r="A471" s="19"/>
      <x:c r="B471" s="27"/>
      <x:c r="C471" s="20"/>
      <x:c r="D471" s="28"/>
      <x:c r="E471" s="20"/>
      <x:c r="F471" s="25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1"/>
    </x:row>
    <x:row r="472">
      <x:c r="A472" s="19"/>
      <x:c r="B472" s="27"/>
      <x:c r="C472" s="20"/>
      <x:c r="D472" s="28"/>
      <x:c r="E472" s="20"/>
      <x:c r="F472" s="25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1"/>
    </x:row>
    <x:row r="473">
      <x:c r="A473" s="19"/>
      <x:c r="B473" s="27"/>
      <x:c r="C473" s="20"/>
      <x:c r="D473" s="28"/>
      <x:c r="E473" s="20"/>
      <x:c r="F473" s="25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1"/>
    </x:row>
    <x:row r="474">
      <x:c r="A474" s="19"/>
      <x:c r="B474" s="27"/>
      <x:c r="C474" s="20"/>
      <x:c r="D474" s="28"/>
      <x:c r="E474" s="20"/>
      <x:c r="F474" s="25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1"/>
    </x:row>
    <x:row r="475">
      <x:c r="A475" s="19"/>
      <x:c r="B475" s="27"/>
      <x:c r="C475" s="20"/>
      <x:c r="D475" s="28"/>
      <x:c r="E475" s="20"/>
      <x:c r="F475" s="25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1"/>
    </x:row>
    <x:row r="476">
      <x:c r="A476" s="19"/>
      <x:c r="B476" s="27"/>
      <x:c r="C476" s="20"/>
      <x:c r="D476" s="28"/>
      <x:c r="E476" s="20"/>
      <x:c r="F476" s="25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1"/>
    </x:row>
    <x:row r="477">
      <x:c r="A477" s="19"/>
      <x:c r="B477" s="27"/>
      <x:c r="C477" s="20"/>
      <x:c r="D477" s="28"/>
      <x:c r="E477" s="20"/>
      <x:c r="F477" s="25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1"/>
    </x:row>
    <x:row r="478">
      <x:c r="A478" s="19"/>
      <x:c r="B478" s="27"/>
      <x:c r="C478" s="20"/>
      <x:c r="D478" s="28"/>
      <x:c r="E478" s="20"/>
      <x:c r="F478" s="25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1"/>
    </x:row>
    <x:row r="479">
      <x:c r="A479" s="19"/>
      <x:c r="B479" s="27"/>
      <x:c r="C479" s="20"/>
      <x:c r="D479" s="28"/>
      <x:c r="E479" s="20"/>
      <x:c r="F479" s="25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1"/>
    </x:row>
    <x:row r="480">
      <x:c r="A480" s="19"/>
      <x:c r="B480" s="27"/>
      <x:c r="C480" s="20"/>
      <x:c r="D480" s="28"/>
      <x:c r="E480" s="20"/>
      <x:c r="F480" s="25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1"/>
    </x:row>
    <x:row r="481">
      <x:c r="A481" s="19"/>
      <x:c r="B481" s="27"/>
      <x:c r="C481" s="20"/>
      <x:c r="D481" s="28"/>
      <x:c r="E481" s="20"/>
      <x:c r="F481" s="25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1"/>
    </x:row>
    <x:row r="482">
      <x:c r="A482" s="19"/>
      <x:c r="B482" s="27"/>
      <x:c r="C482" s="20"/>
      <x:c r="D482" s="28"/>
      <x:c r="E482" s="20"/>
      <x:c r="F482" s="25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1"/>
    </x:row>
    <x:row r="483">
      <x:c r="A483" s="19"/>
      <x:c r="B483" s="27"/>
      <x:c r="C483" s="20"/>
      <x:c r="D483" s="28"/>
      <x:c r="E483" s="20"/>
      <x:c r="F483" s="25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1"/>
    </x:row>
    <x:row r="484">
      <x:c r="A484" s="19"/>
      <x:c r="B484" s="27"/>
      <x:c r="C484" s="20"/>
      <x:c r="D484" s="28"/>
      <x:c r="E484" s="20"/>
      <x:c r="F484" s="25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1"/>
    </x:row>
    <x:row r="485">
      <x:c r="A485" s="19"/>
      <x:c r="B485" s="27"/>
      <x:c r="C485" s="20"/>
      <x:c r="D485" s="28"/>
      <x:c r="E485" s="20"/>
      <x:c r="F485" s="25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1"/>
    </x:row>
    <x:row r="486">
      <x:c r="A486" s="19"/>
      <x:c r="B486" s="27"/>
      <x:c r="C486" s="20"/>
      <x:c r="D486" s="28"/>
      <x:c r="E486" s="20"/>
      <x:c r="F486" s="25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1"/>
    </x:row>
    <x:row r="487">
      <x:c r="A487" s="19"/>
      <x:c r="B487" s="27"/>
      <x:c r="C487" s="20"/>
      <x:c r="D487" s="28"/>
      <x:c r="E487" s="20"/>
      <x:c r="F487" s="25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1"/>
    </x:row>
    <x:row r="488">
      <x:c r="A488" s="19"/>
      <x:c r="B488" s="27"/>
      <x:c r="C488" s="20"/>
      <x:c r="D488" s="28"/>
      <x:c r="E488" s="20"/>
      <x:c r="F488" s="25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1"/>
    </x:row>
    <x:row r="489">
      <x:c r="A489" s="19"/>
      <x:c r="B489" s="27"/>
      <x:c r="C489" s="20"/>
      <x:c r="D489" s="28"/>
      <x:c r="E489" s="20"/>
      <x:c r="F489" s="25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1"/>
    </x:row>
    <x:row r="490">
      <x:c r="A490" s="19"/>
      <x:c r="B490" s="27"/>
      <x:c r="C490" s="20"/>
      <x:c r="D490" s="28"/>
      <x:c r="E490" s="20"/>
      <x:c r="F490" s="25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1"/>
    </x:row>
    <x:row r="491">
      <x:c r="A491" s="19"/>
      <x:c r="B491" s="27"/>
      <x:c r="C491" s="20"/>
      <x:c r="D491" s="28"/>
      <x:c r="E491" s="20"/>
      <x:c r="F491" s="25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1"/>
    </x:row>
    <x:row r="492">
      <x:c r="A492" s="19"/>
      <x:c r="B492" s="27"/>
      <x:c r="C492" s="20"/>
      <x:c r="D492" s="28"/>
      <x:c r="E492" s="20"/>
      <x:c r="F492" s="25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1"/>
    </x:row>
    <x:row r="493">
      <x:c r="A493" s="19"/>
      <x:c r="B493" s="27"/>
      <x:c r="C493" s="20"/>
      <x:c r="D493" s="28"/>
      <x:c r="E493" s="20"/>
      <x:c r="F493" s="25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1"/>
    </x:row>
    <x:row r="494">
      <x:c r="A494" s="19"/>
      <x:c r="B494" s="27"/>
      <x:c r="C494" s="20"/>
      <x:c r="D494" s="28"/>
      <x:c r="E494" s="20"/>
      <x:c r="F494" s="25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1"/>
    </x:row>
    <x:row r="495">
      <x:c r="A495" s="19"/>
      <x:c r="B495" s="27"/>
      <x:c r="C495" s="20"/>
      <x:c r="D495" s="28"/>
      <x:c r="E495" s="20"/>
      <x:c r="F495" s="25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1"/>
    </x:row>
    <x:row r="496">
      <x:c r="A496" s="19"/>
      <x:c r="B496" s="27"/>
      <x:c r="C496" s="20"/>
      <x:c r="D496" s="28"/>
      <x:c r="E496" s="20"/>
      <x:c r="F496" s="25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1"/>
    </x:row>
    <x:row r="497">
      <x:c r="A497" s="19"/>
      <x:c r="B497" s="27"/>
      <x:c r="C497" s="20"/>
      <x:c r="D497" s="28"/>
      <x:c r="E497" s="20"/>
      <x:c r="F497" s="25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1"/>
    </x:row>
    <x:row r="498">
      <x:c r="A498" s="19"/>
      <x:c r="B498" s="27"/>
      <x:c r="C498" s="20"/>
      <x:c r="D498" s="28"/>
      <x:c r="E498" s="20"/>
      <x:c r="F498" s="25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1"/>
    </x:row>
    <x:row r="499">
      <x:c r="A499" s="19"/>
      <x:c r="B499" s="27"/>
      <x:c r="C499" s="20"/>
      <x:c r="D499" s="28"/>
      <x:c r="E499" s="20"/>
      <x:c r="F499" s="25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1"/>
    </x:row>
    <x:row r="500">
      <x:c r="A500" s="19"/>
      <x:c r="B500" s="27"/>
      <x:c r="C500" s="20"/>
      <x:c r="D500" s="28"/>
      <x:c r="E500" s="20"/>
      <x:c r="F500" s="25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1"/>
    </x:row>
    <x:row r="501">
      <x:c r="A501" s="19"/>
      <x:c r="B501" s="27"/>
      <x:c r="C501" s="20"/>
      <x:c r="D501" s="28"/>
      <x:c r="E501" s="20"/>
      <x:c r="F501" s="25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1"/>
    </x:row>
    <x:row r="502">
      <x:c r="A502" s="19"/>
      <x:c r="B502" s="27"/>
      <x:c r="C502" s="20"/>
      <x:c r="D502" s="28"/>
      <x:c r="E502" s="20"/>
      <x:c r="F502" s="25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1"/>
    </x:row>
    <x:row r="503">
      <x:c r="A503" s="19"/>
      <x:c r="B503" s="27"/>
      <x:c r="C503" s="20"/>
      <x:c r="D503" s="28"/>
      <x:c r="E503" s="20"/>
      <x:c r="F503" s="25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1"/>
    </x:row>
    <x:row r="504">
      <x:c r="A504" s="19"/>
      <x:c r="B504" s="27"/>
      <x:c r="C504" s="20"/>
      <x:c r="D504" s="28"/>
      <x:c r="E504" s="20"/>
      <x:c r="F504" s="25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1"/>
    </x:row>
    <x:row r="505">
      <x:c r="A505" s="19"/>
      <x:c r="B505" s="27"/>
      <x:c r="C505" s="20"/>
      <x:c r="D505" s="28"/>
      <x:c r="E505" s="20"/>
      <x:c r="F505" s="25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1"/>
    </x:row>
    <x:row r="506">
      <x:c r="A506" s="19"/>
      <x:c r="B506" s="27"/>
      <x:c r="C506" s="20"/>
      <x:c r="D506" s="28"/>
      <x:c r="E506" s="20"/>
      <x:c r="F506" s="25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1"/>
    </x:row>
    <x:row r="507">
      <x:c r="A507" s="19"/>
      <x:c r="B507" s="27"/>
      <x:c r="C507" s="20"/>
      <x:c r="D507" s="28"/>
      <x:c r="E507" s="20"/>
      <x:c r="F507" s="25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1"/>
    </x:row>
    <x:row r="508">
      <x:c r="A508" s="19"/>
      <x:c r="B508" s="27"/>
      <x:c r="C508" s="20"/>
      <x:c r="D508" s="28"/>
      <x:c r="E508" s="20"/>
      <x:c r="F508" s="25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1"/>
    </x:row>
    <x:row r="509">
      <x:c r="A509" s="19"/>
      <x:c r="B509" s="27"/>
      <x:c r="C509" s="20"/>
      <x:c r="D509" s="28"/>
      <x:c r="E509" s="20"/>
      <x:c r="F509" s="25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1"/>
    </x:row>
    <x:row r="510">
      <x:c r="A510" s="19"/>
      <x:c r="B510" s="27"/>
      <x:c r="C510" s="20"/>
      <x:c r="D510" s="28"/>
      <x:c r="E510" s="20"/>
      <x:c r="F510" s="25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1"/>
    </x:row>
    <x:row r="511">
      <x:c r="A511" s="19"/>
      <x:c r="B511" s="27"/>
      <x:c r="C511" s="20"/>
      <x:c r="D511" s="28"/>
      <x:c r="E511" s="20"/>
      <x:c r="F511" s="25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1"/>
    </x:row>
    <x:row r="512">
      <x:c r="A512" s="19"/>
      <x:c r="B512" s="27"/>
      <x:c r="C512" s="20"/>
      <x:c r="D512" s="28"/>
      <x:c r="E512" s="20"/>
      <x:c r="F512" s="25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1"/>
    </x:row>
    <x:row r="513">
      <x:c r="A513" s="19"/>
      <x:c r="B513" s="27"/>
      <x:c r="C513" s="20"/>
      <x:c r="D513" s="28"/>
      <x:c r="E513" s="20"/>
      <x:c r="F513" s="25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1"/>
    </x:row>
    <x:row r="514">
      <x:c r="A514" s="19"/>
      <x:c r="B514" s="27"/>
      <x:c r="C514" s="20"/>
      <x:c r="D514" s="28"/>
      <x:c r="E514" s="20"/>
      <x:c r="F514" s="25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1"/>
    </x:row>
    <x:row r="515">
      <x:c r="A515" s="19"/>
      <x:c r="B515" s="27"/>
      <x:c r="C515" s="20"/>
      <x:c r="D515" s="28"/>
      <x:c r="E515" s="20"/>
      <x:c r="F515" s="25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1"/>
    </x:row>
    <x:row r="516">
      <x:c r="A516" s="19"/>
      <x:c r="B516" s="27"/>
      <x:c r="C516" s="20"/>
      <x:c r="D516" s="28"/>
      <x:c r="E516" s="20"/>
      <x:c r="F516" s="25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1"/>
    </x:row>
    <x:row r="517">
      <x:c r="A517" s="19"/>
      <x:c r="B517" s="27"/>
      <x:c r="C517" s="20"/>
      <x:c r="D517" s="28"/>
      <x:c r="E517" s="20"/>
      <x:c r="F517" s="25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1"/>
    </x:row>
    <x:row r="518">
      <x:c r="A518" s="19"/>
      <x:c r="B518" s="27"/>
      <x:c r="C518" s="20"/>
      <x:c r="D518" s="28"/>
      <x:c r="E518" s="20"/>
      <x:c r="F518" s="25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1"/>
    </x:row>
    <x:row r="519">
      <x:c r="A519" s="19"/>
      <x:c r="B519" s="27"/>
      <x:c r="C519" s="20"/>
      <x:c r="D519" s="28"/>
      <x:c r="E519" s="20"/>
      <x:c r="F519" s="25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1"/>
    </x:row>
    <x:row r="520">
      <x:c r="A520" s="19"/>
      <x:c r="B520" s="27"/>
      <x:c r="C520" s="20"/>
      <x:c r="D520" s="28"/>
      <x:c r="E520" s="20"/>
      <x:c r="F520" s="25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1"/>
    </x:row>
    <x:row r="521">
      <x:c r="A521" s="19"/>
      <x:c r="B521" s="27"/>
      <x:c r="C521" s="20"/>
      <x:c r="D521" s="28"/>
      <x:c r="E521" s="20"/>
      <x:c r="F521" s="25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1"/>
    </x:row>
    <x:row r="522">
      <x:c r="A522" s="19"/>
      <x:c r="B522" s="27"/>
      <x:c r="C522" s="20"/>
      <x:c r="D522" s="28"/>
      <x:c r="E522" s="20"/>
      <x:c r="F522" s="25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1"/>
    </x:row>
    <x:row r="523">
      <x:c r="A523" s="19"/>
      <x:c r="B523" s="27"/>
      <x:c r="C523" s="20"/>
      <x:c r="D523" s="28"/>
      <x:c r="E523" s="20"/>
      <x:c r="F523" s="25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1"/>
    </x:row>
    <x:row r="524">
      <x:c r="A524" s="19"/>
      <x:c r="B524" s="27"/>
      <x:c r="C524" s="20"/>
      <x:c r="D524" s="28"/>
      <x:c r="E524" s="20"/>
      <x:c r="F524" s="25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1"/>
    </x:row>
    <x:row r="525">
      <x:c r="A525" s="19"/>
      <x:c r="B525" s="27"/>
      <x:c r="C525" s="20"/>
      <x:c r="D525" s="28"/>
      <x:c r="E525" s="20"/>
      <x:c r="F525" s="25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1"/>
    </x:row>
    <x:row r="526">
      <x:c r="A526" s="19"/>
      <x:c r="B526" s="27"/>
      <x:c r="C526" s="20"/>
      <x:c r="D526" s="28"/>
      <x:c r="E526" s="20"/>
      <x:c r="F526" s="25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1"/>
    </x:row>
    <x:row r="527">
      <x:c r="A527" s="19"/>
      <x:c r="B527" s="27"/>
      <x:c r="C527" s="20"/>
      <x:c r="D527" s="28"/>
      <x:c r="E527" s="20"/>
      <x:c r="F527" s="25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1"/>
    </x:row>
    <x:row r="528">
      <x:c r="A528" s="19"/>
      <x:c r="B528" s="27"/>
      <x:c r="C528" s="20"/>
      <x:c r="D528" s="28"/>
      <x:c r="E528" s="20"/>
      <x:c r="F528" s="25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1"/>
    </x:row>
    <x:row r="529">
      <x:c r="A529" s="19"/>
      <x:c r="B529" s="27"/>
      <x:c r="C529" s="20"/>
      <x:c r="D529" s="28"/>
      <x:c r="E529" s="20"/>
      <x:c r="F529" s="25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1"/>
    </x:row>
    <x:row r="530">
      <x:c r="A530" s="19"/>
      <x:c r="B530" s="27"/>
      <x:c r="C530" s="20"/>
      <x:c r="D530" s="28"/>
      <x:c r="E530" s="20"/>
      <x:c r="F530" s="25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1"/>
    </x:row>
    <x:row r="531">
      <x:c r="A531" s="19"/>
      <x:c r="B531" s="27"/>
      <x:c r="C531" s="20"/>
      <x:c r="D531" s="28"/>
      <x:c r="E531" s="20"/>
      <x:c r="F531" s="25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1"/>
    </x:row>
    <x:row r="532">
      <x:c r="A532" s="19"/>
      <x:c r="B532" s="27"/>
      <x:c r="C532" s="20"/>
      <x:c r="D532" s="28"/>
      <x:c r="E532" s="20"/>
      <x:c r="F532" s="25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1"/>
    </x:row>
    <x:row r="533">
      <x:c r="A533" s="19"/>
      <x:c r="B533" s="27"/>
      <x:c r="C533" s="20"/>
      <x:c r="D533" s="28"/>
      <x:c r="E533" s="20"/>
      <x:c r="F533" s="25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1"/>
    </x:row>
    <x:row r="534">
      <x:c r="A534" s="19"/>
      <x:c r="B534" s="27"/>
      <x:c r="C534" s="20"/>
      <x:c r="D534" s="28"/>
      <x:c r="E534" s="20"/>
      <x:c r="F534" s="25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1"/>
    </x:row>
    <x:row r="535">
      <x:c r="A535" s="19"/>
      <x:c r="B535" s="27"/>
      <x:c r="C535" s="20"/>
      <x:c r="D535" s="28"/>
      <x:c r="E535" s="20"/>
      <x:c r="F535" s="25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1"/>
    </x:row>
    <x:row r="536">
      <x:c r="A536" s="19"/>
      <x:c r="B536" s="27"/>
      <x:c r="C536" s="20"/>
      <x:c r="D536" s="28"/>
      <x:c r="E536" s="20"/>
      <x:c r="F536" s="25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1"/>
    </x:row>
    <x:row r="537">
      <x:c r="A537" s="19"/>
      <x:c r="B537" s="27"/>
      <x:c r="C537" s="20"/>
      <x:c r="D537" s="28"/>
      <x:c r="E537" s="20"/>
      <x:c r="F537" s="25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1"/>
    </x:row>
    <x:row r="538">
      <x:c r="A538" s="19"/>
      <x:c r="B538" s="27"/>
      <x:c r="C538" s="20"/>
      <x:c r="D538" s="28"/>
      <x:c r="E538" s="20"/>
      <x:c r="F538" s="25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1"/>
    </x:row>
    <x:row r="539">
      <x:c r="A539" s="19"/>
      <x:c r="B539" s="27"/>
      <x:c r="C539" s="20"/>
      <x:c r="D539" s="28"/>
      <x:c r="E539" s="20"/>
      <x:c r="F539" s="25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1"/>
    </x:row>
    <x:row r="540">
      <x:c r="A540" s="19"/>
      <x:c r="B540" s="27"/>
      <x:c r="C540" s="20"/>
      <x:c r="D540" s="28"/>
      <x:c r="E540" s="20"/>
      <x:c r="F540" s="25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1"/>
    </x:row>
    <x:row r="541">
      <x:c r="A541" s="19"/>
      <x:c r="B541" s="27"/>
      <x:c r="C541" s="20"/>
      <x:c r="D541" s="28"/>
      <x:c r="E541" s="20"/>
      <x:c r="F541" s="25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1"/>
    </x:row>
    <x:row r="542">
      <x:c r="A542" s="19"/>
      <x:c r="B542" s="27"/>
      <x:c r="C542" s="20"/>
      <x:c r="D542" s="28"/>
      <x:c r="E542" s="20"/>
      <x:c r="F542" s="25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1"/>
    </x:row>
    <x:row r="543">
      <x:c r="A543" s="19"/>
      <x:c r="B543" s="27"/>
      <x:c r="C543" s="20"/>
      <x:c r="D543" s="28"/>
      <x:c r="E543" s="20"/>
      <x:c r="F543" s="25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1"/>
    </x:row>
    <x:row r="544">
      <x:c r="A544" s="19"/>
      <x:c r="B544" s="27"/>
      <x:c r="C544" s="20"/>
      <x:c r="D544" s="28"/>
      <x:c r="E544" s="20"/>
      <x:c r="F544" s="25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1"/>
    </x:row>
    <x:row r="545">
      <x:c r="A545" s="19"/>
      <x:c r="B545" s="27"/>
      <x:c r="C545" s="20"/>
      <x:c r="D545" s="28"/>
      <x:c r="E545" s="20"/>
      <x:c r="F545" s="25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1"/>
    </x:row>
    <x:row r="546">
      <x:c r="A546" s="19"/>
      <x:c r="B546" s="27"/>
      <x:c r="C546" s="20"/>
      <x:c r="D546" s="28"/>
      <x:c r="E546" s="20"/>
      <x:c r="F546" s="25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1"/>
    </x:row>
    <x:row r="547">
      <x:c r="A547" s="19"/>
      <x:c r="B547" s="27"/>
      <x:c r="C547" s="20"/>
      <x:c r="D547" s="28"/>
      <x:c r="E547" s="20"/>
      <x:c r="F547" s="25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1"/>
    </x:row>
    <x:row r="548">
      <x:c r="A548" s="19"/>
      <x:c r="B548" s="27"/>
      <x:c r="C548" s="20"/>
      <x:c r="D548" s="28"/>
      <x:c r="E548" s="20"/>
      <x:c r="F548" s="25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1"/>
    </x:row>
    <x:row r="549">
      <x:c r="A549" s="19"/>
      <x:c r="B549" s="27"/>
      <x:c r="C549" s="20"/>
      <x:c r="D549" s="28"/>
      <x:c r="E549" s="20"/>
      <x:c r="F549" s="25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1"/>
    </x:row>
    <x:row r="550">
      <x:c r="A550" s="19"/>
      <x:c r="B550" s="27"/>
      <x:c r="C550" s="20"/>
      <x:c r="D550" s="28"/>
      <x:c r="E550" s="20"/>
      <x:c r="F550" s="25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1"/>
    </x:row>
    <x:row r="551">
      <x:c r="A551" s="19"/>
      <x:c r="B551" s="27"/>
      <x:c r="C551" s="20"/>
      <x:c r="D551" s="28"/>
      <x:c r="E551" s="20"/>
      <x:c r="F551" s="25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1"/>
    </x:row>
    <x:row r="552">
      <x:c r="A552" s="19"/>
      <x:c r="B552" s="27"/>
      <x:c r="C552" s="20"/>
      <x:c r="D552" s="28"/>
      <x:c r="E552" s="20"/>
      <x:c r="F552" s="25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1"/>
    </x:row>
    <x:row r="553">
      <x:c r="A553" s="19"/>
      <x:c r="B553" s="27"/>
      <x:c r="C553" s="20"/>
      <x:c r="D553" s="28"/>
      <x:c r="E553" s="20"/>
      <x:c r="F553" s="25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1"/>
    </x:row>
    <x:row r="554">
      <x:c r="A554" s="19"/>
      <x:c r="B554" s="27"/>
      <x:c r="C554" s="20"/>
      <x:c r="D554" s="28"/>
      <x:c r="E554" s="20"/>
      <x:c r="F554" s="25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1"/>
    </x:row>
    <x:row r="555">
      <x:c r="A555" s="19"/>
      <x:c r="B555" s="27"/>
      <x:c r="C555" s="20"/>
      <x:c r="D555" s="28"/>
      <x:c r="E555" s="20"/>
      <x:c r="F555" s="25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1"/>
    </x:row>
    <x:row r="556">
      <x:c r="A556" s="19"/>
      <x:c r="B556" s="27"/>
      <x:c r="C556" s="20"/>
      <x:c r="D556" s="28"/>
      <x:c r="E556" s="20"/>
      <x:c r="F556" s="25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1"/>
    </x:row>
    <x:row r="557">
      <x:c r="A557" s="19"/>
      <x:c r="B557" s="27"/>
      <x:c r="C557" s="20"/>
      <x:c r="D557" s="28"/>
      <x:c r="E557" s="20"/>
      <x:c r="F557" s="25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1"/>
    </x:row>
    <x:row r="558">
      <x:c r="A558" s="19"/>
      <x:c r="B558" s="27"/>
      <x:c r="C558" s="20"/>
      <x:c r="D558" s="28"/>
      <x:c r="E558" s="20"/>
      <x:c r="F558" s="25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1"/>
    </x:row>
    <x:row r="559">
      <x:c r="A559" s="19"/>
      <x:c r="B559" s="27"/>
      <x:c r="C559" s="20"/>
      <x:c r="D559" s="28"/>
      <x:c r="E559" s="20"/>
      <x:c r="F559" s="25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1"/>
    </x:row>
    <x:row r="560">
      <x:c r="A560" s="19"/>
      <x:c r="B560" s="27"/>
      <x:c r="C560" s="20"/>
      <x:c r="D560" s="28"/>
      <x:c r="E560" s="20"/>
      <x:c r="F560" s="25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1"/>
    </x:row>
    <x:row r="561">
      <x:c r="A561" s="19"/>
      <x:c r="B561" s="27"/>
      <x:c r="C561" s="20"/>
      <x:c r="D561" s="28"/>
      <x:c r="E561" s="20"/>
      <x:c r="F561" s="25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1"/>
    </x:row>
    <x:row r="562">
      <x:c r="A562" s="19"/>
      <x:c r="B562" s="27"/>
      <x:c r="C562" s="20"/>
      <x:c r="D562" s="28"/>
      <x:c r="E562" s="20"/>
      <x:c r="F562" s="25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1"/>
    </x:row>
    <x:row r="563">
      <x:c r="A563" s="19"/>
      <x:c r="B563" s="27"/>
      <x:c r="C563" s="20"/>
      <x:c r="D563" s="28"/>
      <x:c r="E563" s="20"/>
      <x:c r="F563" s="25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1"/>
    </x:row>
    <x:row r="564">
      <x:c r="A564" s="19"/>
      <x:c r="B564" s="27"/>
      <x:c r="C564" s="20"/>
      <x:c r="D564" s="28"/>
      <x:c r="E564" s="20"/>
      <x:c r="F564" s="25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1"/>
    </x:row>
    <x:row r="565">
      <x:c r="A565" s="19"/>
      <x:c r="B565" s="27"/>
      <x:c r="C565" s="20"/>
      <x:c r="D565" s="28"/>
      <x:c r="E565" s="20"/>
      <x:c r="F565" s="25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1"/>
    </x:row>
    <x:row r="566">
      <x:c r="A566" s="19"/>
      <x:c r="B566" s="27"/>
      <x:c r="C566" s="20"/>
      <x:c r="D566" s="28"/>
      <x:c r="E566" s="20"/>
      <x:c r="F566" s="25"/>
      <x:c r="G566" s="20"/>
      <x:c r="H566" s="20"/>
      <x:c r="I566" s="20"/>
      <x:c r="J566" s="20"/>
      <x:c r="K566" s="20"/>
      <x:c r="L566" s="20"/>
      <x:c r="M566" s="20"/>
      <x:c r="N566" s="20"/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  <x:c r="Y566" s="21"/>
    </x:row>
    <x:row r="567">
      <x:c r="A567" s="19"/>
      <x:c r="B567" s="27"/>
      <x:c r="C567" s="20"/>
      <x:c r="D567" s="28"/>
      <x:c r="E567" s="20"/>
      <x:c r="F567" s="25"/>
      <x:c r="G567" s="20"/>
      <x:c r="H567" s="20"/>
      <x:c r="I567" s="20"/>
      <x:c r="J567" s="20"/>
      <x:c r="K567" s="20"/>
      <x:c r="L567" s="20"/>
      <x:c r="M567" s="20"/>
      <x:c r="N567" s="20"/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  <x:c r="Y567" s="21"/>
    </x:row>
    <x:row r="568">
      <x:c r="A568" s="19"/>
      <x:c r="B568" s="27"/>
      <x:c r="C568" s="20"/>
      <x:c r="D568" s="28"/>
      <x:c r="E568" s="20"/>
      <x:c r="F568" s="25"/>
      <x:c r="G568" s="20"/>
      <x:c r="H568" s="20"/>
      <x:c r="I568" s="20"/>
      <x:c r="J568" s="20"/>
      <x:c r="K568" s="20"/>
      <x:c r="L568" s="20"/>
      <x:c r="M568" s="20"/>
      <x:c r="N568" s="20"/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  <x:c r="Y568" s="21"/>
    </x:row>
    <x:row r="569">
      <x:c r="A569" s="19"/>
      <x:c r="B569" s="27"/>
      <x:c r="C569" s="20"/>
      <x:c r="D569" s="28"/>
      <x:c r="E569" s="20"/>
      <x:c r="F569" s="25"/>
      <x:c r="G569" s="20"/>
      <x:c r="H569" s="20"/>
      <x:c r="I569" s="20"/>
      <x:c r="J569" s="20"/>
      <x:c r="K569" s="20"/>
      <x:c r="L569" s="20"/>
      <x:c r="M569" s="20"/>
      <x:c r="N569" s="20"/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  <x:c r="Y569" s="21"/>
    </x:row>
    <x:row r="570">
      <x:c r="A570" s="19"/>
      <x:c r="B570" s="27"/>
      <x:c r="C570" s="20"/>
      <x:c r="D570" s="28"/>
      <x:c r="E570" s="20"/>
      <x:c r="F570" s="25"/>
      <x:c r="G570" s="20"/>
      <x:c r="H570" s="20"/>
      <x:c r="I570" s="20"/>
      <x:c r="J570" s="20"/>
      <x:c r="K570" s="20"/>
      <x:c r="L570" s="20"/>
      <x:c r="M570" s="20"/>
      <x:c r="N570" s="20"/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  <x:c r="Y570" s="21"/>
    </x:row>
    <x:row r="571">
      <x:c r="A571" s="19"/>
      <x:c r="B571" s="27"/>
      <x:c r="C571" s="20"/>
      <x:c r="D571" s="28"/>
      <x:c r="E571" s="20"/>
      <x:c r="F571" s="25"/>
      <x:c r="G571" s="20"/>
      <x:c r="H571" s="20"/>
      <x:c r="I571" s="20"/>
      <x:c r="J571" s="20"/>
      <x:c r="K571" s="20"/>
      <x:c r="L571" s="20"/>
      <x:c r="M571" s="20"/>
      <x:c r="N571" s="20"/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  <x:c r="Y571" s="21"/>
    </x:row>
    <x:row r="572">
      <x:c r="A572" s="19"/>
      <x:c r="B572" s="27"/>
      <x:c r="C572" s="20"/>
      <x:c r="D572" s="28"/>
      <x:c r="E572" s="20"/>
      <x:c r="F572" s="25"/>
      <x:c r="G572" s="20"/>
      <x:c r="H572" s="20"/>
      <x:c r="I572" s="20"/>
      <x:c r="J572" s="20"/>
      <x:c r="K572" s="20"/>
      <x:c r="L572" s="20"/>
      <x:c r="M572" s="20"/>
      <x:c r="N572" s="20"/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  <x:c r="Y572" s="21"/>
    </x:row>
    <x:row r="573">
      <x:c r="A573" s="19"/>
      <x:c r="B573" s="27"/>
      <x:c r="C573" s="20"/>
      <x:c r="D573" s="28"/>
      <x:c r="E573" s="20"/>
      <x:c r="F573" s="25"/>
      <x:c r="G573" s="20"/>
      <x:c r="H573" s="20"/>
      <x:c r="I573" s="20"/>
      <x:c r="J573" s="20"/>
      <x:c r="K573" s="20"/>
      <x:c r="L573" s="20"/>
      <x:c r="M573" s="20"/>
      <x:c r="N573" s="20"/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  <x:c r="Y573" s="21"/>
    </x:row>
    <x:row r="574">
      <x:c r="A574" s="19"/>
      <x:c r="B574" s="27"/>
      <x:c r="C574" s="20"/>
      <x:c r="D574" s="28"/>
      <x:c r="E574" s="20"/>
      <x:c r="F574" s="25"/>
      <x:c r="G574" s="20"/>
      <x:c r="H574" s="20"/>
      <x:c r="I574" s="20"/>
      <x:c r="J574" s="20"/>
      <x:c r="K574" s="20"/>
      <x:c r="L574" s="20"/>
      <x:c r="M574" s="20"/>
      <x:c r="N574" s="20"/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  <x:c r="Y574" s="21"/>
    </x:row>
    <x:row r="575">
      <x:c r="A575" s="19"/>
      <x:c r="B575" s="27"/>
      <x:c r="C575" s="20"/>
      <x:c r="D575" s="28"/>
      <x:c r="E575" s="20"/>
      <x:c r="F575" s="25"/>
      <x:c r="G575" s="20"/>
      <x:c r="H575" s="20"/>
      <x:c r="I575" s="20"/>
      <x:c r="J575" s="20"/>
      <x:c r="K575" s="20"/>
      <x:c r="L575" s="20"/>
      <x:c r="M575" s="20"/>
      <x:c r="N575" s="20"/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  <x:c r="Y575" s="21"/>
    </x:row>
    <x:row r="576">
      <x:c r="A576" s="19"/>
      <x:c r="B576" s="27"/>
      <x:c r="C576" s="20"/>
      <x:c r="D576" s="28"/>
      <x:c r="E576" s="20"/>
      <x:c r="F576" s="25"/>
      <x:c r="G576" s="20"/>
      <x:c r="H576" s="20"/>
      <x:c r="I576" s="20"/>
      <x:c r="J576" s="20"/>
      <x:c r="K576" s="20"/>
      <x:c r="L576" s="20"/>
      <x:c r="M576" s="20"/>
      <x:c r="N576" s="20"/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  <x:c r="Y576" s="21"/>
    </x:row>
    <x:row r="577">
      <x:c r="A577" s="19"/>
      <x:c r="B577" s="27"/>
      <x:c r="C577" s="20"/>
      <x:c r="D577" s="28"/>
      <x:c r="E577" s="20"/>
      <x:c r="F577" s="25"/>
      <x:c r="G577" s="20"/>
      <x:c r="H577" s="20"/>
      <x:c r="I577" s="20"/>
      <x:c r="J577" s="20"/>
      <x:c r="K577" s="20"/>
      <x:c r="L577" s="20"/>
      <x:c r="M577" s="20"/>
      <x:c r="N577" s="20"/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  <x:c r="Y577" s="21"/>
    </x:row>
    <x:row r="578">
      <x:c r="A578" s="19"/>
      <x:c r="B578" s="27"/>
      <x:c r="C578" s="20"/>
      <x:c r="D578" s="28"/>
      <x:c r="E578" s="20"/>
      <x:c r="F578" s="25"/>
      <x:c r="G578" s="20"/>
      <x:c r="H578" s="20"/>
      <x:c r="I578" s="20"/>
      <x:c r="J578" s="20"/>
      <x:c r="K578" s="20"/>
      <x:c r="L578" s="20"/>
      <x:c r="M578" s="20"/>
      <x:c r="N578" s="20"/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  <x:c r="Y578" s="21"/>
    </x:row>
    <x:row r="579">
      <x:c r="A579" s="19"/>
      <x:c r="B579" s="27"/>
      <x:c r="C579" s="20"/>
      <x:c r="D579" s="28"/>
      <x:c r="E579" s="20"/>
      <x:c r="F579" s="25"/>
      <x:c r="G579" s="20"/>
      <x:c r="H579" s="20"/>
      <x:c r="I579" s="20"/>
      <x:c r="J579" s="20"/>
      <x:c r="K579" s="20"/>
      <x:c r="L579" s="20"/>
      <x:c r="M579" s="20"/>
      <x:c r="N579" s="20"/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  <x:c r="Y579" s="21"/>
    </x:row>
    <x:row r="580">
      <x:c r="A580" s="19"/>
      <x:c r="B580" s="27"/>
      <x:c r="C580" s="20"/>
      <x:c r="D580" s="28"/>
      <x:c r="E580" s="20"/>
      <x:c r="F580" s="25"/>
      <x:c r="G580" s="20"/>
      <x:c r="H580" s="20"/>
      <x:c r="I580" s="20"/>
      <x:c r="J580" s="20"/>
      <x:c r="K580" s="20"/>
      <x:c r="L580" s="20"/>
      <x:c r="M580" s="20"/>
      <x:c r="N580" s="20"/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  <x:c r="Y580" s="21"/>
    </x:row>
    <x:row r="581">
      <x:c r="A581" s="19"/>
      <x:c r="B581" s="27"/>
      <x:c r="C581" s="20"/>
      <x:c r="D581" s="28"/>
      <x:c r="E581" s="20"/>
      <x:c r="F581" s="25"/>
      <x:c r="G581" s="20"/>
      <x:c r="H581" s="20"/>
      <x:c r="I581" s="20"/>
      <x:c r="J581" s="20"/>
      <x:c r="K581" s="20"/>
      <x:c r="L581" s="20"/>
      <x:c r="M581" s="20"/>
      <x:c r="N581" s="20"/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  <x:c r="Y581" s="21"/>
    </x:row>
    <x:row r="582">
      <x:c r="A582" s="19"/>
      <x:c r="B582" s="27"/>
      <x:c r="C582" s="20"/>
      <x:c r="D582" s="28"/>
      <x:c r="E582" s="20"/>
      <x:c r="F582" s="25"/>
      <x:c r="G582" s="20"/>
      <x:c r="H582" s="20"/>
      <x:c r="I582" s="20"/>
      <x:c r="J582" s="20"/>
      <x:c r="K582" s="20"/>
      <x:c r="L582" s="20"/>
      <x:c r="M582" s="20"/>
      <x:c r="N582" s="20"/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  <x:c r="Y582" s="21"/>
    </x:row>
    <x:row r="583">
      <x:c r="A583" s="19"/>
      <x:c r="B583" s="27"/>
      <x:c r="C583" s="20"/>
      <x:c r="D583" s="28"/>
      <x:c r="E583" s="20"/>
      <x:c r="F583" s="25"/>
      <x:c r="G583" s="20"/>
      <x:c r="H583" s="20"/>
      <x:c r="I583" s="20"/>
      <x:c r="J583" s="20"/>
      <x:c r="K583" s="20"/>
      <x:c r="L583" s="20"/>
      <x:c r="M583" s="20"/>
      <x:c r="N583" s="20"/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  <x:c r="Y583" s="21"/>
    </x:row>
    <x:row r="584">
      <x:c r="A584" s="19"/>
      <x:c r="B584" s="27"/>
      <x:c r="C584" s="20"/>
      <x:c r="D584" s="28"/>
      <x:c r="E584" s="20"/>
      <x:c r="F584" s="25"/>
      <x:c r="G584" s="20"/>
      <x:c r="H584" s="20"/>
      <x:c r="I584" s="20"/>
      <x:c r="J584" s="20"/>
      <x:c r="K584" s="20"/>
      <x:c r="L584" s="20"/>
      <x:c r="M584" s="20"/>
      <x:c r="N584" s="20"/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  <x:c r="Y584" s="21"/>
    </x:row>
    <x:row r="585">
      <x:c r="A585" s="19"/>
      <x:c r="B585" s="27"/>
      <x:c r="C585" s="20"/>
      <x:c r="D585" s="28"/>
      <x:c r="E585" s="20"/>
      <x:c r="F585" s="25"/>
      <x:c r="G585" s="20"/>
      <x:c r="H585" s="20"/>
      <x:c r="I585" s="20"/>
      <x:c r="J585" s="20"/>
      <x:c r="K585" s="20"/>
      <x:c r="L585" s="20"/>
      <x:c r="M585" s="20"/>
      <x:c r="N585" s="20"/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  <x:c r="Y585" s="21"/>
    </x:row>
    <x:row r="586">
      <x:c r="A586" s="19"/>
      <x:c r="B586" s="27"/>
      <x:c r="C586" s="20"/>
      <x:c r="D586" s="28"/>
      <x:c r="E586" s="20"/>
      <x:c r="F586" s="25"/>
      <x:c r="G586" s="20"/>
      <x:c r="H586" s="20"/>
      <x:c r="I586" s="20"/>
      <x:c r="J586" s="20"/>
      <x:c r="K586" s="20"/>
      <x:c r="L586" s="20"/>
      <x:c r="M586" s="20"/>
      <x:c r="N586" s="20"/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  <x:c r="Y586" s="21"/>
    </x:row>
    <x:row r="587">
      <x:c r="A587" s="19"/>
      <x:c r="B587" s="27"/>
      <x:c r="C587" s="20"/>
      <x:c r="D587" s="28"/>
      <x:c r="E587" s="20"/>
      <x:c r="F587" s="25"/>
      <x:c r="G587" s="20"/>
      <x:c r="H587" s="20"/>
      <x:c r="I587" s="20"/>
      <x:c r="J587" s="20"/>
      <x:c r="K587" s="20"/>
      <x:c r="L587" s="20"/>
      <x:c r="M587" s="20"/>
      <x:c r="N587" s="20"/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  <x:c r="Y587" s="21"/>
    </x:row>
    <x:row r="588">
      <x:c r="A588" s="19"/>
      <x:c r="B588" s="27"/>
      <x:c r="C588" s="20"/>
      <x:c r="D588" s="28"/>
      <x:c r="E588" s="20"/>
      <x:c r="F588" s="25"/>
      <x:c r="G588" s="20"/>
      <x:c r="H588" s="20"/>
      <x:c r="I588" s="20"/>
      <x:c r="J588" s="20"/>
      <x:c r="K588" s="20"/>
      <x:c r="L588" s="20"/>
      <x:c r="M588" s="20"/>
      <x:c r="N588" s="20"/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  <x:c r="Y588" s="21"/>
    </x:row>
    <x:row r="589">
      <x:c r="A589" s="19"/>
      <x:c r="B589" s="27"/>
      <x:c r="C589" s="20"/>
      <x:c r="D589" s="28"/>
      <x:c r="E589" s="20"/>
      <x:c r="F589" s="25"/>
      <x:c r="G589" s="20"/>
      <x:c r="H589" s="20"/>
      <x:c r="I589" s="20"/>
      <x:c r="J589" s="20"/>
      <x:c r="K589" s="20"/>
      <x:c r="L589" s="20"/>
      <x:c r="M589" s="20"/>
      <x:c r="N589" s="20"/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  <x:c r="Y589" s="21"/>
    </x:row>
    <x:row r="590">
      <x:c r="A590" s="19"/>
      <x:c r="B590" s="27"/>
      <x:c r="C590" s="20"/>
      <x:c r="D590" s="28"/>
      <x:c r="E590" s="20"/>
      <x:c r="F590" s="25"/>
      <x:c r="G590" s="20"/>
      <x:c r="H590" s="20"/>
      <x:c r="I590" s="20"/>
      <x:c r="J590" s="20"/>
      <x:c r="K590" s="20"/>
      <x:c r="L590" s="20"/>
      <x:c r="M590" s="20"/>
      <x:c r="N590" s="20"/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  <x:c r="Y590" s="21"/>
    </x:row>
    <x:row r="591">
      <x:c r="A591" s="19"/>
      <x:c r="B591" s="27"/>
      <x:c r="C591" s="20"/>
      <x:c r="D591" s="28"/>
      <x:c r="E591" s="20"/>
      <x:c r="F591" s="25"/>
      <x:c r="G591" s="20"/>
      <x:c r="H591" s="20"/>
      <x:c r="I591" s="20"/>
      <x:c r="J591" s="20"/>
      <x:c r="K591" s="20"/>
      <x:c r="L591" s="20"/>
      <x:c r="M591" s="20"/>
      <x:c r="N591" s="20"/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  <x:c r="Y591" s="21"/>
    </x:row>
    <x:row r="592">
      <x:c r="A592" s="19"/>
      <x:c r="B592" s="27"/>
      <x:c r="C592" s="20"/>
      <x:c r="D592" s="28"/>
      <x:c r="E592" s="20"/>
      <x:c r="F592" s="25"/>
      <x:c r="G592" s="20"/>
      <x:c r="H592" s="20"/>
      <x:c r="I592" s="20"/>
      <x:c r="J592" s="20"/>
      <x:c r="K592" s="20"/>
      <x:c r="L592" s="20"/>
      <x:c r="M592" s="20"/>
      <x:c r="N592" s="20"/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  <x:c r="Y592" s="21"/>
    </x:row>
    <x:row r="593">
      <x:c r="A593" s="19"/>
      <x:c r="B593" s="27"/>
      <x:c r="C593" s="20"/>
      <x:c r="D593" s="28"/>
      <x:c r="E593" s="20"/>
      <x:c r="F593" s="25"/>
      <x:c r="G593" s="20"/>
      <x:c r="H593" s="20"/>
      <x:c r="I593" s="20"/>
      <x:c r="J593" s="20"/>
      <x:c r="K593" s="20"/>
      <x:c r="L593" s="20"/>
      <x:c r="M593" s="20"/>
      <x:c r="N593" s="20"/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  <x:c r="Y593" s="21"/>
    </x:row>
    <x:row r="594">
      <x:c r="A594" s="19"/>
      <x:c r="B594" s="27"/>
      <x:c r="C594" s="20"/>
      <x:c r="D594" s="28"/>
      <x:c r="E594" s="20"/>
      <x:c r="F594" s="25"/>
      <x:c r="G594" s="20"/>
      <x:c r="H594" s="20"/>
      <x:c r="I594" s="20"/>
      <x:c r="J594" s="20"/>
      <x:c r="K594" s="20"/>
      <x:c r="L594" s="20"/>
      <x:c r="M594" s="20"/>
      <x:c r="N594" s="20"/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  <x:c r="Y594" s="21"/>
    </x:row>
    <x:row r="595">
      <x:c r="A595" s="19"/>
      <x:c r="B595" s="27"/>
      <x:c r="C595" s="20"/>
      <x:c r="D595" s="28"/>
      <x:c r="E595" s="20"/>
      <x:c r="F595" s="25"/>
      <x:c r="G595" s="20"/>
      <x:c r="H595" s="20"/>
      <x:c r="I595" s="20"/>
      <x:c r="J595" s="20"/>
      <x:c r="K595" s="20"/>
      <x:c r="L595" s="20"/>
      <x:c r="M595" s="20"/>
      <x:c r="N595" s="20"/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  <x:c r="Y595" s="21"/>
    </x:row>
    <x:row r="596">
      <x:c r="A596" s="19"/>
      <x:c r="B596" s="27"/>
      <x:c r="C596" s="20"/>
      <x:c r="D596" s="28"/>
      <x:c r="E596" s="20"/>
      <x:c r="F596" s="25"/>
      <x:c r="G596" s="20"/>
      <x:c r="H596" s="20"/>
      <x:c r="I596" s="20"/>
      <x:c r="J596" s="20"/>
      <x:c r="K596" s="20"/>
      <x:c r="L596" s="20"/>
      <x:c r="M596" s="20"/>
      <x:c r="N596" s="20"/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  <x:c r="Y596" s="21"/>
    </x:row>
    <x:row r="597">
      <x:c r="A597" s="19"/>
      <x:c r="B597" s="27"/>
      <x:c r="C597" s="20"/>
      <x:c r="D597" s="28"/>
      <x:c r="E597" s="20"/>
      <x:c r="F597" s="25"/>
      <x:c r="G597" s="20"/>
      <x:c r="H597" s="20"/>
      <x:c r="I597" s="20"/>
      <x:c r="J597" s="20"/>
      <x:c r="K597" s="20"/>
      <x:c r="L597" s="20"/>
      <x:c r="M597" s="20"/>
      <x:c r="N597" s="20"/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  <x:c r="Y597" s="21"/>
    </x:row>
    <x:row r="598">
      <x:c r="A598" s="19"/>
      <x:c r="B598" s="27"/>
      <x:c r="C598" s="20"/>
      <x:c r="D598" s="28"/>
      <x:c r="E598" s="20"/>
      <x:c r="F598" s="25"/>
      <x:c r="G598" s="20"/>
      <x:c r="H598" s="20"/>
      <x:c r="I598" s="20"/>
      <x:c r="J598" s="20"/>
      <x:c r="K598" s="20"/>
      <x:c r="L598" s="20"/>
      <x:c r="M598" s="20"/>
      <x:c r="N598" s="20"/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  <x:c r="Y598" s="21"/>
    </x:row>
    <x:row r="599">
      <x:c r="A599" s="19"/>
      <x:c r="B599" s="27"/>
      <x:c r="C599" s="20"/>
      <x:c r="D599" s="28"/>
      <x:c r="E599" s="20"/>
      <x:c r="F599" s="25"/>
      <x:c r="G599" s="20"/>
      <x:c r="H599" s="20"/>
      <x:c r="I599" s="20"/>
      <x:c r="J599" s="20"/>
      <x:c r="K599" s="20"/>
      <x:c r="L599" s="20"/>
      <x:c r="M599" s="20"/>
      <x:c r="N599" s="20"/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  <x:c r="Y599" s="21"/>
    </x:row>
    <x:row r="600">
      <x:c r="A600" s="19"/>
      <x:c r="B600" s="27"/>
      <x:c r="C600" s="20"/>
      <x:c r="D600" s="28"/>
      <x:c r="E600" s="20"/>
      <x:c r="F600" s="25"/>
      <x:c r="G600" s="20"/>
      <x:c r="H600" s="20"/>
      <x:c r="I600" s="20"/>
      <x:c r="J600" s="20"/>
      <x:c r="K600" s="20"/>
      <x:c r="L600" s="20"/>
      <x:c r="M600" s="20"/>
      <x:c r="N600" s="20"/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  <x:c r="Y600" s="21"/>
    </x:row>
    <x:row r="601">
      <x:c r="A601" s="19"/>
      <x:c r="B601" s="27"/>
      <x:c r="C601" s="20"/>
      <x:c r="D601" s="28"/>
      <x:c r="E601" s="20"/>
      <x:c r="F601" s="25"/>
      <x:c r="G601" s="20"/>
      <x:c r="H601" s="20"/>
      <x:c r="I601" s="20"/>
      <x:c r="J601" s="20"/>
      <x:c r="K601" s="20"/>
      <x:c r="L601" s="20"/>
      <x:c r="M601" s="20"/>
      <x:c r="N601" s="20"/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  <x:c r="Y601" s="21"/>
    </x:row>
    <x:row r="602">
      <x:c r="A602" s="19"/>
      <x:c r="B602" s="27"/>
      <x:c r="C602" s="20"/>
      <x:c r="D602" s="28"/>
      <x:c r="E602" s="20"/>
      <x:c r="F602" s="25"/>
      <x:c r="G602" s="20"/>
      <x:c r="H602" s="20"/>
      <x:c r="I602" s="20"/>
      <x:c r="J602" s="20"/>
      <x:c r="K602" s="20"/>
      <x:c r="L602" s="20"/>
      <x:c r="M602" s="20"/>
      <x:c r="N602" s="20"/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  <x:c r="Y602" s="21"/>
    </x:row>
    <x:row r="603">
      <x:c r="A603" s="19"/>
      <x:c r="B603" s="27"/>
      <x:c r="C603" s="20"/>
      <x:c r="D603" s="28"/>
      <x:c r="E603" s="20"/>
      <x:c r="F603" s="25"/>
      <x:c r="G603" s="20"/>
      <x:c r="H603" s="20"/>
      <x:c r="I603" s="20"/>
      <x:c r="J603" s="20"/>
      <x:c r="K603" s="20"/>
      <x:c r="L603" s="20"/>
      <x:c r="M603" s="20"/>
      <x:c r="N603" s="20"/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  <x:c r="Y603" s="21"/>
    </x:row>
    <x:row r="604">
      <x:c r="A604" s="19"/>
      <x:c r="B604" s="27"/>
      <x:c r="C604" s="20"/>
      <x:c r="D604" s="28"/>
      <x:c r="E604" s="20"/>
      <x:c r="F604" s="25"/>
      <x:c r="G604" s="20"/>
      <x:c r="H604" s="20"/>
      <x:c r="I604" s="20"/>
      <x:c r="J604" s="20"/>
      <x:c r="K604" s="20"/>
      <x:c r="L604" s="20"/>
      <x:c r="M604" s="20"/>
      <x:c r="N604" s="20"/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  <x:c r="Y604" s="21"/>
    </x:row>
    <x:row r="605">
      <x:c r="A605" s="19"/>
      <x:c r="B605" s="27"/>
      <x:c r="C605" s="20"/>
      <x:c r="D605" s="28"/>
      <x:c r="E605" s="20"/>
      <x:c r="F605" s="25"/>
      <x:c r="G605" s="20"/>
      <x:c r="H605" s="20"/>
      <x:c r="I605" s="20"/>
      <x:c r="J605" s="20"/>
      <x:c r="K605" s="20"/>
      <x:c r="L605" s="20"/>
      <x:c r="M605" s="20"/>
      <x:c r="N605" s="20"/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  <x:c r="Y605" s="21"/>
    </x:row>
    <x:row r="606">
      <x:c r="A606" s="19"/>
      <x:c r="B606" s="27"/>
      <x:c r="C606" s="20"/>
      <x:c r="D606" s="28"/>
      <x:c r="E606" s="20"/>
      <x:c r="F606" s="25"/>
      <x:c r="G606" s="20"/>
      <x:c r="H606" s="20"/>
      <x:c r="I606" s="20"/>
      <x:c r="J606" s="20"/>
      <x:c r="K606" s="20"/>
      <x:c r="L606" s="20"/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1"/>
    </x:row>
    <x:row r="607">
      <x:c r="A607" s="19"/>
      <x:c r="B607" s="27"/>
      <x:c r="C607" s="20"/>
      <x:c r="D607" s="28"/>
      <x:c r="E607" s="20"/>
      <x:c r="F607" s="25"/>
      <x:c r="G607" s="20"/>
      <x:c r="H607" s="20"/>
      <x:c r="I607" s="20"/>
      <x:c r="J607" s="20"/>
      <x:c r="K607" s="20"/>
      <x:c r="L607" s="20"/>
      <x:c r="M607" s="20"/>
      <x:c r="N607" s="20"/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  <x:c r="Y607" s="21"/>
    </x:row>
    <x:row r="608">
      <x:c r="A608" s="19"/>
      <x:c r="B608" s="27"/>
      <x:c r="C608" s="20"/>
      <x:c r="D608" s="28"/>
      <x:c r="E608" s="20"/>
      <x:c r="F608" s="25"/>
      <x:c r="G608" s="20"/>
      <x:c r="H608" s="20"/>
      <x:c r="I608" s="20"/>
      <x:c r="J608" s="20"/>
      <x:c r="K608" s="20"/>
      <x:c r="L608" s="20"/>
      <x:c r="M608" s="20"/>
      <x:c r="N608" s="20"/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  <x:c r="Y608" s="21"/>
    </x:row>
    <x:row r="609">
      <x:c r="A609" s="19"/>
      <x:c r="B609" s="27"/>
      <x:c r="C609" s="20"/>
      <x:c r="D609" s="28"/>
      <x:c r="E609" s="20"/>
      <x:c r="F609" s="25"/>
      <x:c r="G609" s="20"/>
      <x:c r="H609" s="20"/>
      <x:c r="I609" s="20"/>
      <x:c r="J609" s="20"/>
      <x:c r="K609" s="20"/>
      <x:c r="L609" s="20"/>
      <x:c r="M609" s="20"/>
      <x:c r="N609" s="20"/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  <x:c r="Y609" s="21"/>
    </x:row>
    <x:row r="610">
      <x:c r="A610" s="19"/>
      <x:c r="B610" s="27"/>
      <x:c r="C610" s="20"/>
      <x:c r="D610" s="28"/>
      <x:c r="E610" s="20"/>
      <x:c r="F610" s="25"/>
      <x:c r="G610" s="20"/>
      <x:c r="H610" s="20"/>
      <x:c r="I610" s="20"/>
      <x:c r="J610" s="20"/>
      <x:c r="K610" s="20"/>
      <x:c r="L610" s="20"/>
      <x:c r="M610" s="20"/>
      <x:c r="N610" s="20"/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  <x:c r="Y610" s="21"/>
    </x:row>
    <x:row r="611">
      <x:c r="A611" s="19"/>
      <x:c r="B611" s="27"/>
      <x:c r="C611" s="20"/>
      <x:c r="D611" s="28"/>
      <x:c r="E611" s="20"/>
      <x:c r="F611" s="25"/>
      <x:c r="G611" s="20"/>
      <x:c r="H611" s="20"/>
      <x:c r="I611" s="20"/>
      <x:c r="J611" s="20"/>
      <x:c r="K611" s="20"/>
      <x:c r="L611" s="20"/>
      <x:c r="M611" s="20"/>
      <x:c r="N611" s="20"/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  <x:c r="Y611" s="21"/>
    </x:row>
    <x:row r="612">
      <x:c r="A612" s="19"/>
      <x:c r="B612" s="27"/>
      <x:c r="C612" s="20"/>
      <x:c r="D612" s="28"/>
      <x:c r="E612" s="20"/>
      <x:c r="F612" s="25"/>
      <x:c r="G612" s="20"/>
      <x:c r="H612" s="20"/>
      <x:c r="I612" s="20"/>
      <x:c r="J612" s="20"/>
      <x:c r="K612" s="20"/>
      <x:c r="L612" s="20"/>
      <x:c r="M612" s="20"/>
      <x:c r="N612" s="20"/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  <x:c r="Y612" s="21"/>
    </x:row>
    <x:row r="613">
      <x:c r="A613" s="19"/>
      <x:c r="B613" s="27"/>
      <x:c r="C613" s="20"/>
      <x:c r="D613" s="28"/>
      <x:c r="E613" s="20"/>
      <x:c r="F613" s="25"/>
      <x:c r="G613" s="20"/>
      <x:c r="H613" s="20"/>
      <x:c r="I613" s="20"/>
      <x:c r="J613" s="20"/>
      <x:c r="K613" s="20"/>
      <x:c r="L613" s="20"/>
      <x:c r="M613" s="20"/>
      <x:c r="N613" s="20"/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  <x:c r="Y613" s="21"/>
    </x:row>
    <x:row r="614">
      <x:c r="A614" s="19"/>
      <x:c r="B614" s="27"/>
      <x:c r="C614" s="20"/>
      <x:c r="D614" s="28"/>
      <x:c r="E614" s="20"/>
      <x:c r="F614" s="25"/>
      <x:c r="G614" s="20"/>
      <x:c r="H614" s="20"/>
      <x:c r="I614" s="20"/>
      <x:c r="J614" s="20"/>
      <x:c r="K614" s="20"/>
      <x:c r="L614" s="20"/>
      <x:c r="M614" s="20"/>
      <x:c r="N614" s="20"/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  <x:c r="Y614" s="21"/>
    </x:row>
    <x:row r="615">
      <x:c r="A615" s="19"/>
      <x:c r="B615" s="27"/>
      <x:c r="C615" s="20"/>
      <x:c r="D615" s="28"/>
      <x:c r="E615" s="20"/>
      <x:c r="F615" s="25"/>
      <x:c r="G615" s="20"/>
      <x:c r="H615" s="20"/>
      <x:c r="I615" s="20"/>
      <x:c r="J615" s="20"/>
      <x:c r="K615" s="20"/>
      <x:c r="L615" s="20"/>
      <x:c r="M615" s="20"/>
      <x:c r="N615" s="20"/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  <x:c r="Y615" s="21"/>
    </x:row>
    <x:row r="616">
      <x:c r="A616" s="19"/>
      <x:c r="B616" s="27"/>
      <x:c r="C616" s="20"/>
      <x:c r="D616" s="28"/>
      <x:c r="E616" s="20"/>
      <x:c r="F616" s="25"/>
      <x:c r="G616" s="20"/>
      <x:c r="H616" s="20"/>
      <x:c r="I616" s="20"/>
      <x:c r="J616" s="20"/>
      <x:c r="K616" s="20"/>
      <x:c r="L616" s="20"/>
      <x:c r="M616" s="20"/>
      <x:c r="N616" s="20"/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  <x:c r="Y616" s="21"/>
    </x:row>
    <x:row r="617">
      <x:c r="A617" s="19"/>
      <x:c r="B617" s="27"/>
      <x:c r="C617" s="20"/>
      <x:c r="D617" s="28"/>
      <x:c r="E617" s="20"/>
      <x:c r="F617" s="25"/>
      <x:c r="G617" s="20"/>
      <x:c r="H617" s="20"/>
      <x:c r="I617" s="20"/>
      <x:c r="J617" s="20"/>
      <x:c r="K617" s="20"/>
      <x:c r="L617" s="20"/>
      <x:c r="M617" s="20"/>
      <x:c r="N617" s="20"/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  <x:c r="Y617" s="21"/>
    </x:row>
    <x:row r="618">
      <x:c r="A618" s="19"/>
      <x:c r="B618" s="27"/>
      <x:c r="C618" s="20"/>
      <x:c r="D618" s="28"/>
      <x:c r="E618" s="20"/>
      <x:c r="F618" s="25"/>
      <x:c r="G618" s="20"/>
      <x:c r="H618" s="20"/>
      <x:c r="I618" s="20"/>
      <x:c r="J618" s="20"/>
      <x:c r="K618" s="20"/>
      <x:c r="L618" s="20"/>
      <x:c r="M618" s="20"/>
      <x:c r="N618" s="20"/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  <x:c r="Y618" s="21"/>
    </x:row>
    <x:row r="619">
      <x:c r="A619" s="19"/>
      <x:c r="B619" s="27"/>
      <x:c r="C619" s="20"/>
      <x:c r="D619" s="28"/>
      <x:c r="E619" s="20"/>
      <x:c r="F619" s="25"/>
      <x:c r="G619" s="20"/>
      <x:c r="H619" s="20"/>
      <x:c r="I619" s="20"/>
      <x:c r="J619" s="20"/>
      <x:c r="K619" s="20"/>
      <x:c r="L619" s="20"/>
      <x:c r="M619" s="20"/>
      <x:c r="N619" s="20"/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  <x:c r="Y619" s="21"/>
    </x:row>
    <x:row r="620">
      <x:c r="A620" s="19"/>
      <x:c r="B620" s="27"/>
      <x:c r="C620" s="20"/>
      <x:c r="D620" s="28"/>
      <x:c r="E620" s="20"/>
      <x:c r="F620" s="25"/>
      <x:c r="G620" s="20"/>
      <x:c r="H620" s="20"/>
      <x:c r="I620" s="20"/>
      <x:c r="J620" s="20"/>
      <x:c r="K620" s="20"/>
      <x:c r="L620" s="20"/>
      <x:c r="M620" s="20"/>
      <x:c r="N620" s="20"/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  <x:c r="Y620" s="21"/>
    </x:row>
    <x:row r="621">
      <x:c r="A621" s="19"/>
      <x:c r="B621" s="27"/>
      <x:c r="C621" s="20"/>
      <x:c r="D621" s="28"/>
      <x:c r="E621" s="20"/>
      <x:c r="F621" s="25"/>
      <x:c r="G621" s="20"/>
      <x:c r="H621" s="20"/>
      <x:c r="I621" s="20"/>
      <x:c r="J621" s="20"/>
      <x:c r="K621" s="20"/>
      <x:c r="L621" s="20"/>
      <x:c r="M621" s="20"/>
      <x:c r="N621" s="20"/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  <x:c r="Y621" s="21"/>
    </x:row>
    <x:row r="622">
      <x:c r="A622" s="19"/>
      <x:c r="B622" s="27"/>
      <x:c r="C622" s="20"/>
      <x:c r="D622" s="28"/>
      <x:c r="E622" s="20"/>
      <x:c r="F622" s="25"/>
      <x:c r="G622" s="20"/>
      <x:c r="H622" s="20"/>
      <x:c r="I622" s="20"/>
      <x:c r="J622" s="20"/>
      <x:c r="K622" s="20"/>
      <x:c r="L622" s="20"/>
      <x:c r="M622" s="20"/>
      <x:c r="N622" s="20"/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  <x:c r="Y622" s="21"/>
    </x:row>
    <x:row r="623">
      <x:c r="A623" s="19"/>
      <x:c r="B623" s="27"/>
      <x:c r="C623" s="20"/>
      <x:c r="D623" s="28"/>
      <x:c r="E623" s="20"/>
      <x:c r="F623" s="25"/>
      <x:c r="G623" s="20"/>
      <x:c r="H623" s="20"/>
      <x:c r="I623" s="20"/>
      <x:c r="J623" s="20"/>
      <x:c r="K623" s="20"/>
      <x:c r="L623" s="20"/>
      <x:c r="M623" s="20"/>
      <x:c r="N623" s="20"/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  <x:c r="Y623" s="21"/>
    </x:row>
    <x:row r="624">
      <x:c r="A624" s="19"/>
      <x:c r="B624" s="27"/>
      <x:c r="C624" s="20"/>
      <x:c r="D624" s="28"/>
      <x:c r="E624" s="20"/>
      <x:c r="F624" s="25"/>
      <x:c r="G624" s="20"/>
      <x:c r="H624" s="20"/>
      <x:c r="I624" s="20"/>
      <x:c r="J624" s="20"/>
      <x:c r="K624" s="20"/>
      <x:c r="L624" s="20"/>
      <x:c r="M624" s="20"/>
      <x:c r="N624" s="20"/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  <x:c r="Y624" s="21"/>
    </x:row>
    <x:row r="625">
      <x:c r="A625" s="19"/>
      <x:c r="B625" s="27"/>
      <x:c r="C625" s="20"/>
      <x:c r="D625" s="28"/>
      <x:c r="E625" s="20"/>
      <x:c r="F625" s="25"/>
      <x:c r="G625" s="20"/>
      <x:c r="H625" s="20"/>
      <x:c r="I625" s="20"/>
      <x:c r="J625" s="20"/>
      <x:c r="K625" s="20"/>
      <x:c r="L625" s="20"/>
      <x:c r="M625" s="20"/>
      <x:c r="N625" s="20"/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  <x:c r="Y625" s="21"/>
    </x:row>
    <x:row r="626">
      <x:c r="A626" s="19"/>
      <x:c r="B626" s="27"/>
      <x:c r="C626" s="20"/>
      <x:c r="D626" s="28"/>
      <x:c r="E626" s="20"/>
      <x:c r="F626" s="25"/>
      <x:c r="G626" s="20"/>
      <x:c r="H626" s="20"/>
      <x:c r="I626" s="20"/>
      <x:c r="J626" s="20"/>
      <x:c r="K626" s="20"/>
      <x:c r="L626" s="20"/>
      <x:c r="M626" s="20"/>
      <x:c r="N626" s="20"/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  <x:c r="Y626" s="21"/>
    </x:row>
    <x:row r="627">
      <x:c r="A627" s="19"/>
      <x:c r="B627" s="27"/>
      <x:c r="C627" s="20"/>
      <x:c r="D627" s="28"/>
      <x:c r="E627" s="20"/>
      <x:c r="F627" s="25"/>
      <x:c r="G627" s="20"/>
      <x:c r="H627" s="20"/>
      <x:c r="I627" s="20"/>
      <x:c r="J627" s="20"/>
      <x:c r="K627" s="20"/>
      <x:c r="L627" s="20"/>
      <x:c r="M627" s="20"/>
      <x:c r="N627" s="20"/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  <x:c r="Y627" s="21"/>
    </x:row>
    <x:row r="628">
      <x:c r="A628" s="19"/>
      <x:c r="B628" s="27"/>
      <x:c r="C628" s="20"/>
      <x:c r="D628" s="28"/>
      <x:c r="E628" s="20"/>
      <x:c r="F628" s="25"/>
      <x:c r="G628" s="20"/>
      <x:c r="H628" s="20"/>
      <x:c r="I628" s="20"/>
      <x:c r="J628" s="20"/>
      <x:c r="K628" s="20"/>
      <x:c r="L628" s="20"/>
      <x:c r="M628" s="20"/>
      <x:c r="N628" s="20"/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  <x:c r="Y628" s="21"/>
    </x:row>
    <x:row r="629">
      <x:c r="A629" s="19"/>
      <x:c r="B629" s="27"/>
      <x:c r="C629" s="20"/>
      <x:c r="D629" s="28"/>
      <x:c r="E629" s="20"/>
      <x:c r="F629" s="25"/>
      <x:c r="G629" s="20"/>
      <x:c r="H629" s="20"/>
      <x:c r="I629" s="20"/>
      <x:c r="J629" s="20"/>
      <x:c r="K629" s="20"/>
      <x:c r="L629" s="20"/>
      <x:c r="M629" s="20"/>
      <x:c r="N629" s="20"/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  <x:c r="Y629" s="21"/>
    </x:row>
    <x:row r="630">
      <x:c r="A630" s="19"/>
      <x:c r="B630" s="27"/>
      <x:c r="C630" s="20"/>
      <x:c r="D630" s="28"/>
      <x:c r="E630" s="20"/>
      <x:c r="F630" s="25"/>
      <x:c r="G630" s="20"/>
      <x:c r="H630" s="20"/>
      <x:c r="I630" s="20"/>
      <x:c r="J630" s="20"/>
      <x:c r="K630" s="20"/>
      <x:c r="L630" s="20"/>
      <x:c r="M630" s="20"/>
      <x:c r="N630" s="20"/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  <x:c r="Y630" s="21"/>
    </x:row>
    <x:row r="631">
      <x:c r="A631" s="19"/>
      <x:c r="B631" s="27"/>
      <x:c r="C631" s="20"/>
      <x:c r="D631" s="28"/>
      <x:c r="E631" s="20"/>
      <x:c r="F631" s="25"/>
      <x:c r="G631" s="20"/>
      <x:c r="H631" s="20"/>
      <x:c r="I631" s="20"/>
      <x:c r="J631" s="20"/>
      <x:c r="K631" s="20"/>
      <x:c r="L631" s="20"/>
      <x:c r="M631" s="20"/>
      <x:c r="N631" s="20"/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  <x:c r="Y631" s="21"/>
    </x:row>
    <x:row r="632">
      <x:c r="A632" s="19"/>
      <x:c r="B632" s="27"/>
      <x:c r="C632" s="20"/>
      <x:c r="D632" s="28"/>
      <x:c r="E632" s="20"/>
      <x:c r="F632" s="25"/>
      <x:c r="G632" s="20"/>
      <x:c r="H632" s="20"/>
      <x:c r="I632" s="20"/>
      <x:c r="J632" s="20"/>
      <x:c r="K632" s="20"/>
      <x:c r="L632" s="20"/>
      <x:c r="M632" s="20"/>
      <x:c r="N632" s="20"/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  <x:c r="Y632" s="21"/>
    </x:row>
    <x:row r="633">
      <x:c r="A633" s="19"/>
      <x:c r="B633" s="27"/>
      <x:c r="C633" s="20"/>
      <x:c r="D633" s="28"/>
      <x:c r="E633" s="20"/>
      <x:c r="F633" s="25"/>
      <x:c r="G633" s="20"/>
      <x:c r="H633" s="20"/>
      <x:c r="I633" s="20"/>
      <x:c r="J633" s="20"/>
      <x:c r="K633" s="20"/>
      <x:c r="L633" s="20"/>
      <x:c r="M633" s="20"/>
      <x:c r="N633" s="20"/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  <x:c r="Y633" s="21"/>
    </x:row>
    <x:row r="634">
      <x:c r="A634" s="19"/>
      <x:c r="B634" s="27"/>
      <x:c r="C634" s="20"/>
      <x:c r="D634" s="28"/>
      <x:c r="E634" s="20"/>
      <x:c r="F634" s="25"/>
      <x:c r="G634" s="20"/>
      <x:c r="H634" s="20"/>
      <x:c r="I634" s="20"/>
      <x:c r="J634" s="20"/>
      <x:c r="K634" s="20"/>
      <x:c r="L634" s="20"/>
      <x:c r="M634" s="20"/>
      <x:c r="N634" s="20"/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  <x:c r="Y634" s="21"/>
    </x:row>
    <x:row r="635">
      <x:c r="A635" s="19"/>
      <x:c r="B635" s="27"/>
      <x:c r="C635" s="20"/>
      <x:c r="D635" s="28"/>
      <x:c r="E635" s="20"/>
      <x:c r="F635" s="25"/>
      <x:c r="G635" s="20"/>
      <x:c r="H635" s="20"/>
      <x:c r="I635" s="20"/>
      <x:c r="J635" s="20"/>
      <x:c r="K635" s="20"/>
      <x:c r="L635" s="20"/>
      <x:c r="M635" s="20"/>
      <x:c r="N635" s="20"/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  <x:c r="Y635" s="21"/>
    </x:row>
    <x:row r="636">
      <x:c r="A636" s="19"/>
      <x:c r="B636" s="27"/>
      <x:c r="C636" s="20"/>
      <x:c r="D636" s="28"/>
      <x:c r="E636" s="20"/>
      <x:c r="F636" s="25"/>
      <x:c r="G636" s="20"/>
      <x:c r="H636" s="20"/>
      <x:c r="I636" s="20"/>
      <x:c r="J636" s="20"/>
      <x:c r="K636" s="20"/>
      <x:c r="L636" s="20"/>
      <x:c r="M636" s="20"/>
      <x:c r="N636" s="20"/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  <x:c r="Y636" s="21"/>
    </x:row>
    <x:row r="637">
      <x:c r="A637" s="19"/>
      <x:c r="B637" s="27"/>
      <x:c r="C637" s="20"/>
      <x:c r="D637" s="28"/>
      <x:c r="E637" s="20"/>
      <x:c r="F637" s="25"/>
      <x:c r="G637" s="20"/>
      <x:c r="H637" s="20"/>
      <x:c r="I637" s="20"/>
      <x:c r="J637" s="20"/>
      <x:c r="K637" s="20"/>
      <x:c r="L637" s="20"/>
      <x:c r="M637" s="20"/>
      <x:c r="N637" s="20"/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  <x:c r="Y637" s="21"/>
    </x:row>
    <x:row r="638">
      <x:c r="A638" s="19"/>
      <x:c r="B638" s="27"/>
      <x:c r="C638" s="20"/>
      <x:c r="D638" s="28"/>
      <x:c r="E638" s="20"/>
      <x:c r="F638" s="25"/>
      <x:c r="G638" s="20"/>
      <x:c r="H638" s="20"/>
      <x:c r="I638" s="20"/>
      <x:c r="J638" s="20"/>
      <x:c r="K638" s="20"/>
      <x:c r="L638" s="20"/>
      <x:c r="M638" s="20"/>
      <x:c r="N638" s="20"/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  <x:c r="Y638" s="21"/>
    </x:row>
    <x:row r="639">
      <x:c r="A639" s="19"/>
      <x:c r="B639" s="27"/>
      <x:c r="C639" s="20"/>
      <x:c r="D639" s="28"/>
      <x:c r="E639" s="20"/>
      <x:c r="F639" s="25"/>
      <x:c r="G639" s="20"/>
      <x:c r="H639" s="20"/>
      <x:c r="I639" s="20"/>
      <x:c r="J639" s="20"/>
      <x:c r="K639" s="20"/>
      <x:c r="L639" s="20"/>
      <x:c r="M639" s="20"/>
      <x:c r="N639" s="20"/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  <x:c r="Y639" s="21"/>
    </x:row>
    <x:row r="640">
      <x:c r="A640" s="19"/>
      <x:c r="B640" s="27"/>
      <x:c r="C640" s="20"/>
      <x:c r="D640" s="28"/>
      <x:c r="E640" s="20"/>
      <x:c r="F640" s="25"/>
      <x:c r="G640" s="20"/>
      <x:c r="H640" s="20"/>
      <x:c r="I640" s="20"/>
      <x:c r="J640" s="20"/>
      <x:c r="K640" s="20"/>
      <x:c r="L640" s="20"/>
      <x:c r="M640" s="20"/>
      <x:c r="N640" s="20"/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  <x:c r="Y640" s="21"/>
    </x:row>
    <x:row r="641">
      <x:c r="A641" s="19"/>
      <x:c r="B641" s="27"/>
      <x:c r="C641" s="20"/>
      <x:c r="D641" s="28"/>
      <x:c r="E641" s="20"/>
      <x:c r="F641" s="25"/>
      <x:c r="G641" s="20"/>
      <x:c r="H641" s="20"/>
      <x:c r="I641" s="20"/>
      <x:c r="J641" s="20"/>
      <x:c r="K641" s="20"/>
      <x:c r="L641" s="20"/>
      <x:c r="M641" s="20"/>
      <x:c r="N641" s="20"/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  <x:c r="Y641" s="21"/>
    </x:row>
    <x:row r="642">
      <x:c r="A642" s="19"/>
      <x:c r="B642" s="27"/>
      <x:c r="C642" s="20"/>
      <x:c r="D642" s="28"/>
      <x:c r="E642" s="20"/>
      <x:c r="F642" s="25"/>
      <x:c r="G642" s="20"/>
      <x:c r="H642" s="20"/>
      <x:c r="I642" s="20"/>
      <x:c r="J642" s="20"/>
      <x:c r="K642" s="20"/>
      <x:c r="L642" s="20"/>
      <x:c r="M642" s="20"/>
      <x:c r="N642" s="20"/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  <x:c r="Y642" s="21"/>
    </x:row>
    <x:row r="643">
      <x:c r="A643" s="19"/>
      <x:c r="B643" s="27"/>
      <x:c r="C643" s="20"/>
      <x:c r="D643" s="28"/>
      <x:c r="E643" s="20"/>
      <x:c r="F643" s="25"/>
      <x:c r="G643" s="20"/>
      <x:c r="H643" s="20"/>
      <x:c r="I643" s="20"/>
      <x:c r="J643" s="20"/>
      <x:c r="K643" s="20"/>
      <x:c r="L643" s="20"/>
      <x:c r="M643" s="20"/>
      <x:c r="N643" s="20"/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  <x:c r="Y643" s="21"/>
    </x:row>
    <x:row r="644">
      <x:c r="A644" s="19"/>
      <x:c r="B644" s="27"/>
      <x:c r="C644" s="20"/>
      <x:c r="D644" s="28"/>
      <x:c r="E644" s="20"/>
      <x:c r="F644" s="25"/>
      <x:c r="G644" s="20"/>
      <x:c r="H644" s="20"/>
      <x:c r="I644" s="20"/>
      <x:c r="J644" s="20"/>
      <x:c r="K644" s="20"/>
      <x:c r="L644" s="20"/>
      <x:c r="M644" s="20"/>
      <x:c r="N644" s="20"/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  <x:c r="Y644" s="21"/>
    </x:row>
    <x:row r="645">
      <x:c r="A645" s="19"/>
      <x:c r="B645" s="27"/>
      <x:c r="C645" s="20"/>
      <x:c r="D645" s="28"/>
      <x:c r="E645" s="20"/>
      <x:c r="F645" s="25"/>
      <x:c r="G645" s="20"/>
      <x:c r="H645" s="20"/>
      <x:c r="I645" s="20"/>
      <x:c r="J645" s="20"/>
      <x:c r="K645" s="20"/>
      <x:c r="L645" s="20"/>
      <x:c r="M645" s="20"/>
      <x:c r="N645" s="20"/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  <x:c r="Y645" s="21"/>
    </x:row>
    <x:row r="646">
      <x:c r="A646" s="19"/>
      <x:c r="B646" s="27"/>
      <x:c r="C646" s="20"/>
      <x:c r="D646" s="28"/>
      <x:c r="E646" s="20"/>
      <x:c r="F646" s="25"/>
      <x:c r="G646" s="20"/>
      <x:c r="H646" s="20"/>
      <x:c r="I646" s="20"/>
      <x:c r="J646" s="20"/>
      <x:c r="K646" s="20"/>
      <x:c r="L646" s="20"/>
      <x:c r="M646" s="20"/>
      <x:c r="N646" s="20"/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  <x:c r="Y646" s="21"/>
    </x:row>
    <x:row r="647">
      <x:c r="A647" s="19"/>
      <x:c r="B647" s="27"/>
      <x:c r="C647" s="20"/>
      <x:c r="D647" s="28"/>
      <x:c r="E647" s="20"/>
      <x:c r="F647" s="25"/>
      <x:c r="G647" s="20"/>
      <x:c r="H647" s="20"/>
      <x:c r="I647" s="20"/>
      <x:c r="J647" s="20"/>
      <x:c r="K647" s="20"/>
      <x:c r="L647" s="20"/>
      <x:c r="M647" s="20"/>
      <x:c r="N647" s="20"/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  <x:c r="Y647" s="21"/>
    </x:row>
    <x:row r="648">
      <x:c r="A648" s="19"/>
      <x:c r="B648" s="27"/>
      <x:c r="C648" s="20"/>
      <x:c r="D648" s="28"/>
      <x:c r="E648" s="20"/>
      <x:c r="F648" s="25"/>
      <x:c r="G648" s="20"/>
      <x:c r="H648" s="20"/>
      <x:c r="I648" s="20"/>
      <x:c r="J648" s="20"/>
      <x:c r="K648" s="20"/>
      <x:c r="L648" s="20"/>
      <x:c r="M648" s="20"/>
      <x:c r="N648" s="20"/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  <x:c r="Y648" s="21"/>
    </x:row>
    <x:row r="649">
      <x:c r="A649" s="19"/>
      <x:c r="B649" s="27"/>
      <x:c r="C649" s="20"/>
      <x:c r="D649" s="28"/>
      <x:c r="E649" s="20"/>
      <x:c r="F649" s="25"/>
      <x:c r="G649" s="20"/>
      <x:c r="H649" s="20"/>
      <x:c r="I649" s="20"/>
      <x:c r="J649" s="20"/>
      <x:c r="K649" s="20"/>
      <x:c r="L649" s="20"/>
      <x:c r="M649" s="20"/>
      <x:c r="N649" s="20"/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  <x:c r="Y649" s="21"/>
    </x:row>
    <x:row r="650">
      <x:c r="A650" s="19"/>
      <x:c r="B650" s="27"/>
      <x:c r="C650" s="20"/>
      <x:c r="D650" s="28"/>
      <x:c r="E650" s="20"/>
      <x:c r="F650" s="25"/>
      <x:c r="G650" s="20"/>
      <x:c r="H650" s="20"/>
      <x:c r="I650" s="20"/>
      <x:c r="J650" s="20"/>
      <x:c r="K650" s="20"/>
      <x:c r="L650" s="20"/>
      <x:c r="M650" s="20"/>
      <x:c r="N650" s="20"/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  <x:c r="Y650" s="21"/>
    </x:row>
    <x:row r="651">
      <x:c r="A651" s="19"/>
      <x:c r="B651" s="27"/>
      <x:c r="C651" s="20"/>
      <x:c r="D651" s="28"/>
      <x:c r="E651" s="20"/>
      <x:c r="F651" s="25"/>
      <x:c r="G651" s="20"/>
      <x:c r="H651" s="20"/>
      <x:c r="I651" s="20"/>
      <x:c r="J651" s="20"/>
      <x:c r="K651" s="20"/>
      <x:c r="L651" s="20"/>
      <x:c r="M651" s="20"/>
      <x:c r="N651" s="20"/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  <x:c r="Y651" s="21"/>
    </x:row>
    <x:row r="652">
      <x:c r="A652" s="19"/>
      <x:c r="B652" s="27"/>
      <x:c r="C652" s="20"/>
      <x:c r="D652" s="28"/>
      <x:c r="E652" s="20"/>
      <x:c r="F652" s="25"/>
      <x:c r="G652" s="20"/>
      <x:c r="H652" s="20"/>
      <x:c r="I652" s="20"/>
      <x:c r="J652" s="20"/>
      <x:c r="K652" s="20"/>
      <x:c r="L652" s="20"/>
      <x:c r="M652" s="20"/>
      <x:c r="N652" s="20"/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  <x:c r="Y652" s="21"/>
    </x:row>
    <x:row r="653">
      <x:c r="A653" s="19"/>
      <x:c r="B653" s="27"/>
      <x:c r="C653" s="20"/>
      <x:c r="D653" s="28"/>
      <x:c r="E653" s="20"/>
      <x:c r="F653" s="25"/>
      <x:c r="G653" s="20"/>
      <x:c r="H653" s="20"/>
      <x:c r="I653" s="20"/>
      <x:c r="J653" s="20"/>
      <x:c r="K653" s="20"/>
      <x:c r="L653" s="20"/>
      <x:c r="M653" s="20"/>
      <x:c r="N653" s="20"/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  <x:c r="Y653" s="21"/>
    </x:row>
    <x:row r="654">
      <x:c r="A654" s="19"/>
      <x:c r="B654" s="27"/>
      <x:c r="C654" s="20"/>
      <x:c r="D654" s="28"/>
      <x:c r="E654" s="20"/>
      <x:c r="F654" s="25"/>
      <x:c r="G654" s="20"/>
      <x:c r="H654" s="20"/>
      <x:c r="I654" s="20"/>
      <x:c r="J654" s="20"/>
      <x:c r="K654" s="20"/>
      <x:c r="L654" s="20"/>
      <x:c r="M654" s="20"/>
      <x:c r="N654" s="20"/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  <x:c r="Y654" s="21"/>
    </x:row>
    <x:row r="655">
      <x:c r="A655" s="19"/>
      <x:c r="B655" s="27"/>
      <x:c r="C655" s="20"/>
      <x:c r="D655" s="28"/>
      <x:c r="E655" s="20"/>
      <x:c r="F655" s="25"/>
      <x:c r="G655" s="20"/>
      <x:c r="H655" s="20"/>
      <x:c r="I655" s="20"/>
      <x:c r="J655" s="20"/>
      <x:c r="K655" s="20"/>
      <x:c r="L655" s="20"/>
      <x:c r="M655" s="20"/>
      <x:c r="N655" s="20"/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  <x:c r="Y655" s="21"/>
    </x:row>
    <x:row r="656">
      <x:c r="A656" s="19"/>
      <x:c r="B656" s="27"/>
      <x:c r="C656" s="20"/>
      <x:c r="D656" s="28"/>
      <x:c r="E656" s="20"/>
      <x:c r="F656" s="25"/>
      <x:c r="G656" s="20"/>
      <x:c r="H656" s="20"/>
      <x:c r="I656" s="20"/>
      <x:c r="J656" s="20"/>
      <x:c r="K656" s="20"/>
      <x:c r="L656" s="20"/>
      <x:c r="M656" s="20"/>
      <x:c r="N656" s="20"/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  <x:c r="Y656" s="21"/>
    </x:row>
    <x:row r="657">
      <x:c r="A657" s="19"/>
      <x:c r="B657" s="27"/>
      <x:c r="C657" s="20"/>
      <x:c r="D657" s="28"/>
      <x:c r="E657" s="20"/>
      <x:c r="F657" s="25"/>
      <x:c r="G657" s="20"/>
      <x:c r="H657" s="20"/>
      <x:c r="I657" s="20"/>
      <x:c r="J657" s="20"/>
      <x:c r="K657" s="20"/>
      <x:c r="L657" s="20"/>
      <x:c r="M657" s="20"/>
      <x:c r="N657" s="20"/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  <x:c r="Y657" s="21"/>
    </x:row>
    <x:row r="658">
      <x:c r="A658" s="19"/>
      <x:c r="B658" s="27"/>
      <x:c r="C658" s="20"/>
      <x:c r="D658" s="28"/>
      <x:c r="E658" s="20"/>
      <x:c r="F658" s="25"/>
      <x:c r="G658" s="20"/>
      <x:c r="H658" s="20"/>
      <x:c r="I658" s="20"/>
      <x:c r="J658" s="20"/>
      <x:c r="K658" s="20"/>
      <x:c r="L658" s="20"/>
      <x:c r="M658" s="20"/>
      <x:c r="N658" s="20"/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  <x:c r="Y658" s="21"/>
    </x:row>
    <x:row r="659">
      <x:c r="A659" s="19"/>
      <x:c r="B659" s="27"/>
      <x:c r="C659" s="20"/>
      <x:c r="D659" s="28"/>
      <x:c r="E659" s="20"/>
      <x:c r="F659" s="25"/>
      <x:c r="G659" s="20"/>
      <x:c r="H659" s="20"/>
      <x:c r="I659" s="20"/>
      <x:c r="J659" s="20"/>
      <x:c r="K659" s="20"/>
      <x:c r="L659" s="20"/>
      <x:c r="M659" s="20"/>
      <x:c r="N659" s="20"/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  <x:c r="Y659" s="21"/>
    </x:row>
    <x:row r="660">
      <x:c r="A660" s="19"/>
      <x:c r="B660" s="27"/>
      <x:c r="C660" s="20"/>
      <x:c r="D660" s="28"/>
      <x:c r="E660" s="20"/>
      <x:c r="F660" s="25"/>
      <x:c r="G660" s="20"/>
      <x:c r="H660" s="20"/>
      <x:c r="I660" s="20"/>
      <x:c r="J660" s="20"/>
      <x:c r="K660" s="20"/>
      <x:c r="L660" s="20"/>
      <x:c r="M660" s="20"/>
      <x:c r="N660" s="20"/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  <x:c r="Y660" s="21"/>
    </x:row>
    <x:row r="661">
      <x:c r="A661" s="19"/>
      <x:c r="B661" s="27"/>
      <x:c r="C661" s="20"/>
      <x:c r="D661" s="28"/>
      <x:c r="E661" s="20"/>
      <x:c r="F661" s="25"/>
      <x:c r="G661" s="20"/>
      <x:c r="H661" s="20"/>
      <x:c r="I661" s="20"/>
      <x:c r="J661" s="20"/>
      <x:c r="K661" s="20"/>
      <x:c r="L661" s="20"/>
      <x:c r="M661" s="20"/>
      <x:c r="N661" s="20"/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  <x:c r="Y661" s="21"/>
    </x:row>
    <x:row r="662">
      <x:c r="A662" s="19"/>
      <x:c r="B662" s="27"/>
      <x:c r="C662" s="20"/>
      <x:c r="D662" s="28"/>
      <x:c r="E662" s="20"/>
      <x:c r="F662" s="25"/>
      <x:c r="G662" s="20"/>
      <x:c r="H662" s="20"/>
      <x:c r="I662" s="20"/>
      <x:c r="J662" s="20"/>
      <x:c r="K662" s="20"/>
      <x:c r="L662" s="20"/>
      <x:c r="M662" s="20"/>
      <x:c r="N662" s="20"/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  <x:c r="Y662" s="21"/>
    </x:row>
    <x:row r="663">
      <x:c r="A663" s="19"/>
      <x:c r="B663" s="27"/>
      <x:c r="C663" s="20"/>
      <x:c r="D663" s="28"/>
      <x:c r="E663" s="20"/>
      <x:c r="F663" s="25"/>
      <x:c r="G663" s="20"/>
      <x:c r="H663" s="20"/>
      <x:c r="I663" s="20"/>
      <x:c r="J663" s="20"/>
      <x:c r="K663" s="20"/>
      <x:c r="L663" s="20"/>
      <x:c r="M663" s="20"/>
      <x:c r="N663" s="20"/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  <x:c r="Y663" s="21"/>
    </x:row>
    <x:row r="664">
      <x:c r="A664" s="19"/>
      <x:c r="B664" s="27"/>
      <x:c r="C664" s="20"/>
      <x:c r="D664" s="28"/>
      <x:c r="E664" s="20"/>
      <x:c r="F664" s="25"/>
      <x:c r="G664" s="20"/>
      <x:c r="H664" s="20"/>
      <x:c r="I664" s="20"/>
      <x:c r="J664" s="20"/>
      <x:c r="K664" s="20"/>
      <x:c r="L664" s="20"/>
      <x:c r="M664" s="20"/>
      <x:c r="N664" s="20"/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  <x:c r="Y664" s="21"/>
    </x:row>
    <x:row r="665">
      <x:c r="A665" s="19"/>
      <x:c r="B665" s="27"/>
      <x:c r="C665" s="20"/>
      <x:c r="D665" s="28"/>
      <x:c r="E665" s="20"/>
      <x:c r="F665" s="25"/>
      <x:c r="G665" s="20"/>
      <x:c r="H665" s="20"/>
      <x:c r="I665" s="20"/>
      <x:c r="J665" s="20"/>
      <x:c r="K665" s="20"/>
      <x:c r="L665" s="20"/>
      <x:c r="M665" s="20"/>
      <x:c r="N665" s="20"/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  <x:c r="Y665" s="21"/>
    </x:row>
    <x:row r="666">
      <x:c r="A666" s="19"/>
      <x:c r="B666" s="27"/>
      <x:c r="C666" s="20"/>
      <x:c r="D666" s="28"/>
      <x:c r="E666" s="20"/>
      <x:c r="F666" s="25"/>
      <x:c r="G666" s="20"/>
      <x:c r="H666" s="20"/>
      <x:c r="I666" s="20"/>
      <x:c r="J666" s="20"/>
      <x:c r="K666" s="20"/>
      <x:c r="L666" s="20"/>
      <x:c r="M666" s="20"/>
      <x:c r="N666" s="20"/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  <x:c r="Y666" s="21"/>
    </x:row>
    <x:row r="667">
      <x:c r="A667" s="19"/>
      <x:c r="B667" s="27"/>
      <x:c r="C667" s="20"/>
      <x:c r="D667" s="28"/>
      <x:c r="E667" s="20"/>
      <x:c r="F667" s="25"/>
      <x:c r="G667" s="20"/>
      <x:c r="H667" s="20"/>
      <x:c r="I667" s="20"/>
      <x:c r="J667" s="20"/>
      <x:c r="K667" s="20"/>
      <x:c r="L667" s="20"/>
      <x:c r="M667" s="20"/>
      <x:c r="N667" s="20"/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  <x:c r="Y667" s="21"/>
    </x:row>
    <x:row r="668">
      <x:c r="A668" s="19"/>
      <x:c r="B668" s="27"/>
      <x:c r="C668" s="20"/>
      <x:c r="D668" s="28"/>
      <x:c r="E668" s="20"/>
      <x:c r="F668" s="25"/>
      <x:c r="G668" s="20"/>
      <x:c r="H668" s="20"/>
      <x:c r="I668" s="20"/>
      <x:c r="J668" s="20"/>
      <x:c r="K668" s="20"/>
      <x:c r="L668" s="20"/>
      <x:c r="M668" s="20"/>
      <x:c r="N668" s="20"/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  <x:c r="Y668" s="21"/>
    </x:row>
    <x:row r="669">
      <x:c r="A669" s="19"/>
      <x:c r="B669" s="27"/>
      <x:c r="C669" s="20"/>
      <x:c r="D669" s="28"/>
      <x:c r="E669" s="20"/>
      <x:c r="F669" s="25"/>
      <x:c r="G669" s="20"/>
      <x:c r="H669" s="20"/>
      <x:c r="I669" s="20"/>
      <x:c r="J669" s="20"/>
      <x:c r="K669" s="20"/>
      <x:c r="L669" s="20"/>
      <x:c r="M669" s="20"/>
      <x:c r="N669" s="20"/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  <x:c r="Y669" s="21"/>
    </x:row>
    <x:row r="670">
      <x:c r="A670" s="19"/>
      <x:c r="B670" s="27"/>
      <x:c r="C670" s="20"/>
      <x:c r="D670" s="28"/>
      <x:c r="E670" s="20"/>
      <x:c r="F670" s="25"/>
      <x:c r="G670" s="20"/>
      <x:c r="H670" s="20"/>
      <x:c r="I670" s="20"/>
      <x:c r="J670" s="20"/>
      <x:c r="K670" s="20"/>
      <x:c r="L670" s="20"/>
      <x:c r="M670" s="20"/>
      <x:c r="N670" s="20"/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  <x:c r="Y670" s="21"/>
    </x:row>
    <x:row r="671">
      <x:c r="A671" s="19"/>
      <x:c r="B671" s="27"/>
      <x:c r="C671" s="20"/>
      <x:c r="D671" s="28"/>
      <x:c r="E671" s="20"/>
      <x:c r="F671" s="25"/>
      <x:c r="G671" s="20"/>
      <x:c r="H671" s="20"/>
      <x:c r="I671" s="20"/>
      <x:c r="J671" s="20"/>
      <x:c r="K671" s="20"/>
      <x:c r="L671" s="20"/>
      <x:c r="M671" s="20"/>
      <x:c r="N671" s="20"/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  <x:c r="Y671" s="21"/>
    </x:row>
    <x:row r="672">
      <x:c r="A672" s="19"/>
      <x:c r="B672" s="27"/>
      <x:c r="C672" s="20"/>
      <x:c r="D672" s="28"/>
      <x:c r="E672" s="20"/>
      <x:c r="F672" s="25"/>
      <x:c r="G672" s="20"/>
      <x:c r="H672" s="20"/>
      <x:c r="I672" s="20"/>
      <x:c r="J672" s="20"/>
      <x:c r="K672" s="20"/>
      <x:c r="L672" s="20"/>
      <x:c r="M672" s="20"/>
      <x:c r="N672" s="20"/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  <x:c r="Y672" s="21"/>
    </x:row>
    <x:row r="673">
      <x:c r="A673" s="19"/>
      <x:c r="B673" s="27"/>
      <x:c r="C673" s="20"/>
      <x:c r="D673" s="28"/>
      <x:c r="E673" s="20"/>
      <x:c r="F673" s="25"/>
      <x:c r="G673" s="20"/>
      <x:c r="H673" s="20"/>
      <x:c r="I673" s="20"/>
      <x:c r="J673" s="20"/>
      <x:c r="K673" s="20"/>
      <x:c r="L673" s="20"/>
      <x:c r="M673" s="20"/>
      <x:c r="N673" s="20"/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  <x:c r="Y673" s="21"/>
    </x:row>
    <x:row r="674">
      <x:c r="A674" s="19"/>
      <x:c r="B674" s="27"/>
      <x:c r="C674" s="20"/>
      <x:c r="D674" s="28"/>
      <x:c r="E674" s="20"/>
      <x:c r="F674" s="25"/>
      <x:c r="G674" s="20"/>
      <x:c r="H674" s="20"/>
      <x:c r="I674" s="20"/>
      <x:c r="J674" s="20"/>
      <x:c r="K674" s="20"/>
      <x:c r="L674" s="20"/>
      <x:c r="M674" s="20"/>
      <x:c r="N674" s="20"/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  <x:c r="Y674" s="21"/>
    </x:row>
    <x:row r="675">
      <x:c r="A675" s="19"/>
      <x:c r="B675" s="27"/>
      <x:c r="C675" s="20"/>
      <x:c r="D675" s="28"/>
      <x:c r="E675" s="20"/>
      <x:c r="F675" s="25"/>
      <x:c r="G675" s="20"/>
      <x:c r="H675" s="20"/>
      <x:c r="I675" s="20"/>
      <x:c r="J675" s="20"/>
      <x:c r="K675" s="20"/>
      <x:c r="L675" s="20"/>
      <x:c r="M675" s="20"/>
      <x:c r="N675" s="20"/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  <x:c r="Y675" s="21"/>
    </x:row>
    <x:row r="676">
      <x:c r="A676" s="19"/>
      <x:c r="B676" s="27"/>
      <x:c r="C676" s="20"/>
      <x:c r="D676" s="28"/>
      <x:c r="E676" s="20"/>
      <x:c r="F676" s="25"/>
      <x:c r="G676" s="20"/>
      <x:c r="H676" s="20"/>
      <x:c r="I676" s="20"/>
      <x:c r="J676" s="20"/>
      <x:c r="K676" s="20"/>
      <x:c r="L676" s="20"/>
      <x:c r="M676" s="20"/>
      <x:c r="N676" s="20"/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  <x:c r="Y676" s="21"/>
    </x:row>
    <x:row r="677">
      <x:c r="A677" s="19"/>
      <x:c r="B677" s="27"/>
      <x:c r="C677" s="20"/>
      <x:c r="D677" s="28"/>
      <x:c r="E677" s="20"/>
      <x:c r="F677" s="25"/>
      <x:c r="G677" s="20"/>
      <x:c r="H677" s="20"/>
      <x:c r="I677" s="20"/>
      <x:c r="J677" s="20"/>
      <x:c r="K677" s="20"/>
      <x:c r="L677" s="20"/>
      <x:c r="M677" s="20"/>
      <x:c r="N677" s="20"/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  <x:c r="Y677" s="21"/>
    </x:row>
    <x:row r="678">
      <x:c r="A678" s="19"/>
      <x:c r="B678" s="27"/>
      <x:c r="C678" s="20"/>
      <x:c r="D678" s="28"/>
      <x:c r="E678" s="20"/>
      <x:c r="F678" s="25"/>
      <x:c r="G678" s="20"/>
      <x:c r="H678" s="20"/>
      <x:c r="I678" s="20"/>
      <x:c r="J678" s="20"/>
      <x:c r="K678" s="20"/>
      <x:c r="L678" s="20"/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1"/>
    </x:row>
    <x:row r="679">
      <x:c r="A679" s="19"/>
      <x:c r="B679" s="27"/>
      <x:c r="C679" s="20"/>
      <x:c r="D679" s="28"/>
      <x:c r="E679" s="20"/>
      <x:c r="F679" s="25"/>
      <x:c r="G679" s="20"/>
      <x:c r="H679" s="20"/>
      <x:c r="I679" s="20"/>
      <x:c r="J679" s="20"/>
      <x:c r="K679" s="20"/>
      <x:c r="L679" s="20"/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1"/>
    </x:row>
    <x:row r="680">
      <x:c r="A680" s="19"/>
      <x:c r="B680" s="27"/>
      <x:c r="C680" s="20"/>
      <x:c r="D680" s="28"/>
      <x:c r="E680" s="20"/>
      <x:c r="F680" s="25"/>
      <x:c r="G680" s="20"/>
      <x:c r="H680" s="20"/>
      <x:c r="I680" s="20"/>
      <x:c r="J680" s="20"/>
      <x:c r="K680" s="20"/>
      <x:c r="L680" s="20"/>
      <x:c r="M680" s="20"/>
      <x:c r="N680" s="20"/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  <x:c r="Y680" s="21"/>
    </x:row>
    <x:row r="681">
      <x:c r="A681" s="19"/>
      <x:c r="B681" s="27"/>
      <x:c r="C681" s="20"/>
      <x:c r="D681" s="28"/>
      <x:c r="E681" s="20"/>
      <x:c r="F681" s="25"/>
      <x:c r="G681" s="20"/>
      <x:c r="H681" s="20"/>
      <x:c r="I681" s="20"/>
      <x:c r="J681" s="20"/>
      <x:c r="K681" s="20"/>
      <x:c r="L681" s="20"/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1"/>
    </x:row>
    <x:row r="682">
      <x:c r="A682" s="19"/>
      <x:c r="B682" s="27"/>
      <x:c r="C682" s="20"/>
      <x:c r="D682" s="28"/>
      <x:c r="E682" s="20"/>
      <x:c r="F682" s="25"/>
      <x:c r="G682" s="20"/>
      <x:c r="H682" s="20"/>
      <x:c r="I682" s="20"/>
      <x:c r="J682" s="20"/>
      <x:c r="K682" s="20"/>
      <x:c r="L682" s="20"/>
      <x:c r="M682" s="20"/>
      <x:c r="N682" s="20"/>
      <x:c r="O682" s="20"/>
      <x:c r="P682" s="20"/>
      <x:c r="Q682" s="20"/>
      <x:c r="R682" s="20"/>
      <x:c r="S682" s="20"/>
      <x:c r="T682" s="20"/>
      <x:c r="U682" s="20"/>
      <x:c r="V682" s="20"/>
      <x:c r="W682" s="20"/>
      <x:c r="X682" s="20"/>
      <x:c r="Y682" s="21"/>
    </x:row>
    <x:row r="683">
      <x:c r="A683" s="19"/>
      <x:c r="B683" s="27"/>
      <x:c r="C683" s="20"/>
      <x:c r="D683" s="28"/>
      <x:c r="E683" s="20"/>
      <x:c r="F683" s="25"/>
      <x:c r="G683" s="20"/>
      <x:c r="H683" s="20"/>
      <x:c r="I683" s="20"/>
      <x:c r="J683" s="20"/>
      <x:c r="K683" s="20"/>
      <x:c r="L683" s="20"/>
      <x:c r="M683" s="20"/>
      <x:c r="N683" s="20"/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  <x:c r="Y683" s="21"/>
    </x:row>
    <x:row r="684">
      <x:c r="A684" s="19"/>
      <x:c r="B684" s="27"/>
      <x:c r="C684" s="20"/>
      <x:c r="D684" s="28"/>
      <x:c r="E684" s="20"/>
      <x:c r="F684" s="25"/>
      <x:c r="G684" s="20"/>
      <x:c r="H684" s="20"/>
      <x:c r="I684" s="20"/>
      <x:c r="J684" s="20"/>
      <x:c r="K684" s="20"/>
      <x:c r="L684" s="20"/>
      <x:c r="M684" s="20"/>
      <x:c r="N684" s="20"/>
      <x:c r="O684" s="20"/>
      <x:c r="P684" s="20"/>
      <x:c r="Q684" s="20"/>
      <x:c r="R684" s="20"/>
      <x:c r="S684" s="20"/>
      <x:c r="T684" s="20"/>
      <x:c r="U684" s="20"/>
      <x:c r="V684" s="20"/>
      <x:c r="W684" s="20"/>
      <x:c r="X684" s="20"/>
      <x:c r="Y684" s="21"/>
    </x:row>
    <x:row r="685">
      <x:c r="A685" s="19"/>
      <x:c r="B685" s="27"/>
      <x:c r="C685" s="20"/>
      <x:c r="D685" s="28"/>
      <x:c r="E685" s="20"/>
      <x:c r="F685" s="25"/>
      <x:c r="G685" s="20"/>
      <x:c r="H685" s="20"/>
      <x:c r="I685" s="20"/>
      <x:c r="J685" s="20"/>
      <x:c r="K685" s="20"/>
      <x:c r="L685" s="20"/>
      <x:c r="M685" s="20"/>
      <x:c r="N685" s="20"/>
      <x:c r="O685" s="20"/>
      <x:c r="P685" s="20"/>
      <x:c r="Q685" s="20"/>
      <x:c r="R685" s="20"/>
      <x:c r="S685" s="20"/>
      <x:c r="T685" s="20"/>
      <x:c r="U685" s="20"/>
      <x:c r="V685" s="20"/>
      <x:c r="W685" s="20"/>
      <x:c r="X685" s="20"/>
      <x:c r="Y685" s="21"/>
    </x:row>
    <x:row r="686">
      <x:c r="A686" s="19"/>
      <x:c r="B686" s="27"/>
      <x:c r="C686" s="20"/>
      <x:c r="D686" s="28"/>
      <x:c r="E686" s="20"/>
      <x:c r="F686" s="25"/>
      <x:c r="G686" s="20"/>
      <x:c r="H686" s="20"/>
      <x:c r="I686" s="20"/>
      <x:c r="J686" s="20"/>
      <x:c r="K686" s="20"/>
      <x:c r="L686" s="20"/>
      <x:c r="M686" s="20"/>
      <x:c r="N686" s="20"/>
      <x:c r="O686" s="20"/>
      <x:c r="P686" s="20"/>
      <x:c r="Q686" s="20"/>
      <x:c r="R686" s="20"/>
      <x:c r="S686" s="20"/>
      <x:c r="T686" s="20"/>
      <x:c r="U686" s="20"/>
      <x:c r="V686" s="20"/>
      <x:c r="W686" s="20"/>
      <x:c r="X686" s="20"/>
      <x:c r="Y686" s="21"/>
    </x:row>
    <x:row r="687">
      <x:c r="A687" s="19"/>
      <x:c r="B687" s="27"/>
      <x:c r="C687" s="20"/>
      <x:c r="D687" s="28"/>
      <x:c r="E687" s="20"/>
      <x:c r="F687" s="25"/>
      <x:c r="G687" s="20"/>
      <x:c r="H687" s="20"/>
      <x:c r="I687" s="20"/>
      <x:c r="J687" s="20"/>
      <x:c r="K687" s="20"/>
      <x:c r="L687" s="20"/>
      <x:c r="M687" s="20"/>
      <x:c r="N687" s="20"/>
      <x:c r="O687" s="20"/>
      <x:c r="P687" s="20"/>
      <x:c r="Q687" s="20"/>
      <x:c r="R687" s="20"/>
      <x:c r="S687" s="20"/>
      <x:c r="T687" s="20"/>
      <x:c r="U687" s="20"/>
      <x:c r="V687" s="20"/>
      <x:c r="W687" s="20"/>
      <x:c r="X687" s="20"/>
      <x:c r="Y687" s="21"/>
    </x:row>
    <x:row r="688">
      <x:c r="A688" s="19"/>
      <x:c r="B688" s="27"/>
      <x:c r="C688" s="20"/>
      <x:c r="D688" s="28"/>
      <x:c r="E688" s="20"/>
      <x:c r="F688" s="25"/>
      <x:c r="G688" s="20"/>
      <x:c r="H688" s="20"/>
      <x:c r="I688" s="20"/>
      <x:c r="J688" s="20"/>
      <x:c r="K688" s="20"/>
      <x:c r="L688" s="20"/>
      <x:c r="M688" s="20"/>
      <x:c r="N688" s="20"/>
      <x:c r="O688" s="20"/>
      <x:c r="P688" s="20"/>
      <x:c r="Q688" s="20"/>
      <x:c r="R688" s="20"/>
      <x:c r="S688" s="20"/>
      <x:c r="T688" s="20"/>
      <x:c r="U688" s="20"/>
      <x:c r="V688" s="20"/>
      <x:c r="W688" s="20"/>
      <x:c r="X688" s="20"/>
      <x:c r="Y688" s="21"/>
    </x:row>
    <x:row r="689">
      <x:c r="A689" s="19"/>
      <x:c r="B689" s="27"/>
      <x:c r="C689" s="20"/>
      <x:c r="D689" s="28"/>
      <x:c r="E689" s="20"/>
      <x:c r="F689" s="25"/>
      <x:c r="G689" s="20"/>
      <x:c r="H689" s="20"/>
      <x:c r="I689" s="20"/>
      <x:c r="J689" s="20"/>
      <x:c r="K689" s="20"/>
      <x:c r="L689" s="20"/>
      <x:c r="M689" s="20"/>
      <x:c r="N689" s="20"/>
      <x:c r="O689" s="20"/>
      <x:c r="P689" s="20"/>
      <x:c r="Q689" s="20"/>
      <x:c r="R689" s="20"/>
      <x:c r="S689" s="20"/>
      <x:c r="T689" s="20"/>
      <x:c r="U689" s="20"/>
      <x:c r="V689" s="20"/>
      <x:c r="W689" s="20"/>
      <x:c r="X689" s="20"/>
      <x:c r="Y689" s="21"/>
    </x:row>
    <x:row r="690">
      <x:c r="A690" s="19"/>
      <x:c r="B690" s="27"/>
      <x:c r="C690" s="20"/>
      <x:c r="D690" s="28"/>
      <x:c r="E690" s="20"/>
      <x:c r="F690" s="25"/>
      <x:c r="G690" s="20"/>
      <x:c r="H690" s="20"/>
      <x:c r="I690" s="20"/>
      <x:c r="J690" s="20"/>
      <x:c r="K690" s="20"/>
      <x:c r="L690" s="20"/>
      <x:c r="M690" s="20"/>
      <x:c r="N690" s="20"/>
      <x:c r="O690" s="20"/>
      <x:c r="P690" s="20"/>
      <x:c r="Q690" s="20"/>
      <x:c r="R690" s="20"/>
      <x:c r="S690" s="20"/>
      <x:c r="T690" s="20"/>
      <x:c r="U690" s="20"/>
      <x:c r="V690" s="20"/>
      <x:c r="W690" s="20"/>
      <x:c r="X690" s="20"/>
      <x:c r="Y690" s="21"/>
    </x:row>
    <x:row r="691">
      <x:c r="A691" s="19"/>
      <x:c r="B691" s="27"/>
      <x:c r="C691" s="20"/>
      <x:c r="D691" s="28"/>
      <x:c r="E691" s="20"/>
      <x:c r="F691" s="25"/>
      <x:c r="G691" s="20"/>
      <x:c r="H691" s="20"/>
      <x:c r="I691" s="20"/>
      <x:c r="J691" s="20"/>
      <x:c r="K691" s="20"/>
      <x:c r="L691" s="20"/>
      <x:c r="M691" s="20"/>
      <x:c r="N691" s="20"/>
      <x:c r="O691" s="20"/>
      <x:c r="P691" s="20"/>
      <x:c r="Q691" s="20"/>
      <x:c r="R691" s="20"/>
      <x:c r="S691" s="20"/>
      <x:c r="T691" s="20"/>
      <x:c r="U691" s="20"/>
      <x:c r="V691" s="20"/>
      <x:c r="W691" s="20"/>
      <x:c r="X691" s="20"/>
      <x:c r="Y691" s="21"/>
    </x:row>
    <x:row r="692">
      <x:c r="A692" s="19"/>
      <x:c r="B692" s="27"/>
      <x:c r="C692" s="20"/>
      <x:c r="D692" s="28"/>
      <x:c r="E692" s="20"/>
      <x:c r="F692" s="25"/>
      <x:c r="G692" s="20"/>
      <x:c r="H692" s="20"/>
      <x:c r="I692" s="20"/>
      <x:c r="J692" s="20"/>
      <x:c r="K692" s="20"/>
      <x:c r="L692" s="20"/>
      <x:c r="M692" s="20"/>
      <x:c r="N692" s="20"/>
      <x:c r="O692" s="20"/>
      <x:c r="P692" s="20"/>
      <x:c r="Q692" s="20"/>
      <x:c r="R692" s="20"/>
      <x:c r="S692" s="20"/>
      <x:c r="T692" s="20"/>
      <x:c r="U692" s="20"/>
      <x:c r="V692" s="20"/>
      <x:c r="W692" s="20"/>
      <x:c r="X692" s="20"/>
      <x:c r="Y692" s="21"/>
    </x:row>
    <x:row r="693">
      <x:c r="A693" s="19"/>
      <x:c r="B693" s="27"/>
      <x:c r="C693" s="20"/>
      <x:c r="D693" s="28"/>
      <x:c r="E693" s="20"/>
      <x:c r="F693" s="25"/>
      <x:c r="G693" s="20"/>
      <x:c r="H693" s="20"/>
      <x:c r="I693" s="20"/>
      <x:c r="J693" s="20"/>
      <x:c r="K693" s="20"/>
      <x:c r="L693" s="20"/>
      <x:c r="M693" s="20"/>
      <x:c r="N693" s="20"/>
      <x:c r="O693" s="20"/>
      <x:c r="P693" s="20"/>
      <x:c r="Q693" s="20"/>
      <x:c r="R693" s="20"/>
      <x:c r="S693" s="20"/>
      <x:c r="T693" s="20"/>
      <x:c r="U693" s="20"/>
      <x:c r="V693" s="20"/>
      <x:c r="W693" s="20"/>
      <x:c r="X693" s="20"/>
      <x:c r="Y693" s="21"/>
    </x:row>
    <x:row r="694">
      <x:c r="A694" s="19"/>
      <x:c r="B694" s="27"/>
      <x:c r="C694" s="20"/>
      <x:c r="D694" s="28"/>
      <x:c r="E694" s="20"/>
      <x:c r="F694" s="25"/>
      <x:c r="G694" s="20"/>
      <x:c r="H694" s="20"/>
      <x:c r="I694" s="20"/>
      <x:c r="J694" s="20"/>
      <x:c r="K694" s="20"/>
      <x:c r="L694" s="20"/>
      <x:c r="M694" s="20"/>
      <x:c r="N694" s="20"/>
      <x:c r="O694" s="20"/>
      <x:c r="P694" s="20"/>
      <x:c r="Q694" s="20"/>
      <x:c r="R694" s="20"/>
      <x:c r="S694" s="20"/>
      <x:c r="T694" s="20"/>
      <x:c r="U694" s="20"/>
      <x:c r="V694" s="20"/>
      <x:c r="W694" s="20"/>
      <x:c r="X694" s="20"/>
      <x:c r="Y694" s="21"/>
    </x:row>
    <x:row r="695">
      <x:c r="A695" s="19"/>
      <x:c r="B695" s="27"/>
      <x:c r="C695" s="20"/>
      <x:c r="D695" s="28"/>
      <x:c r="E695" s="20"/>
      <x:c r="F695" s="25"/>
      <x:c r="G695" s="20"/>
      <x:c r="H695" s="20"/>
      <x:c r="I695" s="20"/>
      <x:c r="J695" s="20"/>
      <x:c r="K695" s="20"/>
      <x:c r="L695" s="20"/>
      <x:c r="M695" s="20"/>
      <x:c r="N695" s="20"/>
      <x:c r="O695" s="20"/>
      <x:c r="P695" s="20"/>
      <x:c r="Q695" s="20"/>
      <x:c r="R695" s="20"/>
      <x:c r="S695" s="20"/>
      <x:c r="T695" s="20"/>
      <x:c r="U695" s="20"/>
      <x:c r="V695" s="20"/>
      <x:c r="W695" s="20"/>
      <x:c r="X695" s="20"/>
      <x:c r="Y695" s="21"/>
    </x:row>
    <x:row r="696">
      <x:c r="A696" s="19"/>
      <x:c r="B696" s="27"/>
      <x:c r="C696" s="20"/>
      <x:c r="D696" s="28"/>
      <x:c r="E696" s="20"/>
      <x:c r="F696" s="25"/>
      <x:c r="G696" s="20"/>
      <x:c r="H696" s="20"/>
      <x:c r="I696" s="20"/>
      <x:c r="J696" s="20"/>
      <x:c r="K696" s="20"/>
      <x:c r="L696" s="20"/>
      <x:c r="M696" s="20"/>
      <x:c r="N696" s="20"/>
      <x:c r="O696" s="20"/>
      <x:c r="P696" s="20"/>
      <x:c r="Q696" s="20"/>
      <x:c r="R696" s="20"/>
      <x:c r="S696" s="20"/>
      <x:c r="T696" s="20"/>
      <x:c r="U696" s="20"/>
      <x:c r="V696" s="20"/>
      <x:c r="W696" s="20"/>
      <x:c r="X696" s="20"/>
      <x:c r="Y696" s="21"/>
    </x:row>
    <x:row r="697">
      <x:c r="A697" s="19"/>
      <x:c r="B697" s="27"/>
      <x:c r="C697" s="20"/>
      <x:c r="D697" s="28"/>
      <x:c r="E697" s="20"/>
      <x:c r="F697" s="25"/>
      <x:c r="G697" s="20"/>
      <x:c r="H697" s="20"/>
      <x:c r="I697" s="20"/>
      <x:c r="J697" s="20"/>
      <x:c r="K697" s="20"/>
      <x:c r="L697" s="20"/>
      <x:c r="M697" s="20"/>
      <x:c r="N697" s="20"/>
      <x:c r="O697" s="20"/>
      <x:c r="P697" s="20"/>
      <x:c r="Q697" s="20"/>
      <x:c r="R697" s="20"/>
      <x:c r="S697" s="20"/>
      <x:c r="T697" s="20"/>
      <x:c r="U697" s="20"/>
      <x:c r="V697" s="20"/>
      <x:c r="W697" s="20"/>
      <x:c r="X697" s="20"/>
      <x:c r="Y697" s="21"/>
    </x:row>
    <x:row r="698">
      <x:c r="A698" s="19"/>
      <x:c r="B698" s="27"/>
      <x:c r="C698" s="20"/>
      <x:c r="D698" s="28"/>
      <x:c r="E698" s="20"/>
      <x:c r="F698" s="25"/>
      <x:c r="G698" s="20"/>
      <x:c r="H698" s="20"/>
      <x:c r="I698" s="20"/>
      <x:c r="J698" s="20"/>
      <x:c r="K698" s="20"/>
      <x:c r="L698" s="20"/>
      <x:c r="M698" s="20"/>
      <x:c r="N698" s="20"/>
      <x:c r="O698" s="20"/>
      <x:c r="P698" s="20"/>
      <x:c r="Q698" s="20"/>
      <x:c r="R698" s="20"/>
      <x:c r="S698" s="20"/>
      <x:c r="T698" s="20"/>
      <x:c r="U698" s="20"/>
      <x:c r="V698" s="20"/>
      <x:c r="W698" s="20"/>
      <x:c r="X698" s="20"/>
      <x:c r="Y698" s="21"/>
    </x:row>
    <x:row r="699">
      <x:c r="A699" s="19"/>
      <x:c r="B699" s="27"/>
      <x:c r="C699" s="20"/>
      <x:c r="D699" s="28"/>
      <x:c r="E699" s="20"/>
      <x:c r="F699" s="25"/>
      <x:c r="G699" s="20"/>
      <x:c r="H699" s="20"/>
      <x:c r="I699" s="20"/>
      <x:c r="J699" s="20"/>
      <x:c r="K699" s="20"/>
      <x:c r="L699" s="20"/>
      <x:c r="M699" s="20"/>
      <x:c r="N699" s="20"/>
      <x:c r="O699" s="20"/>
      <x:c r="P699" s="20"/>
      <x:c r="Q699" s="20"/>
      <x:c r="R699" s="20"/>
      <x:c r="S699" s="20"/>
      <x:c r="T699" s="20"/>
      <x:c r="U699" s="20"/>
      <x:c r="V699" s="20"/>
      <x:c r="W699" s="20"/>
      <x:c r="X699" s="20"/>
      <x:c r="Y699" s="21"/>
    </x:row>
    <x:row r="700">
      <x:c r="A700" s="19"/>
      <x:c r="B700" s="27"/>
      <x:c r="C700" s="20"/>
      <x:c r="D700" s="28"/>
      <x:c r="E700" s="20"/>
      <x:c r="F700" s="25"/>
      <x:c r="G700" s="20"/>
      <x:c r="H700" s="20"/>
      <x:c r="I700" s="20"/>
      <x:c r="J700" s="20"/>
      <x:c r="K700" s="20"/>
      <x:c r="L700" s="20"/>
      <x:c r="M700" s="20"/>
      <x:c r="N700" s="20"/>
      <x:c r="O700" s="20"/>
      <x:c r="P700" s="20"/>
      <x:c r="Q700" s="20"/>
      <x:c r="R700" s="20"/>
      <x:c r="S700" s="20"/>
      <x:c r="T700" s="20"/>
      <x:c r="U700" s="20"/>
      <x:c r="V700" s="20"/>
      <x:c r="W700" s="20"/>
      <x:c r="X700" s="20"/>
      <x:c r="Y700" s="21"/>
    </x:row>
    <x:row r="701">
      <x:c r="A701" s="19"/>
      <x:c r="B701" s="27"/>
      <x:c r="C701" s="20"/>
      <x:c r="D701" s="28"/>
      <x:c r="E701" s="20"/>
      <x:c r="F701" s="25"/>
      <x:c r="G701" s="20"/>
      <x:c r="H701" s="20"/>
      <x:c r="I701" s="20"/>
      <x:c r="J701" s="20"/>
      <x:c r="K701" s="20"/>
      <x:c r="L701" s="20"/>
      <x:c r="M701" s="20"/>
      <x:c r="N701" s="20"/>
      <x:c r="O701" s="20"/>
      <x:c r="P701" s="20"/>
      <x:c r="Q701" s="20"/>
      <x:c r="R701" s="20"/>
      <x:c r="S701" s="20"/>
      <x:c r="T701" s="20"/>
      <x:c r="U701" s="20"/>
      <x:c r="V701" s="20"/>
      <x:c r="W701" s="20"/>
      <x:c r="X701" s="20"/>
      <x:c r="Y701" s="21"/>
    </x:row>
    <x:row r="702">
      <x:c r="A702" s="19"/>
      <x:c r="B702" s="27"/>
      <x:c r="C702" s="20"/>
      <x:c r="D702" s="28"/>
      <x:c r="E702" s="20"/>
      <x:c r="F702" s="25"/>
      <x:c r="G702" s="20"/>
      <x:c r="H702" s="20"/>
      <x:c r="I702" s="20"/>
      <x:c r="J702" s="20"/>
      <x:c r="K702" s="20"/>
      <x:c r="L702" s="20"/>
      <x:c r="M702" s="20"/>
      <x:c r="N702" s="20"/>
      <x:c r="O702" s="20"/>
      <x:c r="P702" s="20"/>
      <x:c r="Q702" s="20"/>
      <x:c r="R702" s="20"/>
      <x:c r="S702" s="20"/>
      <x:c r="T702" s="20"/>
      <x:c r="U702" s="20"/>
      <x:c r="V702" s="20"/>
      <x:c r="W702" s="20"/>
      <x:c r="X702" s="20"/>
      <x:c r="Y702" s="21"/>
    </x:row>
    <x:row r="703">
      <x:c r="A703" s="19"/>
      <x:c r="B703" s="27"/>
      <x:c r="C703" s="20"/>
      <x:c r="D703" s="28"/>
      <x:c r="E703" s="20"/>
      <x:c r="F703" s="25"/>
      <x:c r="G703" s="20"/>
      <x:c r="H703" s="20"/>
      <x:c r="I703" s="20"/>
      <x:c r="J703" s="20"/>
      <x:c r="K703" s="20"/>
      <x:c r="L703" s="20"/>
      <x:c r="M703" s="20"/>
      <x:c r="N703" s="20"/>
      <x:c r="O703" s="20"/>
      <x:c r="P703" s="20"/>
      <x:c r="Q703" s="20"/>
      <x:c r="R703" s="20"/>
      <x:c r="S703" s="20"/>
      <x:c r="T703" s="20"/>
      <x:c r="U703" s="20"/>
      <x:c r="V703" s="20"/>
      <x:c r="W703" s="20"/>
      <x:c r="X703" s="20"/>
      <x:c r="Y703" s="21"/>
    </x:row>
    <x:row r="704">
      <x:c r="A704" s="19"/>
      <x:c r="B704" s="27"/>
      <x:c r="C704" s="20"/>
      <x:c r="D704" s="28"/>
      <x:c r="E704" s="20"/>
      <x:c r="F704" s="25"/>
      <x:c r="G704" s="20"/>
      <x:c r="H704" s="20"/>
      <x:c r="I704" s="20"/>
      <x:c r="J704" s="20"/>
      <x:c r="K704" s="20"/>
      <x:c r="L704" s="20"/>
      <x:c r="M704" s="20"/>
      <x:c r="N704" s="20"/>
      <x:c r="O704" s="20"/>
      <x:c r="P704" s="20"/>
      <x:c r="Q704" s="20"/>
      <x:c r="R704" s="20"/>
      <x:c r="S704" s="20"/>
      <x:c r="T704" s="20"/>
      <x:c r="U704" s="20"/>
      <x:c r="V704" s="20"/>
      <x:c r="W704" s="20"/>
      <x:c r="X704" s="20"/>
      <x:c r="Y704" s="21"/>
    </x:row>
    <x:row r="705">
      <x:c r="A705" s="19"/>
      <x:c r="B705" s="27"/>
      <x:c r="C705" s="20"/>
      <x:c r="D705" s="28"/>
      <x:c r="E705" s="20"/>
      <x:c r="F705" s="25"/>
      <x:c r="G705" s="20"/>
      <x:c r="H705" s="20"/>
      <x:c r="I705" s="20"/>
      <x:c r="J705" s="20"/>
      <x:c r="K705" s="20"/>
      <x:c r="L705" s="20"/>
      <x:c r="M705" s="20"/>
      <x:c r="N705" s="20"/>
      <x:c r="O705" s="20"/>
      <x:c r="P705" s="20"/>
      <x:c r="Q705" s="20"/>
      <x:c r="R705" s="20"/>
      <x:c r="S705" s="20"/>
      <x:c r="T705" s="20"/>
      <x:c r="U705" s="20"/>
      <x:c r="V705" s="20"/>
      <x:c r="W705" s="20"/>
      <x:c r="X705" s="20"/>
      <x:c r="Y705" s="21"/>
    </x:row>
    <x:row r="706">
      <x:c r="A706" s="19"/>
      <x:c r="B706" s="27"/>
      <x:c r="C706" s="20"/>
      <x:c r="D706" s="28"/>
      <x:c r="E706" s="20"/>
      <x:c r="F706" s="25"/>
      <x:c r="G706" s="20"/>
      <x:c r="H706" s="20"/>
      <x:c r="I706" s="20"/>
      <x:c r="J706" s="20"/>
      <x:c r="K706" s="20"/>
      <x:c r="L706" s="20"/>
      <x:c r="M706" s="20"/>
      <x:c r="N706" s="20"/>
      <x:c r="O706" s="20"/>
      <x:c r="P706" s="20"/>
      <x:c r="Q706" s="20"/>
      <x:c r="R706" s="20"/>
      <x:c r="S706" s="20"/>
      <x:c r="T706" s="20"/>
      <x:c r="U706" s="20"/>
      <x:c r="V706" s="20"/>
      <x:c r="W706" s="20"/>
      <x:c r="X706" s="20"/>
      <x:c r="Y706" s="21"/>
    </x:row>
    <x:row r="707">
      <x:c r="A707" s="19"/>
      <x:c r="B707" s="27"/>
      <x:c r="C707" s="20"/>
      <x:c r="D707" s="28"/>
      <x:c r="E707" s="20"/>
      <x:c r="F707" s="25"/>
      <x:c r="G707" s="20"/>
      <x:c r="H707" s="20"/>
      <x:c r="I707" s="20"/>
      <x:c r="J707" s="20"/>
      <x:c r="K707" s="20"/>
      <x:c r="L707" s="20"/>
      <x:c r="M707" s="20"/>
      <x:c r="N707" s="20"/>
      <x:c r="O707" s="20"/>
      <x:c r="P707" s="20"/>
      <x:c r="Q707" s="20"/>
      <x:c r="R707" s="20"/>
      <x:c r="S707" s="20"/>
      <x:c r="T707" s="20"/>
      <x:c r="U707" s="20"/>
      <x:c r="V707" s="20"/>
      <x:c r="W707" s="20"/>
      <x:c r="X707" s="20"/>
      <x:c r="Y707" s="21"/>
    </x:row>
    <x:row r="708">
      <x:c r="A708" s="19"/>
      <x:c r="B708" s="27"/>
      <x:c r="C708" s="20"/>
      <x:c r="D708" s="28"/>
      <x:c r="E708" s="20"/>
      <x:c r="F708" s="25"/>
      <x:c r="G708" s="20"/>
      <x:c r="H708" s="20"/>
      <x:c r="I708" s="20"/>
      <x:c r="J708" s="20"/>
      <x:c r="K708" s="20"/>
      <x:c r="L708" s="20"/>
      <x:c r="M708" s="20"/>
      <x:c r="N708" s="20"/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  <x:c r="Y708" s="21"/>
    </x:row>
    <x:row r="709">
      <x:c r="A709" s="19"/>
      <x:c r="B709" s="27"/>
      <x:c r="C709" s="20"/>
      <x:c r="D709" s="28"/>
      <x:c r="E709" s="20"/>
      <x:c r="F709" s="25"/>
      <x:c r="G709" s="20"/>
      <x:c r="H709" s="20"/>
      <x:c r="I709" s="20"/>
      <x:c r="J709" s="20"/>
      <x:c r="K709" s="20"/>
      <x:c r="L709" s="20"/>
      <x:c r="M709" s="20"/>
      <x:c r="N709" s="20"/>
      <x:c r="O709" s="20"/>
      <x:c r="P709" s="20"/>
      <x:c r="Q709" s="20"/>
      <x:c r="R709" s="20"/>
      <x:c r="S709" s="20"/>
      <x:c r="T709" s="20"/>
      <x:c r="U709" s="20"/>
      <x:c r="V709" s="20"/>
      <x:c r="W709" s="20"/>
      <x:c r="X709" s="20"/>
      <x:c r="Y709" s="21"/>
    </x:row>
    <x:row r="710">
      <x:c r="A710" s="19"/>
      <x:c r="B710" s="27"/>
      <x:c r="C710" s="20"/>
      <x:c r="D710" s="28"/>
      <x:c r="E710" s="20"/>
      <x:c r="F710" s="25"/>
      <x:c r="G710" s="20"/>
      <x:c r="H710" s="20"/>
      <x:c r="I710" s="20"/>
      <x:c r="J710" s="20"/>
      <x:c r="K710" s="20"/>
      <x:c r="L710" s="20"/>
      <x:c r="M710" s="20"/>
      <x:c r="N710" s="20"/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  <x:c r="Y710" s="21"/>
    </x:row>
    <x:row r="711">
      <x:c r="A711" s="19"/>
      <x:c r="B711" s="27"/>
      <x:c r="C711" s="20"/>
      <x:c r="D711" s="28"/>
      <x:c r="E711" s="20"/>
      <x:c r="F711" s="25"/>
      <x:c r="G711" s="20"/>
      <x:c r="H711" s="20"/>
      <x:c r="I711" s="20"/>
      <x:c r="J711" s="20"/>
      <x:c r="K711" s="20"/>
      <x:c r="L711" s="20"/>
      <x:c r="M711" s="20"/>
      <x:c r="N711" s="20"/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  <x:c r="Y711" s="21"/>
    </x:row>
    <x:row r="712">
      <x:c r="A712" s="19"/>
      <x:c r="B712" s="27"/>
      <x:c r="C712" s="20"/>
      <x:c r="D712" s="28"/>
      <x:c r="E712" s="20"/>
      <x:c r="F712" s="25"/>
      <x:c r="G712" s="20"/>
      <x:c r="H712" s="20"/>
      <x:c r="I712" s="20"/>
      <x:c r="J712" s="20"/>
      <x:c r="K712" s="20"/>
      <x:c r="L712" s="20"/>
      <x:c r="M712" s="20"/>
      <x:c r="N712" s="20"/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  <x:c r="Y712" s="21"/>
    </x:row>
    <x:row r="713">
      <x:c r="A713" s="19"/>
      <x:c r="B713" s="27"/>
      <x:c r="C713" s="20"/>
      <x:c r="D713" s="28"/>
      <x:c r="E713" s="20"/>
      <x:c r="F713" s="25"/>
      <x:c r="G713" s="20"/>
      <x:c r="H713" s="20"/>
      <x:c r="I713" s="20"/>
      <x:c r="J713" s="20"/>
      <x:c r="K713" s="20"/>
      <x:c r="L713" s="20"/>
      <x:c r="M713" s="20"/>
      <x:c r="N713" s="20"/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  <x:c r="Y713" s="21"/>
    </x:row>
    <x:row r="714">
      <x:c r="A714" s="19"/>
      <x:c r="B714" s="27"/>
      <x:c r="C714" s="20"/>
      <x:c r="D714" s="28"/>
      <x:c r="E714" s="20"/>
      <x:c r="F714" s="25"/>
      <x:c r="G714" s="20"/>
      <x:c r="H714" s="20"/>
      <x:c r="I714" s="20"/>
      <x:c r="J714" s="20"/>
      <x:c r="K714" s="20"/>
      <x:c r="L714" s="20"/>
      <x:c r="M714" s="20"/>
      <x:c r="N714" s="20"/>
      <x:c r="O714" s="20"/>
      <x:c r="P714" s="20"/>
      <x:c r="Q714" s="20"/>
      <x:c r="R714" s="20"/>
      <x:c r="S714" s="20"/>
      <x:c r="T714" s="20"/>
      <x:c r="U714" s="20"/>
      <x:c r="V714" s="20"/>
      <x:c r="W714" s="20"/>
      <x:c r="X714" s="20"/>
      <x:c r="Y714" s="21"/>
    </x:row>
    <x:row r="715">
      <x:c r="A715" s="19"/>
      <x:c r="B715" s="27"/>
      <x:c r="C715" s="20"/>
      <x:c r="D715" s="28"/>
      <x:c r="E715" s="20"/>
      <x:c r="F715" s="25"/>
      <x:c r="G715" s="20"/>
      <x:c r="H715" s="20"/>
      <x:c r="I715" s="20"/>
      <x:c r="J715" s="20"/>
      <x:c r="K715" s="20"/>
      <x:c r="L715" s="20"/>
      <x:c r="M715" s="20"/>
      <x:c r="N715" s="20"/>
      <x:c r="O715" s="20"/>
      <x:c r="P715" s="20"/>
      <x:c r="Q715" s="20"/>
      <x:c r="R715" s="20"/>
      <x:c r="S715" s="20"/>
      <x:c r="T715" s="20"/>
      <x:c r="U715" s="20"/>
      <x:c r="V715" s="20"/>
      <x:c r="W715" s="20"/>
      <x:c r="X715" s="20"/>
      <x:c r="Y715" s="21"/>
    </x:row>
    <x:row r="716">
      <x:c r="A716" s="19"/>
      <x:c r="B716" s="27"/>
      <x:c r="C716" s="20"/>
      <x:c r="D716" s="28"/>
      <x:c r="E716" s="20"/>
      <x:c r="F716" s="25"/>
      <x:c r="G716" s="20"/>
      <x:c r="H716" s="20"/>
      <x:c r="I716" s="20"/>
      <x:c r="J716" s="20"/>
      <x:c r="K716" s="20"/>
      <x:c r="L716" s="20"/>
      <x:c r="M716" s="20"/>
      <x:c r="N716" s="20"/>
      <x:c r="O716" s="20"/>
      <x:c r="P716" s="20"/>
      <x:c r="Q716" s="20"/>
      <x:c r="R716" s="20"/>
      <x:c r="S716" s="20"/>
      <x:c r="T716" s="20"/>
      <x:c r="U716" s="20"/>
      <x:c r="V716" s="20"/>
      <x:c r="W716" s="20"/>
      <x:c r="X716" s="20"/>
      <x:c r="Y716" s="21"/>
    </x:row>
    <x:row r="717">
      <x:c r="A717" s="19"/>
      <x:c r="B717" s="27"/>
      <x:c r="C717" s="20"/>
      <x:c r="D717" s="28"/>
      <x:c r="E717" s="20"/>
      <x:c r="F717" s="25"/>
      <x:c r="G717" s="20"/>
      <x:c r="H717" s="20"/>
      <x:c r="I717" s="20"/>
      <x:c r="J717" s="20"/>
      <x:c r="K717" s="20"/>
      <x:c r="L717" s="20"/>
      <x:c r="M717" s="20"/>
      <x:c r="N717" s="20"/>
      <x:c r="O717" s="20"/>
      <x:c r="P717" s="20"/>
      <x:c r="Q717" s="20"/>
      <x:c r="R717" s="20"/>
      <x:c r="S717" s="20"/>
      <x:c r="T717" s="20"/>
      <x:c r="U717" s="20"/>
      <x:c r="V717" s="20"/>
      <x:c r="W717" s="20"/>
      <x:c r="X717" s="20"/>
      <x:c r="Y717" s="21"/>
    </x:row>
    <x:row r="718">
      <x:c r="A718" s="19"/>
      <x:c r="B718" s="27"/>
      <x:c r="C718" s="20"/>
      <x:c r="D718" s="28"/>
      <x:c r="E718" s="20"/>
      <x:c r="F718" s="25"/>
      <x:c r="G718" s="20"/>
      <x:c r="H718" s="20"/>
      <x:c r="I718" s="20"/>
      <x:c r="J718" s="20"/>
      <x:c r="K718" s="20"/>
      <x:c r="L718" s="20"/>
      <x:c r="M718" s="20"/>
      <x:c r="N718" s="20"/>
      <x:c r="O718" s="20"/>
      <x:c r="P718" s="20"/>
      <x:c r="Q718" s="20"/>
      <x:c r="R718" s="20"/>
      <x:c r="S718" s="20"/>
      <x:c r="T718" s="20"/>
      <x:c r="U718" s="20"/>
      <x:c r="V718" s="20"/>
      <x:c r="W718" s="20"/>
      <x:c r="X718" s="20"/>
      <x:c r="Y718" s="21"/>
    </x:row>
    <x:row r="719">
      <x:c r="A719" s="19"/>
      <x:c r="B719" s="27"/>
      <x:c r="C719" s="20"/>
      <x:c r="D719" s="28"/>
      <x:c r="E719" s="20"/>
      <x:c r="F719" s="25"/>
      <x:c r="G719" s="20"/>
      <x:c r="H719" s="20"/>
      <x:c r="I719" s="20"/>
      <x:c r="J719" s="20"/>
      <x:c r="K719" s="20"/>
      <x:c r="L719" s="20"/>
      <x:c r="M719" s="20"/>
      <x:c r="N719" s="20"/>
      <x:c r="O719" s="20"/>
      <x:c r="P719" s="20"/>
      <x:c r="Q719" s="20"/>
      <x:c r="R719" s="20"/>
      <x:c r="S719" s="20"/>
      <x:c r="T719" s="20"/>
      <x:c r="U719" s="20"/>
      <x:c r="V719" s="20"/>
      <x:c r="W719" s="20"/>
      <x:c r="X719" s="20"/>
      <x:c r="Y719" s="21"/>
    </x:row>
    <x:row r="720">
      <x:c r="A720" s="19"/>
      <x:c r="B720" s="27"/>
      <x:c r="C720" s="20"/>
      <x:c r="D720" s="28"/>
      <x:c r="E720" s="20"/>
      <x:c r="F720" s="25"/>
      <x:c r="G720" s="20"/>
      <x:c r="H720" s="20"/>
      <x:c r="I720" s="20"/>
      <x:c r="J720" s="20"/>
      <x:c r="K720" s="20"/>
      <x:c r="L720" s="20"/>
      <x:c r="M720" s="20"/>
      <x:c r="N720" s="20"/>
      <x:c r="O720" s="20"/>
      <x:c r="P720" s="20"/>
      <x:c r="Q720" s="20"/>
      <x:c r="R720" s="20"/>
      <x:c r="S720" s="20"/>
      <x:c r="T720" s="20"/>
      <x:c r="U720" s="20"/>
      <x:c r="V720" s="20"/>
      <x:c r="W720" s="20"/>
      <x:c r="X720" s="20"/>
      <x:c r="Y720" s="21"/>
    </x:row>
    <x:row r="721">
      <x:c r="A721" s="19"/>
      <x:c r="B721" s="27"/>
      <x:c r="C721" s="20"/>
      <x:c r="D721" s="28"/>
      <x:c r="E721" s="20"/>
      <x:c r="F721" s="25"/>
      <x:c r="G721" s="20"/>
      <x:c r="H721" s="20"/>
      <x:c r="I721" s="20"/>
      <x:c r="J721" s="20"/>
      <x:c r="K721" s="20"/>
      <x:c r="L721" s="20"/>
      <x:c r="M721" s="20"/>
      <x:c r="N721" s="20"/>
      <x:c r="O721" s="20"/>
      <x:c r="P721" s="20"/>
      <x:c r="Q721" s="20"/>
      <x:c r="R721" s="20"/>
      <x:c r="S721" s="20"/>
      <x:c r="T721" s="20"/>
      <x:c r="U721" s="20"/>
      <x:c r="V721" s="20"/>
      <x:c r="W721" s="20"/>
      <x:c r="X721" s="20"/>
      <x:c r="Y721" s="21"/>
    </x:row>
    <x:row r="722">
      <x:c r="A722" s="19"/>
      <x:c r="B722" s="27"/>
      <x:c r="C722" s="20"/>
      <x:c r="D722" s="28"/>
      <x:c r="E722" s="20"/>
      <x:c r="F722" s="25"/>
      <x:c r="G722" s="20"/>
      <x:c r="H722" s="20"/>
      <x:c r="I722" s="20"/>
      <x:c r="J722" s="20"/>
      <x:c r="K722" s="20"/>
      <x:c r="L722" s="20"/>
      <x:c r="M722" s="20"/>
      <x:c r="N722" s="20"/>
      <x:c r="O722" s="20"/>
      <x:c r="P722" s="20"/>
      <x:c r="Q722" s="20"/>
      <x:c r="R722" s="20"/>
      <x:c r="S722" s="20"/>
      <x:c r="T722" s="20"/>
      <x:c r="U722" s="20"/>
      <x:c r="V722" s="20"/>
      <x:c r="W722" s="20"/>
      <x:c r="X722" s="20"/>
      <x:c r="Y722" s="21"/>
    </x:row>
    <x:row r="723">
      <x:c r="A723" s="19"/>
      <x:c r="B723" s="27"/>
      <x:c r="C723" s="20"/>
      <x:c r="D723" s="28"/>
      <x:c r="E723" s="20"/>
      <x:c r="F723" s="25"/>
      <x:c r="G723" s="20"/>
      <x:c r="H723" s="20"/>
      <x:c r="I723" s="20"/>
      <x:c r="J723" s="20"/>
      <x:c r="K723" s="20"/>
      <x:c r="L723" s="20"/>
      <x:c r="M723" s="20"/>
      <x:c r="N723" s="20"/>
      <x:c r="O723" s="20"/>
      <x:c r="P723" s="20"/>
      <x:c r="Q723" s="20"/>
      <x:c r="R723" s="20"/>
      <x:c r="S723" s="20"/>
      <x:c r="T723" s="20"/>
      <x:c r="U723" s="20"/>
      <x:c r="V723" s="20"/>
      <x:c r="W723" s="20"/>
      <x:c r="X723" s="20"/>
      <x:c r="Y723" s="21"/>
    </x:row>
    <x:row r="724">
      <x:c r="A724" s="19"/>
      <x:c r="B724" s="27"/>
      <x:c r="C724" s="20"/>
      <x:c r="D724" s="28"/>
      <x:c r="E724" s="20"/>
      <x:c r="F724" s="25"/>
      <x:c r="G724" s="20"/>
      <x:c r="H724" s="20"/>
      <x:c r="I724" s="20"/>
      <x:c r="J724" s="20"/>
      <x:c r="K724" s="20"/>
      <x:c r="L724" s="20"/>
      <x:c r="M724" s="20"/>
      <x:c r="N724" s="20"/>
      <x:c r="O724" s="20"/>
      <x:c r="P724" s="20"/>
      <x:c r="Q724" s="20"/>
      <x:c r="R724" s="20"/>
      <x:c r="S724" s="20"/>
      <x:c r="T724" s="20"/>
      <x:c r="U724" s="20"/>
      <x:c r="V724" s="20"/>
      <x:c r="W724" s="20"/>
      <x:c r="X724" s="20"/>
      <x:c r="Y724" s="21"/>
    </x:row>
    <x:row r="725">
      <x:c r="A725" s="19"/>
      <x:c r="B725" s="27"/>
      <x:c r="C725" s="20"/>
      <x:c r="D725" s="28"/>
      <x:c r="E725" s="20"/>
      <x:c r="F725" s="25"/>
      <x:c r="G725" s="20"/>
      <x:c r="H725" s="20"/>
      <x:c r="I725" s="20"/>
      <x:c r="J725" s="20"/>
      <x:c r="K725" s="20"/>
      <x:c r="L725" s="20"/>
      <x:c r="M725" s="20"/>
      <x:c r="N725" s="20"/>
      <x:c r="O725" s="20"/>
      <x:c r="P725" s="20"/>
      <x:c r="Q725" s="20"/>
      <x:c r="R725" s="20"/>
      <x:c r="S725" s="20"/>
      <x:c r="T725" s="20"/>
      <x:c r="U725" s="20"/>
      <x:c r="V725" s="20"/>
      <x:c r="W725" s="20"/>
      <x:c r="X725" s="20"/>
      <x:c r="Y725" s="21"/>
    </x:row>
    <x:row r="726">
      <x:c r="A726" s="19"/>
      <x:c r="B726" s="27"/>
      <x:c r="C726" s="20"/>
      <x:c r="D726" s="28"/>
      <x:c r="E726" s="20"/>
      <x:c r="F726" s="25"/>
      <x:c r="G726" s="20"/>
      <x:c r="H726" s="20"/>
      <x:c r="I726" s="20"/>
      <x:c r="J726" s="20"/>
      <x:c r="K726" s="20"/>
      <x:c r="L726" s="20"/>
      <x:c r="M726" s="20"/>
      <x:c r="N726" s="20"/>
      <x:c r="O726" s="20"/>
      <x:c r="P726" s="20"/>
      <x:c r="Q726" s="20"/>
      <x:c r="R726" s="20"/>
      <x:c r="S726" s="20"/>
      <x:c r="T726" s="20"/>
      <x:c r="U726" s="20"/>
      <x:c r="V726" s="20"/>
      <x:c r="W726" s="20"/>
      <x:c r="X726" s="20"/>
      <x:c r="Y726" s="21"/>
    </x:row>
    <x:row r="727">
      <x:c r="A727" s="19"/>
      <x:c r="B727" s="27"/>
      <x:c r="C727" s="20"/>
      <x:c r="D727" s="28"/>
      <x:c r="E727" s="20"/>
      <x:c r="F727" s="25"/>
      <x:c r="G727" s="20"/>
      <x:c r="H727" s="20"/>
      <x:c r="I727" s="20"/>
      <x:c r="J727" s="20"/>
      <x:c r="K727" s="20"/>
      <x:c r="L727" s="20"/>
      <x:c r="M727" s="20"/>
      <x:c r="N727" s="20"/>
      <x:c r="O727" s="20"/>
      <x:c r="P727" s="20"/>
      <x:c r="Q727" s="20"/>
      <x:c r="R727" s="20"/>
      <x:c r="S727" s="20"/>
      <x:c r="T727" s="20"/>
      <x:c r="U727" s="20"/>
      <x:c r="V727" s="20"/>
      <x:c r="W727" s="20"/>
      <x:c r="X727" s="20"/>
      <x:c r="Y727" s="21"/>
    </x:row>
    <x:row r="728">
      <x:c r="A728" s="19"/>
      <x:c r="B728" s="27"/>
      <x:c r="C728" s="20"/>
      <x:c r="D728" s="28"/>
      <x:c r="E728" s="20"/>
      <x:c r="F728" s="25"/>
      <x:c r="G728" s="20"/>
      <x:c r="H728" s="20"/>
      <x:c r="I728" s="20"/>
      <x:c r="J728" s="20"/>
      <x:c r="K728" s="20"/>
      <x:c r="L728" s="20"/>
      <x:c r="M728" s="20"/>
      <x:c r="N728" s="20"/>
      <x:c r="O728" s="20"/>
      <x:c r="P728" s="20"/>
      <x:c r="Q728" s="20"/>
      <x:c r="R728" s="20"/>
      <x:c r="S728" s="20"/>
      <x:c r="T728" s="20"/>
      <x:c r="U728" s="20"/>
      <x:c r="V728" s="20"/>
      <x:c r="W728" s="20"/>
      <x:c r="X728" s="20"/>
      <x:c r="Y728" s="21"/>
    </x:row>
    <x:row r="729">
      <x:c r="A729" s="19"/>
      <x:c r="B729" s="27"/>
      <x:c r="C729" s="20"/>
      <x:c r="D729" s="28"/>
      <x:c r="E729" s="20"/>
      <x:c r="F729" s="25"/>
      <x:c r="G729" s="20"/>
      <x:c r="H729" s="20"/>
      <x:c r="I729" s="20"/>
      <x:c r="J729" s="20"/>
      <x:c r="K729" s="20"/>
      <x:c r="L729" s="20"/>
      <x:c r="M729" s="20"/>
      <x:c r="N729" s="20"/>
      <x:c r="O729" s="20"/>
      <x:c r="P729" s="20"/>
      <x:c r="Q729" s="20"/>
      <x:c r="R729" s="20"/>
      <x:c r="S729" s="20"/>
      <x:c r="T729" s="20"/>
      <x:c r="U729" s="20"/>
      <x:c r="V729" s="20"/>
      <x:c r="W729" s="20"/>
      <x:c r="X729" s="20"/>
      <x:c r="Y729" s="21"/>
    </x:row>
    <x:row r="730">
      <x:c r="A730" s="19"/>
      <x:c r="B730" s="27"/>
      <x:c r="C730" s="20"/>
      <x:c r="D730" s="28"/>
      <x:c r="E730" s="20"/>
      <x:c r="F730" s="25"/>
      <x:c r="G730" s="20"/>
      <x:c r="H730" s="20"/>
      <x:c r="I730" s="20"/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  <x:c r="Y730" s="21"/>
    </x:row>
    <x:row r="731">
      <x:c r="A731" s="19"/>
      <x:c r="B731" s="27"/>
      <x:c r="C731" s="20"/>
      <x:c r="D731" s="28"/>
      <x:c r="E731" s="20"/>
      <x:c r="F731" s="25"/>
      <x:c r="G731" s="20"/>
      <x:c r="H731" s="20"/>
      <x:c r="I731" s="20"/>
      <x:c r="J731" s="20"/>
      <x:c r="K731" s="20"/>
      <x:c r="L731" s="20"/>
      <x:c r="M731" s="20"/>
      <x:c r="N731" s="20"/>
      <x:c r="O731" s="20"/>
      <x:c r="P731" s="20"/>
      <x:c r="Q731" s="20"/>
      <x:c r="R731" s="20"/>
      <x:c r="S731" s="20"/>
      <x:c r="T731" s="20"/>
      <x:c r="U731" s="20"/>
      <x:c r="V731" s="20"/>
      <x:c r="W731" s="20"/>
      <x:c r="X731" s="20"/>
      <x:c r="Y731" s="21"/>
    </x:row>
    <x:row r="732">
      <x:c r="A732" s="19"/>
      <x:c r="B732" s="27"/>
      <x:c r="C732" s="20"/>
      <x:c r="D732" s="28"/>
      <x:c r="E732" s="20"/>
      <x:c r="F732" s="25"/>
      <x:c r="G732" s="20"/>
      <x:c r="H732" s="20"/>
      <x:c r="I732" s="20"/>
      <x:c r="J732" s="20"/>
      <x:c r="K732" s="20"/>
      <x:c r="L732" s="20"/>
      <x:c r="M732" s="20"/>
      <x:c r="N732" s="20"/>
      <x:c r="O732" s="20"/>
      <x:c r="P732" s="20"/>
      <x:c r="Q732" s="20"/>
      <x:c r="R732" s="20"/>
      <x:c r="S732" s="20"/>
      <x:c r="T732" s="20"/>
      <x:c r="U732" s="20"/>
      <x:c r="V732" s="20"/>
      <x:c r="W732" s="20"/>
      <x:c r="X732" s="20"/>
      <x:c r="Y732" s="21"/>
    </x:row>
    <x:row r="733">
      <x:c r="A733" s="19"/>
      <x:c r="B733" s="27"/>
      <x:c r="C733" s="20"/>
      <x:c r="D733" s="28"/>
      <x:c r="E733" s="20"/>
      <x:c r="F733" s="25"/>
      <x:c r="G733" s="20"/>
      <x:c r="H733" s="20"/>
      <x:c r="I733" s="20"/>
      <x:c r="J733" s="20"/>
      <x:c r="K733" s="20"/>
      <x:c r="L733" s="20"/>
      <x:c r="M733" s="20"/>
      <x:c r="N733" s="20"/>
      <x:c r="O733" s="20"/>
      <x:c r="P733" s="20"/>
      <x:c r="Q733" s="20"/>
      <x:c r="R733" s="20"/>
      <x:c r="S733" s="20"/>
      <x:c r="T733" s="20"/>
      <x:c r="U733" s="20"/>
      <x:c r="V733" s="20"/>
      <x:c r="W733" s="20"/>
      <x:c r="X733" s="20"/>
      <x:c r="Y733" s="21"/>
    </x:row>
    <x:row r="734">
      <x:c r="A734" s="19"/>
      <x:c r="B734" s="27"/>
      <x:c r="C734" s="20"/>
      <x:c r="D734" s="28"/>
      <x:c r="E734" s="20"/>
      <x:c r="F734" s="25"/>
      <x:c r="G734" s="20"/>
      <x:c r="H734" s="20"/>
      <x:c r="I734" s="20"/>
      <x:c r="J734" s="20"/>
      <x:c r="K734" s="20"/>
      <x:c r="L734" s="20"/>
      <x:c r="M734" s="20"/>
      <x:c r="N734" s="20"/>
      <x:c r="O734" s="20"/>
      <x:c r="P734" s="20"/>
      <x:c r="Q734" s="20"/>
      <x:c r="R734" s="20"/>
      <x:c r="S734" s="20"/>
      <x:c r="T734" s="20"/>
      <x:c r="U734" s="20"/>
      <x:c r="V734" s="20"/>
      <x:c r="W734" s="20"/>
      <x:c r="X734" s="20"/>
      <x:c r="Y734" s="21"/>
    </x:row>
    <x:row r="735">
      <x:c r="A735" s="19"/>
      <x:c r="B735" s="27"/>
      <x:c r="C735" s="20"/>
      <x:c r="D735" s="28"/>
      <x:c r="E735" s="20"/>
      <x:c r="F735" s="25"/>
      <x:c r="G735" s="20"/>
      <x:c r="H735" s="20"/>
      <x:c r="I735" s="20"/>
      <x:c r="J735" s="20"/>
      <x:c r="K735" s="20"/>
      <x:c r="L735" s="20"/>
      <x:c r="M735" s="20"/>
      <x:c r="N735" s="20"/>
      <x:c r="O735" s="20"/>
      <x:c r="P735" s="20"/>
      <x:c r="Q735" s="20"/>
      <x:c r="R735" s="20"/>
      <x:c r="S735" s="20"/>
      <x:c r="T735" s="20"/>
      <x:c r="U735" s="20"/>
      <x:c r="V735" s="20"/>
      <x:c r="W735" s="20"/>
      <x:c r="X735" s="20"/>
      <x:c r="Y735" s="21"/>
    </x:row>
    <x:row r="736">
      <x:c r="A736" s="19"/>
      <x:c r="B736" s="27"/>
      <x:c r="C736" s="20"/>
      <x:c r="D736" s="28"/>
      <x:c r="E736" s="20"/>
      <x:c r="F736" s="25"/>
      <x:c r="G736" s="20"/>
      <x:c r="H736" s="20"/>
      <x:c r="I736" s="20"/>
      <x:c r="J736" s="20"/>
      <x:c r="K736" s="20"/>
      <x:c r="L736" s="20"/>
      <x:c r="M736" s="20"/>
      <x:c r="N736" s="20"/>
      <x:c r="O736" s="20"/>
      <x:c r="P736" s="20"/>
      <x:c r="Q736" s="20"/>
      <x:c r="R736" s="20"/>
      <x:c r="S736" s="20"/>
      <x:c r="T736" s="20"/>
      <x:c r="U736" s="20"/>
      <x:c r="V736" s="20"/>
      <x:c r="W736" s="20"/>
      <x:c r="X736" s="20"/>
      <x:c r="Y736" s="21"/>
    </x:row>
    <x:row r="737">
      <x:c r="A737" s="19"/>
      <x:c r="B737" s="27"/>
      <x:c r="C737" s="20"/>
      <x:c r="D737" s="28"/>
      <x:c r="E737" s="20"/>
      <x:c r="F737" s="25"/>
      <x:c r="G737" s="20"/>
      <x:c r="H737" s="20"/>
      <x:c r="I737" s="20"/>
      <x:c r="J737" s="20"/>
      <x:c r="K737" s="20"/>
      <x:c r="L737" s="20"/>
      <x:c r="M737" s="20"/>
      <x:c r="N737" s="20"/>
      <x:c r="O737" s="20"/>
      <x:c r="P737" s="20"/>
      <x:c r="Q737" s="20"/>
      <x:c r="R737" s="20"/>
      <x:c r="S737" s="20"/>
      <x:c r="T737" s="20"/>
      <x:c r="U737" s="20"/>
      <x:c r="V737" s="20"/>
      <x:c r="W737" s="20"/>
      <x:c r="X737" s="20"/>
      <x:c r="Y737" s="21"/>
    </x:row>
    <x:row r="738">
      <x:c r="A738" s="19"/>
      <x:c r="B738" s="27"/>
      <x:c r="C738" s="20"/>
      <x:c r="D738" s="28"/>
      <x:c r="E738" s="20"/>
      <x:c r="F738" s="25"/>
      <x:c r="G738" s="20"/>
      <x:c r="H738" s="20"/>
      <x:c r="I738" s="20"/>
      <x:c r="J738" s="20"/>
      <x:c r="K738" s="20"/>
      <x:c r="L738" s="20"/>
      <x:c r="M738" s="20"/>
      <x:c r="N738" s="20"/>
      <x:c r="O738" s="20"/>
      <x:c r="P738" s="20"/>
      <x:c r="Q738" s="20"/>
      <x:c r="R738" s="20"/>
      <x:c r="S738" s="20"/>
      <x:c r="T738" s="20"/>
      <x:c r="U738" s="20"/>
      <x:c r="V738" s="20"/>
      <x:c r="W738" s="20"/>
      <x:c r="X738" s="20"/>
      <x:c r="Y738" s="21"/>
    </x:row>
    <x:row r="739">
      <x:c r="A739" s="19"/>
      <x:c r="B739" s="27"/>
      <x:c r="C739" s="20"/>
      <x:c r="D739" s="28"/>
      <x:c r="E739" s="20"/>
      <x:c r="F739" s="25"/>
      <x:c r="G739" s="20"/>
      <x:c r="H739" s="20"/>
      <x:c r="I739" s="20"/>
      <x:c r="J739" s="20"/>
      <x:c r="K739" s="20"/>
      <x:c r="L739" s="20"/>
      <x:c r="M739" s="20"/>
      <x:c r="N739" s="20"/>
      <x:c r="O739" s="20"/>
      <x:c r="P739" s="20"/>
      <x:c r="Q739" s="20"/>
      <x:c r="R739" s="20"/>
      <x:c r="S739" s="20"/>
      <x:c r="T739" s="20"/>
      <x:c r="U739" s="20"/>
      <x:c r="V739" s="20"/>
      <x:c r="W739" s="20"/>
      <x:c r="X739" s="20"/>
      <x:c r="Y739" s="21"/>
    </x:row>
    <x:row r="740">
      <x:c r="A740" s="19"/>
      <x:c r="B740" s="27"/>
      <x:c r="C740" s="20"/>
      <x:c r="D740" s="28"/>
      <x:c r="E740" s="20"/>
      <x:c r="F740" s="25"/>
      <x:c r="G740" s="20"/>
      <x:c r="H740" s="20"/>
      <x:c r="I740" s="20"/>
      <x:c r="J740" s="20"/>
      <x:c r="K740" s="20"/>
      <x:c r="L740" s="20"/>
      <x:c r="M740" s="20"/>
      <x:c r="N740" s="20"/>
      <x:c r="O740" s="20"/>
      <x:c r="P740" s="20"/>
      <x:c r="Q740" s="20"/>
      <x:c r="R740" s="20"/>
      <x:c r="S740" s="20"/>
      <x:c r="T740" s="20"/>
      <x:c r="U740" s="20"/>
      <x:c r="V740" s="20"/>
      <x:c r="W740" s="20"/>
      <x:c r="X740" s="20"/>
      <x:c r="Y740" s="21"/>
    </x:row>
    <x:row r="741">
      <x:c r="A741" s="19"/>
      <x:c r="B741" s="27"/>
      <x:c r="C741" s="20"/>
      <x:c r="D741" s="28"/>
      <x:c r="E741" s="20"/>
      <x:c r="F741" s="25"/>
      <x:c r="G741" s="20"/>
      <x:c r="H741" s="20"/>
      <x:c r="I741" s="20"/>
      <x:c r="J741" s="20"/>
      <x:c r="K741" s="20"/>
      <x:c r="L741" s="20"/>
      <x:c r="M741" s="20"/>
      <x:c r="N741" s="20"/>
      <x:c r="O741" s="20"/>
      <x:c r="P741" s="20"/>
      <x:c r="Q741" s="20"/>
      <x:c r="R741" s="20"/>
      <x:c r="S741" s="20"/>
      <x:c r="T741" s="20"/>
      <x:c r="U741" s="20"/>
      <x:c r="V741" s="20"/>
      <x:c r="W741" s="20"/>
      <x:c r="X741" s="20"/>
      <x:c r="Y741" s="21"/>
    </x:row>
    <x:row r="742">
      <x:c r="A742" s="19"/>
      <x:c r="B742" s="27"/>
      <x:c r="C742" s="20"/>
      <x:c r="D742" s="28"/>
      <x:c r="E742" s="20"/>
      <x:c r="F742" s="25"/>
      <x:c r="G742" s="20"/>
      <x:c r="H742" s="20"/>
      <x:c r="I742" s="20"/>
      <x:c r="J742" s="20"/>
      <x:c r="K742" s="20"/>
      <x:c r="L742" s="20"/>
      <x:c r="M742" s="20"/>
      <x:c r="N742" s="20"/>
      <x:c r="O742" s="20"/>
      <x:c r="P742" s="20"/>
      <x:c r="Q742" s="20"/>
      <x:c r="R742" s="20"/>
      <x:c r="S742" s="20"/>
      <x:c r="T742" s="20"/>
      <x:c r="U742" s="20"/>
      <x:c r="V742" s="20"/>
      <x:c r="W742" s="20"/>
      <x:c r="X742" s="20"/>
      <x:c r="Y742" s="21"/>
    </x:row>
    <x:row r="743">
      <x:c r="A743" s="19"/>
      <x:c r="B743" s="27"/>
      <x:c r="C743" s="20"/>
      <x:c r="D743" s="28"/>
      <x:c r="E743" s="20"/>
      <x:c r="F743" s="25"/>
      <x:c r="G743" s="20"/>
      <x:c r="H743" s="20"/>
      <x:c r="I743" s="20"/>
      <x:c r="J743" s="20"/>
      <x:c r="K743" s="20"/>
      <x:c r="L743" s="20"/>
      <x:c r="M743" s="20"/>
      <x:c r="N743" s="20"/>
      <x:c r="O743" s="20"/>
      <x:c r="P743" s="20"/>
      <x:c r="Q743" s="20"/>
      <x:c r="R743" s="20"/>
      <x:c r="S743" s="20"/>
      <x:c r="T743" s="20"/>
      <x:c r="U743" s="20"/>
      <x:c r="V743" s="20"/>
      <x:c r="W743" s="20"/>
      <x:c r="X743" s="20"/>
      <x:c r="Y743" s="21"/>
    </x:row>
    <x:row r="744">
      <x:c r="A744" s="19"/>
      <x:c r="B744" s="27"/>
      <x:c r="C744" s="20"/>
      <x:c r="D744" s="28"/>
      <x:c r="E744" s="20"/>
      <x:c r="F744" s="25"/>
      <x:c r="G744" s="20"/>
      <x:c r="H744" s="20"/>
      <x:c r="I744" s="20"/>
      <x:c r="J744" s="20"/>
      <x:c r="K744" s="20"/>
      <x:c r="L744" s="20"/>
      <x:c r="M744" s="20"/>
      <x:c r="N744" s="20"/>
      <x:c r="O744" s="20"/>
      <x:c r="P744" s="20"/>
      <x:c r="Q744" s="20"/>
      <x:c r="R744" s="20"/>
      <x:c r="S744" s="20"/>
      <x:c r="T744" s="20"/>
      <x:c r="U744" s="20"/>
      <x:c r="V744" s="20"/>
      <x:c r="W744" s="20"/>
      <x:c r="X744" s="20"/>
      <x:c r="Y744" s="21"/>
    </x:row>
    <x:row r="745">
      <x:c r="A745" s="19"/>
      <x:c r="B745" s="27"/>
      <x:c r="C745" s="20"/>
      <x:c r="D745" s="28"/>
      <x:c r="E745" s="20"/>
      <x:c r="F745" s="25"/>
      <x:c r="G745" s="20"/>
      <x:c r="H745" s="20"/>
      <x:c r="I745" s="20"/>
      <x:c r="J745" s="20"/>
      <x:c r="K745" s="20"/>
      <x:c r="L745" s="20"/>
      <x:c r="M745" s="20"/>
      <x:c r="N745" s="20"/>
      <x:c r="O745" s="20"/>
      <x:c r="P745" s="20"/>
      <x:c r="Q745" s="20"/>
      <x:c r="R745" s="20"/>
      <x:c r="S745" s="20"/>
      <x:c r="T745" s="20"/>
      <x:c r="U745" s="20"/>
      <x:c r="V745" s="20"/>
      <x:c r="W745" s="20"/>
      <x:c r="X745" s="20"/>
      <x:c r="Y745" s="21"/>
    </x:row>
    <x:row r="746">
      <x:c r="A746" s="19"/>
      <x:c r="B746" s="27"/>
      <x:c r="C746" s="20"/>
      <x:c r="D746" s="28"/>
      <x:c r="E746" s="20"/>
      <x:c r="F746" s="25"/>
      <x:c r="G746" s="20"/>
      <x:c r="H746" s="20"/>
      <x:c r="I746" s="20"/>
      <x:c r="J746" s="20"/>
      <x:c r="K746" s="20"/>
      <x:c r="L746" s="20"/>
      <x:c r="M746" s="20"/>
      <x:c r="N746" s="20"/>
      <x:c r="O746" s="20"/>
      <x:c r="P746" s="20"/>
      <x:c r="Q746" s="20"/>
      <x:c r="R746" s="20"/>
      <x:c r="S746" s="20"/>
      <x:c r="T746" s="20"/>
      <x:c r="U746" s="20"/>
      <x:c r="V746" s="20"/>
      <x:c r="W746" s="20"/>
      <x:c r="X746" s="20"/>
      <x:c r="Y746" s="21"/>
    </x:row>
    <x:row r="747">
      <x:c r="A747" s="19"/>
      <x:c r="B747" s="27"/>
      <x:c r="C747" s="20"/>
      <x:c r="D747" s="28"/>
      <x:c r="E747" s="20"/>
      <x:c r="F747" s="25"/>
      <x:c r="G747" s="20"/>
      <x:c r="H747" s="20"/>
      <x:c r="I747" s="20"/>
      <x:c r="J747" s="20"/>
      <x:c r="K747" s="20"/>
      <x:c r="L747" s="20"/>
      <x:c r="M747" s="20"/>
      <x:c r="N747" s="20"/>
      <x:c r="O747" s="20"/>
      <x:c r="P747" s="20"/>
      <x:c r="Q747" s="20"/>
      <x:c r="R747" s="20"/>
      <x:c r="S747" s="20"/>
      <x:c r="T747" s="20"/>
      <x:c r="U747" s="20"/>
      <x:c r="V747" s="20"/>
      <x:c r="W747" s="20"/>
      <x:c r="X747" s="20"/>
      <x:c r="Y747" s="21"/>
    </x:row>
    <x:row r="748">
      <x:c r="A748" s="19"/>
      <x:c r="B748" s="27"/>
      <x:c r="C748" s="20"/>
      <x:c r="D748" s="28"/>
      <x:c r="E748" s="20"/>
      <x:c r="F748" s="25"/>
      <x:c r="G748" s="20"/>
      <x:c r="H748" s="20"/>
      <x:c r="I748" s="20"/>
      <x:c r="J748" s="20"/>
      <x:c r="K748" s="20"/>
      <x:c r="L748" s="20"/>
      <x:c r="M748" s="20"/>
      <x:c r="N748" s="20"/>
      <x:c r="O748" s="20"/>
      <x:c r="P748" s="20"/>
      <x:c r="Q748" s="20"/>
      <x:c r="R748" s="20"/>
      <x:c r="S748" s="20"/>
      <x:c r="T748" s="20"/>
      <x:c r="U748" s="20"/>
      <x:c r="V748" s="20"/>
      <x:c r="W748" s="20"/>
      <x:c r="X748" s="20"/>
      <x:c r="Y748" s="21"/>
    </x:row>
    <x:row r="749">
      <x:c r="A749" s="19"/>
      <x:c r="B749" s="27"/>
      <x:c r="C749" s="20"/>
      <x:c r="D749" s="28"/>
      <x:c r="E749" s="20"/>
      <x:c r="F749" s="25"/>
      <x:c r="G749" s="20"/>
      <x:c r="H749" s="20"/>
      <x:c r="I749" s="20"/>
      <x:c r="J749" s="20"/>
      <x:c r="K749" s="20"/>
      <x:c r="L749" s="20"/>
      <x:c r="M749" s="20"/>
      <x:c r="N749" s="20"/>
      <x:c r="O749" s="20"/>
      <x:c r="P749" s="20"/>
      <x:c r="Q749" s="20"/>
      <x:c r="R749" s="20"/>
      <x:c r="S749" s="20"/>
      <x:c r="T749" s="20"/>
      <x:c r="U749" s="20"/>
      <x:c r="V749" s="20"/>
      <x:c r="W749" s="20"/>
      <x:c r="X749" s="20"/>
      <x:c r="Y749" s="21"/>
    </x:row>
    <x:row r="750">
      <x:c r="A750" s="19"/>
      <x:c r="B750" s="27"/>
      <x:c r="C750" s="20"/>
      <x:c r="D750" s="28"/>
      <x:c r="E750" s="20"/>
      <x:c r="F750" s="25"/>
      <x:c r="G750" s="20"/>
      <x:c r="H750" s="20"/>
      <x:c r="I750" s="20"/>
      <x:c r="J750" s="20"/>
      <x:c r="K750" s="20"/>
      <x:c r="L750" s="20"/>
      <x:c r="M750" s="20"/>
      <x:c r="N750" s="20"/>
      <x:c r="O750" s="20"/>
      <x:c r="P750" s="20"/>
      <x:c r="Q750" s="20"/>
      <x:c r="R750" s="20"/>
      <x:c r="S750" s="20"/>
      <x:c r="T750" s="20"/>
      <x:c r="U750" s="20"/>
      <x:c r="V750" s="20"/>
      <x:c r="W750" s="20"/>
      <x:c r="X750" s="20"/>
      <x:c r="Y750" s="21"/>
    </x:row>
    <x:row r="751">
      <x:c r="A751" s="19"/>
      <x:c r="B751" s="27"/>
      <x:c r="C751" s="20"/>
      <x:c r="D751" s="28"/>
      <x:c r="E751" s="20"/>
      <x:c r="F751" s="25"/>
      <x:c r="G751" s="20"/>
      <x:c r="H751" s="20"/>
      <x:c r="I751" s="20"/>
      <x:c r="J751" s="20"/>
      <x:c r="K751" s="20"/>
      <x:c r="L751" s="20"/>
      <x:c r="M751" s="20"/>
      <x:c r="N751" s="20"/>
      <x:c r="O751" s="20"/>
      <x:c r="P751" s="20"/>
      <x:c r="Q751" s="20"/>
      <x:c r="R751" s="20"/>
      <x:c r="S751" s="20"/>
      <x:c r="T751" s="20"/>
      <x:c r="U751" s="20"/>
      <x:c r="V751" s="20"/>
      <x:c r="W751" s="20"/>
      <x:c r="X751" s="20"/>
      <x:c r="Y751" s="21"/>
    </x:row>
    <x:row r="752">
      <x:c r="A752" s="19"/>
      <x:c r="B752" s="27"/>
      <x:c r="C752" s="20"/>
      <x:c r="D752" s="28"/>
      <x:c r="E752" s="20"/>
      <x:c r="F752" s="25"/>
      <x:c r="G752" s="20"/>
      <x:c r="H752" s="20"/>
      <x:c r="I752" s="20"/>
      <x:c r="J752" s="20"/>
      <x:c r="K752" s="20"/>
      <x:c r="L752" s="20"/>
      <x:c r="M752" s="20"/>
      <x:c r="N752" s="20"/>
      <x:c r="O752" s="20"/>
      <x:c r="P752" s="20"/>
      <x:c r="Q752" s="20"/>
      <x:c r="R752" s="20"/>
      <x:c r="S752" s="20"/>
      <x:c r="T752" s="20"/>
      <x:c r="U752" s="20"/>
      <x:c r="V752" s="20"/>
      <x:c r="W752" s="20"/>
      <x:c r="X752" s="20"/>
      <x:c r="Y752" s="21"/>
    </x:row>
    <x:row r="753">
      <x:c r="A753" s="19"/>
      <x:c r="B753" s="27"/>
      <x:c r="C753" s="20"/>
      <x:c r="D753" s="28"/>
      <x:c r="E753" s="20"/>
      <x:c r="F753" s="25"/>
      <x:c r="G753" s="20"/>
      <x:c r="H753" s="20"/>
      <x:c r="I753" s="20"/>
      <x:c r="J753" s="20"/>
      <x:c r="K753" s="20"/>
      <x:c r="L753" s="20"/>
      <x:c r="M753" s="20"/>
      <x:c r="N753" s="20"/>
      <x:c r="O753" s="20"/>
      <x:c r="P753" s="20"/>
      <x:c r="Q753" s="20"/>
      <x:c r="R753" s="20"/>
      <x:c r="S753" s="20"/>
      <x:c r="T753" s="20"/>
      <x:c r="U753" s="20"/>
      <x:c r="V753" s="20"/>
      <x:c r="W753" s="20"/>
      <x:c r="X753" s="20"/>
      <x:c r="Y753" s="21"/>
    </x:row>
    <x:row r="754">
      <x:c r="A754" s="19"/>
      <x:c r="B754" s="27"/>
      <x:c r="C754" s="20"/>
      <x:c r="D754" s="28"/>
      <x:c r="E754" s="20"/>
      <x:c r="F754" s="25"/>
      <x:c r="G754" s="20"/>
      <x:c r="H754" s="20"/>
      <x:c r="I754" s="20"/>
      <x:c r="J754" s="20"/>
      <x:c r="K754" s="20"/>
      <x:c r="L754" s="20"/>
      <x:c r="M754" s="20"/>
      <x:c r="N754" s="20"/>
      <x:c r="O754" s="20"/>
      <x:c r="P754" s="20"/>
      <x:c r="Q754" s="20"/>
      <x:c r="R754" s="20"/>
      <x:c r="S754" s="20"/>
      <x:c r="T754" s="20"/>
      <x:c r="U754" s="20"/>
      <x:c r="V754" s="20"/>
      <x:c r="W754" s="20"/>
      <x:c r="X754" s="20"/>
      <x:c r="Y754" s="21"/>
    </x:row>
    <x:row r="755">
      <x:c r="A755" s="19"/>
      <x:c r="B755" s="27"/>
      <x:c r="C755" s="20"/>
      <x:c r="D755" s="28"/>
      <x:c r="E755" s="20"/>
      <x:c r="F755" s="25"/>
      <x:c r="G755" s="20"/>
      <x:c r="H755" s="20"/>
      <x:c r="I755" s="20"/>
      <x:c r="J755" s="20"/>
      <x:c r="K755" s="20"/>
      <x:c r="L755" s="20"/>
      <x:c r="M755" s="20"/>
      <x:c r="N755" s="20"/>
      <x:c r="O755" s="20"/>
      <x:c r="P755" s="20"/>
      <x:c r="Q755" s="20"/>
      <x:c r="R755" s="20"/>
      <x:c r="S755" s="20"/>
      <x:c r="T755" s="20"/>
      <x:c r="U755" s="20"/>
      <x:c r="V755" s="20"/>
      <x:c r="W755" s="20"/>
      <x:c r="X755" s="20"/>
      <x:c r="Y755" s="21"/>
    </x:row>
    <x:row r="756">
      <x:c r="A756" s="19"/>
      <x:c r="B756" s="27"/>
      <x:c r="C756" s="20"/>
      <x:c r="D756" s="28"/>
      <x:c r="E756" s="20"/>
      <x:c r="F756" s="25"/>
      <x:c r="G756" s="20"/>
      <x:c r="H756" s="20"/>
      <x:c r="I756" s="20"/>
      <x:c r="J756" s="20"/>
      <x:c r="K756" s="20"/>
      <x:c r="L756" s="20"/>
      <x:c r="M756" s="20"/>
      <x:c r="N756" s="20"/>
      <x:c r="O756" s="20"/>
      <x:c r="P756" s="20"/>
      <x:c r="Q756" s="20"/>
      <x:c r="R756" s="20"/>
      <x:c r="S756" s="20"/>
      <x:c r="T756" s="20"/>
      <x:c r="U756" s="20"/>
      <x:c r="V756" s="20"/>
      <x:c r="W756" s="20"/>
      <x:c r="X756" s="20"/>
      <x:c r="Y756" s="21"/>
    </x:row>
    <x:row r="757">
      <x:c r="A757" s="19"/>
      <x:c r="B757" s="27"/>
      <x:c r="C757" s="20"/>
      <x:c r="D757" s="28"/>
      <x:c r="E757" s="20"/>
      <x:c r="F757" s="25"/>
      <x:c r="G757" s="20"/>
      <x:c r="H757" s="20"/>
      <x:c r="I757" s="20"/>
      <x:c r="J757" s="20"/>
      <x:c r="K757" s="20"/>
      <x:c r="L757" s="20"/>
      <x:c r="M757" s="20"/>
      <x:c r="N757" s="20"/>
      <x:c r="O757" s="20"/>
      <x:c r="P757" s="20"/>
      <x:c r="Q757" s="20"/>
      <x:c r="R757" s="20"/>
      <x:c r="S757" s="20"/>
      <x:c r="T757" s="20"/>
      <x:c r="U757" s="20"/>
      <x:c r="V757" s="20"/>
      <x:c r="W757" s="20"/>
      <x:c r="X757" s="20"/>
      <x:c r="Y757" s="21"/>
    </x:row>
    <x:row r="758">
      <x:c r="A758" s="19"/>
      <x:c r="B758" s="27"/>
      <x:c r="C758" s="20"/>
      <x:c r="D758" s="28"/>
      <x:c r="E758" s="20"/>
      <x:c r="F758" s="25"/>
      <x:c r="G758" s="20"/>
      <x:c r="H758" s="20"/>
      <x:c r="I758" s="20"/>
      <x:c r="J758" s="20"/>
      <x:c r="K758" s="20"/>
      <x:c r="L758" s="20"/>
      <x:c r="M758" s="20"/>
      <x:c r="N758" s="20"/>
      <x:c r="O758" s="20"/>
      <x:c r="P758" s="20"/>
      <x:c r="Q758" s="20"/>
      <x:c r="R758" s="20"/>
      <x:c r="S758" s="20"/>
      <x:c r="T758" s="20"/>
      <x:c r="U758" s="20"/>
      <x:c r="V758" s="20"/>
      <x:c r="W758" s="20"/>
      <x:c r="X758" s="20"/>
      <x:c r="Y758" s="21"/>
    </x:row>
    <x:row r="759">
      <x:c r="A759" s="19"/>
      <x:c r="B759" s="27"/>
      <x:c r="C759" s="20"/>
      <x:c r="D759" s="28"/>
      <x:c r="E759" s="20"/>
      <x:c r="F759" s="25"/>
      <x:c r="G759" s="20"/>
      <x:c r="H759" s="20"/>
      <x:c r="I759" s="20"/>
      <x:c r="J759" s="20"/>
      <x:c r="K759" s="20"/>
      <x:c r="L759" s="20"/>
      <x:c r="M759" s="20"/>
      <x:c r="N759" s="20"/>
      <x:c r="O759" s="20"/>
      <x:c r="P759" s="20"/>
      <x:c r="Q759" s="20"/>
      <x:c r="R759" s="20"/>
      <x:c r="S759" s="20"/>
      <x:c r="T759" s="20"/>
      <x:c r="U759" s="20"/>
      <x:c r="V759" s="20"/>
      <x:c r="W759" s="20"/>
      <x:c r="X759" s="20"/>
      <x:c r="Y759" s="21"/>
    </x:row>
    <x:row r="760">
      <x:c r="A760" s="19"/>
      <x:c r="B760" s="27"/>
      <x:c r="C760" s="20"/>
      <x:c r="D760" s="28"/>
      <x:c r="E760" s="20"/>
      <x:c r="F760" s="25"/>
      <x:c r="G760" s="20"/>
      <x:c r="H760" s="20"/>
      <x:c r="I760" s="20"/>
      <x:c r="J760" s="20"/>
      <x:c r="K760" s="20"/>
      <x:c r="L760" s="20"/>
      <x:c r="M760" s="20"/>
      <x:c r="N760" s="20"/>
      <x:c r="O760" s="20"/>
      <x:c r="P760" s="20"/>
      <x:c r="Q760" s="20"/>
      <x:c r="R760" s="20"/>
      <x:c r="S760" s="20"/>
      <x:c r="T760" s="20"/>
      <x:c r="U760" s="20"/>
      <x:c r="V760" s="20"/>
      <x:c r="W760" s="20"/>
      <x:c r="X760" s="20"/>
      <x:c r="Y760" s="21"/>
    </x:row>
    <x:row r="761">
      <x:c r="A761" s="19"/>
      <x:c r="B761" s="27"/>
      <x:c r="C761" s="20"/>
      <x:c r="D761" s="28"/>
      <x:c r="E761" s="20"/>
      <x:c r="F761" s="25"/>
      <x:c r="G761" s="20"/>
      <x:c r="H761" s="20"/>
      <x:c r="I761" s="20"/>
      <x:c r="J761" s="20"/>
      <x:c r="K761" s="20"/>
      <x:c r="L761" s="20"/>
      <x:c r="M761" s="20"/>
      <x:c r="N761" s="20"/>
      <x:c r="O761" s="20"/>
      <x:c r="P761" s="20"/>
      <x:c r="Q761" s="20"/>
      <x:c r="R761" s="20"/>
      <x:c r="S761" s="20"/>
      <x:c r="T761" s="20"/>
      <x:c r="U761" s="20"/>
      <x:c r="V761" s="20"/>
      <x:c r="W761" s="20"/>
      <x:c r="X761" s="20"/>
      <x:c r="Y761" s="21"/>
    </x:row>
    <x:row r="762">
      <x:c r="A762" s="19"/>
      <x:c r="B762" s="27"/>
      <x:c r="C762" s="20"/>
      <x:c r="D762" s="28"/>
      <x:c r="E762" s="20"/>
      <x:c r="F762" s="25"/>
      <x:c r="G762" s="20"/>
      <x:c r="H762" s="20"/>
      <x:c r="I762" s="20"/>
      <x:c r="J762" s="20"/>
      <x:c r="K762" s="20"/>
      <x:c r="L762" s="20"/>
      <x:c r="M762" s="20"/>
      <x:c r="N762" s="20"/>
      <x:c r="O762" s="20"/>
      <x:c r="P762" s="20"/>
      <x:c r="Q762" s="20"/>
      <x:c r="R762" s="20"/>
      <x:c r="S762" s="20"/>
      <x:c r="T762" s="20"/>
      <x:c r="U762" s="20"/>
      <x:c r="V762" s="20"/>
      <x:c r="W762" s="20"/>
      <x:c r="X762" s="20"/>
      <x:c r="Y762" s="21"/>
    </x:row>
    <x:row r="763">
      <x:c r="A763" s="19"/>
      <x:c r="B763" s="27"/>
      <x:c r="C763" s="20"/>
      <x:c r="D763" s="28"/>
      <x:c r="E763" s="20"/>
      <x:c r="F763" s="25"/>
      <x:c r="G763" s="20"/>
      <x:c r="H763" s="20"/>
      <x:c r="I763" s="20"/>
      <x:c r="J763" s="20"/>
      <x:c r="K763" s="20"/>
      <x:c r="L763" s="20"/>
      <x:c r="M763" s="20"/>
      <x:c r="N763" s="20"/>
      <x:c r="O763" s="20"/>
      <x:c r="P763" s="20"/>
      <x:c r="Q763" s="20"/>
      <x:c r="R763" s="20"/>
      <x:c r="S763" s="20"/>
      <x:c r="T763" s="20"/>
      <x:c r="U763" s="20"/>
      <x:c r="V763" s="20"/>
      <x:c r="W763" s="20"/>
      <x:c r="X763" s="20"/>
      <x:c r="Y763" s="21"/>
    </x:row>
    <x:row r="764">
      <x:c r="A764" s="19"/>
      <x:c r="B764" s="27"/>
      <x:c r="C764" s="20"/>
      <x:c r="D764" s="28"/>
      <x:c r="E764" s="20"/>
      <x:c r="F764" s="25"/>
      <x:c r="G764" s="20"/>
      <x:c r="H764" s="20"/>
      <x:c r="I764" s="20"/>
      <x:c r="J764" s="20"/>
      <x:c r="K764" s="20"/>
      <x:c r="L764" s="20"/>
      <x:c r="M764" s="20"/>
      <x:c r="N764" s="20"/>
      <x:c r="O764" s="20"/>
      <x:c r="P764" s="20"/>
      <x:c r="Q764" s="20"/>
      <x:c r="R764" s="20"/>
      <x:c r="S764" s="20"/>
      <x:c r="T764" s="20"/>
      <x:c r="U764" s="20"/>
      <x:c r="V764" s="20"/>
      <x:c r="W764" s="20"/>
      <x:c r="X764" s="20"/>
      <x:c r="Y764" s="21"/>
    </x:row>
    <x:row r="765">
      <x:c r="A765" s="19"/>
      <x:c r="B765" s="27"/>
      <x:c r="C765" s="20"/>
      <x:c r="D765" s="28"/>
      <x:c r="E765" s="20"/>
      <x:c r="F765" s="25"/>
      <x:c r="G765" s="20"/>
      <x:c r="H765" s="20"/>
      <x:c r="I765" s="20"/>
      <x:c r="J765" s="20"/>
      <x:c r="K765" s="20"/>
      <x:c r="L765" s="20"/>
      <x:c r="M765" s="20"/>
      <x:c r="N765" s="20"/>
      <x:c r="O765" s="20"/>
      <x:c r="P765" s="20"/>
      <x:c r="Q765" s="20"/>
      <x:c r="R765" s="20"/>
      <x:c r="S765" s="20"/>
      <x:c r="T765" s="20"/>
      <x:c r="U765" s="20"/>
      <x:c r="V765" s="20"/>
      <x:c r="W765" s="20"/>
      <x:c r="X765" s="20"/>
      <x:c r="Y765" s="21"/>
    </x:row>
    <x:row r="766">
      <x:c r="A766" s="19"/>
      <x:c r="B766" s="27"/>
      <x:c r="C766" s="20"/>
      <x:c r="D766" s="28"/>
      <x:c r="E766" s="20"/>
      <x:c r="F766" s="25"/>
      <x:c r="G766" s="20"/>
      <x:c r="H766" s="20"/>
      <x:c r="I766" s="20"/>
      <x:c r="J766" s="20"/>
      <x:c r="K766" s="20"/>
      <x:c r="L766" s="20"/>
      <x:c r="M766" s="20"/>
      <x:c r="N766" s="20"/>
      <x:c r="O766" s="20"/>
      <x:c r="P766" s="20"/>
      <x:c r="Q766" s="20"/>
      <x:c r="R766" s="20"/>
      <x:c r="S766" s="20"/>
      <x:c r="T766" s="20"/>
      <x:c r="U766" s="20"/>
      <x:c r="V766" s="20"/>
      <x:c r="W766" s="20"/>
      <x:c r="X766" s="20"/>
      <x:c r="Y766" s="21"/>
    </x:row>
    <x:row r="767">
      <x:c r="A767" s="19"/>
      <x:c r="B767" s="27"/>
      <x:c r="C767" s="20"/>
      <x:c r="D767" s="28"/>
      <x:c r="E767" s="20"/>
      <x:c r="F767" s="25"/>
      <x:c r="G767" s="20"/>
      <x:c r="H767" s="20"/>
      <x:c r="I767" s="20"/>
      <x:c r="J767" s="20"/>
      <x:c r="K767" s="20"/>
      <x:c r="L767" s="20"/>
      <x:c r="M767" s="20"/>
      <x:c r="N767" s="20"/>
      <x:c r="O767" s="20"/>
      <x:c r="P767" s="20"/>
      <x:c r="Q767" s="20"/>
      <x:c r="R767" s="20"/>
      <x:c r="S767" s="20"/>
      <x:c r="T767" s="20"/>
      <x:c r="U767" s="20"/>
      <x:c r="V767" s="20"/>
      <x:c r="W767" s="20"/>
      <x:c r="X767" s="20"/>
      <x:c r="Y767" s="21"/>
    </x:row>
    <x:row r="768">
      <x:c r="A768" s="19"/>
      <x:c r="B768" s="27"/>
      <x:c r="C768" s="20"/>
      <x:c r="D768" s="28"/>
      <x:c r="E768" s="20"/>
      <x:c r="F768" s="25"/>
      <x:c r="G768" s="20"/>
      <x:c r="H768" s="20"/>
      <x:c r="I768" s="20"/>
      <x:c r="J768" s="20"/>
      <x:c r="K768" s="20"/>
      <x:c r="L768" s="20"/>
      <x:c r="M768" s="20"/>
      <x:c r="N768" s="20"/>
      <x:c r="O768" s="20"/>
      <x:c r="P768" s="20"/>
      <x:c r="Q768" s="20"/>
      <x:c r="R768" s="20"/>
      <x:c r="S768" s="20"/>
      <x:c r="T768" s="20"/>
      <x:c r="U768" s="20"/>
      <x:c r="V768" s="20"/>
      <x:c r="W768" s="20"/>
      <x:c r="X768" s="20"/>
      <x:c r="Y768" s="21"/>
    </x:row>
    <x:row r="769">
      <x:c r="A769" s="19"/>
      <x:c r="B769" s="27"/>
      <x:c r="C769" s="20"/>
      <x:c r="D769" s="28"/>
      <x:c r="E769" s="20"/>
      <x:c r="F769" s="25"/>
      <x:c r="G769" s="20"/>
      <x:c r="H769" s="20"/>
      <x:c r="I769" s="20"/>
      <x:c r="J769" s="20"/>
      <x:c r="K769" s="20"/>
      <x:c r="L769" s="20"/>
      <x:c r="M769" s="20"/>
      <x:c r="N769" s="20"/>
      <x:c r="O769" s="20"/>
      <x:c r="P769" s="20"/>
      <x:c r="Q769" s="20"/>
      <x:c r="R769" s="20"/>
      <x:c r="S769" s="20"/>
      <x:c r="T769" s="20"/>
      <x:c r="U769" s="20"/>
      <x:c r="V769" s="20"/>
      <x:c r="W769" s="20"/>
      <x:c r="X769" s="20"/>
      <x:c r="Y769" s="21"/>
    </x:row>
    <x:row r="770">
      <x:c r="A770" s="19"/>
      <x:c r="B770" s="27"/>
      <x:c r="C770" s="20"/>
      <x:c r="D770" s="28"/>
      <x:c r="E770" s="20"/>
      <x:c r="F770" s="25"/>
      <x:c r="G770" s="20"/>
      <x:c r="H770" s="20"/>
      <x:c r="I770" s="20"/>
      <x:c r="J770" s="20"/>
      <x:c r="K770" s="20"/>
      <x:c r="L770" s="20"/>
      <x:c r="M770" s="20"/>
      <x:c r="N770" s="20"/>
      <x:c r="O770" s="20"/>
      <x:c r="P770" s="20"/>
      <x:c r="Q770" s="20"/>
      <x:c r="R770" s="20"/>
      <x:c r="S770" s="20"/>
      <x:c r="T770" s="20"/>
      <x:c r="U770" s="20"/>
      <x:c r="V770" s="20"/>
      <x:c r="W770" s="20"/>
      <x:c r="X770" s="20"/>
      <x:c r="Y770" s="21"/>
    </x:row>
    <x:row r="771">
      <x:c r="A771" s="19"/>
      <x:c r="B771" s="27"/>
      <x:c r="C771" s="20"/>
      <x:c r="D771" s="28"/>
      <x:c r="E771" s="20"/>
      <x:c r="F771" s="25"/>
      <x:c r="G771" s="20"/>
      <x:c r="H771" s="20"/>
      <x:c r="I771" s="20"/>
      <x:c r="J771" s="20"/>
      <x:c r="K771" s="20"/>
      <x:c r="L771" s="20"/>
      <x:c r="M771" s="20"/>
      <x:c r="N771" s="20"/>
      <x:c r="O771" s="20"/>
      <x:c r="P771" s="20"/>
      <x:c r="Q771" s="20"/>
      <x:c r="R771" s="20"/>
      <x:c r="S771" s="20"/>
      <x:c r="T771" s="20"/>
      <x:c r="U771" s="20"/>
      <x:c r="V771" s="20"/>
      <x:c r="W771" s="20"/>
      <x:c r="X771" s="20"/>
      <x:c r="Y771" s="21"/>
    </x:row>
    <x:row r="772">
      <x:c r="A772" s="19"/>
      <x:c r="B772" s="27"/>
      <x:c r="C772" s="20"/>
      <x:c r="D772" s="28"/>
      <x:c r="E772" s="20"/>
      <x:c r="F772" s="25"/>
      <x:c r="G772" s="20"/>
      <x:c r="H772" s="20"/>
      <x:c r="I772" s="20"/>
      <x:c r="J772" s="20"/>
      <x:c r="K772" s="20"/>
      <x:c r="L772" s="20"/>
      <x:c r="M772" s="20"/>
      <x:c r="N772" s="20"/>
      <x:c r="O772" s="20"/>
      <x:c r="P772" s="20"/>
      <x:c r="Q772" s="20"/>
      <x:c r="R772" s="20"/>
      <x:c r="S772" s="20"/>
      <x:c r="T772" s="20"/>
      <x:c r="U772" s="20"/>
      <x:c r="V772" s="20"/>
      <x:c r="W772" s="20"/>
      <x:c r="X772" s="20"/>
      <x:c r="Y772" s="21"/>
    </x:row>
    <x:row r="773">
      <x:c r="A773" s="19"/>
      <x:c r="B773" s="27"/>
      <x:c r="C773" s="20"/>
      <x:c r="D773" s="28"/>
      <x:c r="E773" s="20"/>
      <x:c r="F773" s="25"/>
      <x:c r="G773" s="20"/>
      <x:c r="H773" s="20"/>
      <x:c r="I773" s="20"/>
      <x:c r="J773" s="20"/>
      <x:c r="K773" s="20"/>
      <x:c r="L773" s="20"/>
      <x:c r="M773" s="20"/>
      <x:c r="N773" s="20"/>
      <x:c r="O773" s="20"/>
      <x:c r="P773" s="20"/>
      <x:c r="Q773" s="20"/>
      <x:c r="R773" s="20"/>
      <x:c r="S773" s="20"/>
      <x:c r="T773" s="20"/>
      <x:c r="U773" s="20"/>
      <x:c r="V773" s="20"/>
      <x:c r="W773" s="20"/>
      <x:c r="X773" s="20"/>
      <x:c r="Y773" s="21"/>
    </x:row>
    <x:row r="774">
      <x:c r="A774" s="19"/>
      <x:c r="B774" s="27"/>
      <x:c r="C774" s="20"/>
      <x:c r="D774" s="28"/>
      <x:c r="E774" s="20"/>
      <x:c r="F774" s="25"/>
      <x:c r="G774" s="20"/>
      <x:c r="H774" s="20"/>
      <x:c r="I774" s="20"/>
      <x:c r="J774" s="20"/>
      <x:c r="K774" s="20"/>
      <x:c r="L774" s="20"/>
      <x:c r="M774" s="20"/>
      <x:c r="N774" s="20"/>
      <x:c r="O774" s="20"/>
      <x:c r="P774" s="20"/>
      <x:c r="Q774" s="20"/>
      <x:c r="R774" s="20"/>
      <x:c r="S774" s="20"/>
      <x:c r="T774" s="20"/>
      <x:c r="U774" s="20"/>
      <x:c r="V774" s="20"/>
      <x:c r="W774" s="20"/>
      <x:c r="X774" s="20"/>
      <x:c r="Y774" s="21"/>
    </x:row>
    <x:row r="775">
      <x:c r="A775" s="19"/>
      <x:c r="B775" s="27"/>
      <x:c r="C775" s="20"/>
      <x:c r="D775" s="28"/>
      <x:c r="E775" s="20"/>
      <x:c r="F775" s="25"/>
      <x:c r="G775" s="20"/>
      <x:c r="H775" s="20"/>
      <x:c r="I775" s="20"/>
      <x:c r="J775" s="20"/>
      <x:c r="K775" s="20"/>
      <x:c r="L775" s="20"/>
      <x:c r="M775" s="20"/>
      <x:c r="N775" s="20"/>
      <x:c r="O775" s="20"/>
      <x:c r="P775" s="20"/>
      <x:c r="Q775" s="20"/>
      <x:c r="R775" s="20"/>
      <x:c r="S775" s="20"/>
      <x:c r="T775" s="20"/>
      <x:c r="U775" s="20"/>
      <x:c r="V775" s="20"/>
      <x:c r="W775" s="20"/>
      <x:c r="X775" s="20"/>
      <x:c r="Y775" s="21"/>
    </x:row>
    <x:row r="776">
      <x:c r="A776" s="19"/>
      <x:c r="B776" s="27"/>
      <x:c r="C776" s="20"/>
      <x:c r="D776" s="28"/>
      <x:c r="E776" s="20"/>
      <x:c r="F776" s="25"/>
      <x:c r="G776" s="20"/>
      <x:c r="H776" s="20"/>
      <x:c r="I776" s="20"/>
      <x:c r="J776" s="20"/>
      <x:c r="K776" s="20"/>
      <x:c r="L776" s="20"/>
      <x:c r="M776" s="20"/>
      <x:c r="N776" s="20"/>
      <x:c r="O776" s="20"/>
      <x:c r="P776" s="20"/>
      <x:c r="Q776" s="20"/>
      <x:c r="R776" s="20"/>
      <x:c r="S776" s="20"/>
      <x:c r="T776" s="20"/>
      <x:c r="U776" s="20"/>
      <x:c r="V776" s="20"/>
      <x:c r="W776" s="20"/>
      <x:c r="X776" s="20"/>
      <x:c r="Y776" s="21"/>
    </x:row>
    <x:row r="777">
      <x:c r="A777" s="19"/>
      <x:c r="B777" s="27"/>
      <x:c r="C777" s="20"/>
      <x:c r="D777" s="28"/>
      <x:c r="E777" s="20"/>
      <x:c r="F777" s="25"/>
      <x:c r="G777" s="20"/>
      <x:c r="H777" s="20"/>
      <x:c r="I777" s="20"/>
      <x:c r="J777" s="20"/>
      <x:c r="K777" s="20"/>
      <x:c r="L777" s="20"/>
      <x:c r="M777" s="20"/>
      <x:c r="N777" s="20"/>
      <x:c r="O777" s="20"/>
      <x:c r="P777" s="20"/>
      <x:c r="Q777" s="20"/>
      <x:c r="R777" s="20"/>
      <x:c r="S777" s="20"/>
      <x:c r="T777" s="20"/>
      <x:c r="U777" s="20"/>
      <x:c r="V777" s="20"/>
      <x:c r="W777" s="20"/>
      <x:c r="X777" s="20"/>
      <x:c r="Y777" s="21"/>
    </x:row>
    <x:row r="778">
      <x:c r="A778" s="19"/>
      <x:c r="B778" s="27"/>
      <x:c r="C778" s="20"/>
      <x:c r="D778" s="28"/>
      <x:c r="E778" s="20"/>
      <x:c r="F778" s="25"/>
      <x:c r="G778" s="20"/>
      <x:c r="H778" s="20"/>
      <x:c r="I778" s="20"/>
      <x:c r="J778" s="20"/>
      <x:c r="K778" s="20"/>
      <x:c r="L778" s="20"/>
      <x:c r="M778" s="20"/>
      <x:c r="N778" s="20"/>
      <x:c r="O778" s="20"/>
      <x:c r="P778" s="20"/>
      <x:c r="Q778" s="20"/>
      <x:c r="R778" s="20"/>
      <x:c r="S778" s="20"/>
      <x:c r="T778" s="20"/>
      <x:c r="U778" s="20"/>
      <x:c r="V778" s="20"/>
      <x:c r="W778" s="20"/>
      <x:c r="X778" s="20"/>
      <x:c r="Y778" s="21"/>
    </x:row>
    <x:row r="779">
      <x:c r="A779" s="19"/>
      <x:c r="B779" s="27"/>
      <x:c r="C779" s="20"/>
      <x:c r="D779" s="28"/>
      <x:c r="E779" s="20"/>
      <x:c r="F779" s="25"/>
      <x:c r="G779" s="20"/>
      <x:c r="H779" s="20"/>
      <x:c r="I779" s="20"/>
      <x:c r="J779" s="20"/>
      <x:c r="K779" s="20"/>
      <x:c r="L779" s="20"/>
      <x:c r="M779" s="20"/>
      <x:c r="N779" s="20"/>
      <x:c r="O779" s="20"/>
      <x:c r="P779" s="20"/>
      <x:c r="Q779" s="20"/>
      <x:c r="R779" s="20"/>
      <x:c r="S779" s="20"/>
      <x:c r="T779" s="20"/>
      <x:c r="U779" s="20"/>
      <x:c r="V779" s="20"/>
      <x:c r="W779" s="20"/>
      <x:c r="X779" s="20"/>
      <x:c r="Y779" s="21"/>
    </x:row>
    <x:row r="780">
      <x:c r="A780" s="19"/>
      <x:c r="B780" s="27"/>
      <x:c r="C780" s="20"/>
      <x:c r="D780" s="28"/>
      <x:c r="E780" s="20"/>
      <x:c r="F780" s="25"/>
      <x:c r="G780" s="20"/>
      <x:c r="H780" s="20"/>
      <x:c r="I780" s="20"/>
      <x:c r="J780" s="20"/>
      <x:c r="K780" s="20"/>
      <x:c r="L780" s="20"/>
      <x:c r="M780" s="20"/>
      <x:c r="N780" s="20"/>
      <x:c r="O780" s="20"/>
      <x:c r="P780" s="20"/>
      <x:c r="Q780" s="20"/>
      <x:c r="R780" s="20"/>
      <x:c r="S780" s="20"/>
      <x:c r="T780" s="20"/>
      <x:c r="U780" s="20"/>
      <x:c r="V780" s="20"/>
      <x:c r="W780" s="20"/>
      <x:c r="X780" s="20"/>
      <x:c r="Y780" s="21"/>
    </x:row>
    <x:row r="781">
      <x:c r="A781" s="19"/>
      <x:c r="B781" s="27"/>
      <x:c r="C781" s="20"/>
      <x:c r="D781" s="28"/>
      <x:c r="E781" s="20"/>
      <x:c r="F781" s="25"/>
      <x:c r="G781" s="20"/>
      <x:c r="H781" s="20"/>
      <x:c r="I781" s="20"/>
      <x:c r="J781" s="20"/>
      <x:c r="K781" s="20"/>
      <x:c r="L781" s="20"/>
      <x:c r="M781" s="20"/>
      <x:c r="N781" s="20"/>
      <x:c r="O781" s="20"/>
      <x:c r="P781" s="20"/>
      <x:c r="Q781" s="20"/>
      <x:c r="R781" s="20"/>
      <x:c r="S781" s="20"/>
      <x:c r="T781" s="20"/>
      <x:c r="U781" s="20"/>
      <x:c r="V781" s="20"/>
      <x:c r="W781" s="20"/>
      <x:c r="X781" s="20"/>
      <x:c r="Y781" s="21"/>
    </x:row>
    <x:row r="782">
      <x:c r="A782" s="19"/>
      <x:c r="B782" s="27"/>
      <x:c r="C782" s="20"/>
      <x:c r="D782" s="28"/>
      <x:c r="E782" s="20"/>
      <x:c r="F782" s="25"/>
      <x:c r="G782" s="20"/>
      <x:c r="H782" s="20"/>
      <x:c r="I782" s="20"/>
      <x:c r="J782" s="20"/>
      <x:c r="K782" s="20"/>
      <x:c r="L782" s="20"/>
      <x:c r="M782" s="20"/>
      <x:c r="N782" s="20"/>
      <x:c r="O782" s="20"/>
      <x:c r="P782" s="20"/>
      <x:c r="Q782" s="20"/>
      <x:c r="R782" s="20"/>
      <x:c r="S782" s="20"/>
      <x:c r="T782" s="20"/>
      <x:c r="U782" s="20"/>
      <x:c r="V782" s="20"/>
      <x:c r="W782" s="20"/>
      <x:c r="X782" s="20"/>
      <x:c r="Y782" s="21"/>
    </x:row>
    <x:row r="783">
      <x:c r="A783" s="19"/>
      <x:c r="B783" s="27"/>
      <x:c r="C783" s="20"/>
      <x:c r="D783" s="28"/>
      <x:c r="E783" s="20"/>
      <x:c r="F783" s="25"/>
      <x:c r="G783" s="20"/>
      <x:c r="H783" s="20"/>
      <x:c r="I783" s="20"/>
      <x:c r="J783" s="20"/>
      <x:c r="K783" s="20"/>
      <x:c r="L783" s="20"/>
      <x:c r="M783" s="20"/>
      <x:c r="N783" s="20"/>
      <x:c r="O783" s="20"/>
      <x:c r="P783" s="20"/>
      <x:c r="Q783" s="20"/>
      <x:c r="R783" s="20"/>
      <x:c r="S783" s="20"/>
      <x:c r="T783" s="20"/>
      <x:c r="U783" s="20"/>
      <x:c r="V783" s="20"/>
      <x:c r="W783" s="20"/>
      <x:c r="X783" s="20"/>
      <x:c r="Y783" s="21"/>
    </x:row>
    <x:row r="784">
      <x:c r="A784" s="19"/>
      <x:c r="B784" s="27"/>
      <x:c r="C784" s="20"/>
      <x:c r="D784" s="28"/>
      <x:c r="E784" s="20"/>
      <x:c r="F784" s="25"/>
      <x:c r="G784" s="20"/>
      <x:c r="H784" s="20"/>
      <x:c r="I784" s="20"/>
      <x:c r="J784" s="20"/>
      <x:c r="K784" s="20"/>
      <x:c r="L784" s="20"/>
      <x:c r="M784" s="20"/>
      <x:c r="N784" s="20"/>
      <x:c r="O784" s="20"/>
      <x:c r="P784" s="20"/>
      <x:c r="Q784" s="20"/>
      <x:c r="R784" s="20"/>
      <x:c r="S784" s="20"/>
      <x:c r="T784" s="20"/>
      <x:c r="U784" s="20"/>
      <x:c r="V784" s="20"/>
      <x:c r="W784" s="20"/>
      <x:c r="X784" s="20"/>
      <x:c r="Y784" s="21"/>
    </x:row>
    <x:row r="785">
      <x:c r="A785" s="19"/>
      <x:c r="B785" s="27"/>
      <x:c r="C785" s="20"/>
      <x:c r="D785" s="28"/>
      <x:c r="E785" s="20"/>
      <x:c r="F785" s="25"/>
      <x:c r="G785" s="20"/>
      <x:c r="H785" s="20"/>
      <x:c r="I785" s="20"/>
      <x:c r="J785" s="20"/>
      <x:c r="K785" s="20"/>
      <x:c r="L785" s="20"/>
      <x:c r="M785" s="20"/>
      <x:c r="N785" s="20"/>
      <x:c r="O785" s="20"/>
      <x:c r="P785" s="20"/>
      <x:c r="Q785" s="20"/>
      <x:c r="R785" s="20"/>
      <x:c r="S785" s="20"/>
      <x:c r="T785" s="20"/>
      <x:c r="U785" s="20"/>
      <x:c r="V785" s="20"/>
      <x:c r="W785" s="20"/>
      <x:c r="X785" s="20"/>
      <x:c r="Y785" s="21"/>
    </x:row>
    <x:row r="786">
      <x:c r="A786" s="19"/>
      <x:c r="B786" s="27"/>
      <x:c r="C786" s="20"/>
      <x:c r="D786" s="28"/>
      <x:c r="E786" s="20"/>
      <x:c r="F786" s="25"/>
      <x:c r="G786" s="20"/>
      <x:c r="H786" s="20"/>
      <x:c r="I786" s="20"/>
      <x:c r="J786" s="20"/>
      <x:c r="K786" s="20"/>
      <x:c r="L786" s="20"/>
      <x:c r="M786" s="20"/>
      <x:c r="N786" s="20"/>
      <x:c r="O786" s="20"/>
      <x:c r="P786" s="20"/>
      <x:c r="Q786" s="20"/>
      <x:c r="R786" s="20"/>
      <x:c r="S786" s="20"/>
      <x:c r="T786" s="20"/>
      <x:c r="U786" s="20"/>
      <x:c r="V786" s="20"/>
      <x:c r="W786" s="20"/>
      <x:c r="X786" s="20"/>
      <x:c r="Y786" s="21"/>
    </x:row>
    <x:row r="787">
      <x:c r="A787" s="19"/>
      <x:c r="B787" s="27"/>
      <x:c r="C787" s="20"/>
      <x:c r="D787" s="28"/>
      <x:c r="E787" s="20"/>
      <x:c r="F787" s="25"/>
      <x:c r="G787" s="20"/>
      <x:c r="H787" s="20"/>
      <x:c r="I787" s="20"/>
      <x:c r="J787" s="20"/>
      <x:c r="K787" s="20"/>
      <x:c r="L787" s="20"/>
      <x:c r="M787" s="20"/>
      <x:c r="N787" s="20"/>
      <x:c r="O787" s="20"/>
      <x:c r="P787" s="20"/>
      <x:c r="Q787" s="20"/>
      <x:c r="R787" s="20"/>
      <x:c r="S787" s="20"/>
      <x:c r="T787" s="20"/>
      <x:c r="U787" s="20"/>
      <x:c r="V787" s="20"/>
      <x:c r="W787" s="20"/>
      <x:c r="X787" s="20"/>
      <x:c r="Y787" s="21"/>
    </x:row>
    <x:row r="788">
      <x:c r="A788" s="19"/>
      <x:c r="B788" s="27"/>
      <x:c r="C788" s="20"/>
      <x:c r="D788" s="28"/>
      <x:c r="E788" s="20"/>
      <x:c r="F788" s="25"/>
      <x:c r="G788" s="20"/>
      <x:c r="H788" s="20"/>
      <x:c r="I788" s="20"/>
      <x:c r="J788" s="20"/>
      <x:c r="K788" s="20"/>
      <x:c r="L788" s="20"/>
      <x:c r="M788" s="20"/>
      <x:c r="N788" s="20"/>
      <x:c r="O788" s="20"/>
      <x:c r="P788" s="20"/>
      <x:c r="Q788" s="20"/>
      <x:c r="R788" s="20"/>
      <x:c r="S788" s="20"/>
      <x:c r="T788" s="20"/>
      <x:c r="U788" s="20"/>
      <x:c r="V788" s="20"/>
      <x:c r="W788" s="20"/>
      <x:c r="X788" s="20"/>
      <x:c r="Y788" s="21"/>
    </x:row>
    <x:row r="789">
      <x:c r="A789" s="19"/>
      <x:c r="B789" s="27"/>
      <x:c r="C789" s="20"/>
      <x:c r="D789" s="28"/>
      <x:c r="E789" s="20"/>
      <x:c r="F789" s="25"/>
      <x:c r="G789" s="20"/>
      <x:c r="H789" s="20"/>
      <x:c r="I789" s="20"/>
      <x:c r="J789" s="20"/>
      <x:c r="K789" s="20"/>
      <x:c r="L789" s="20"/>
      <x:c r="M789" s="20"/>
      <x:c r="N789" s="20"/>
      <x:c r="O789" s="20"/>
      <x:c r="P789" s="20"/>
      <x:c r="Q789" s="20"/>
      <x:c r="R789" s="20"/>
      <x:c r="S789" s="20"/>
      <x:c r="T789" s="20"/>
      <x:c r="U789" s="20"/>
      <x:c r="V789" s="20"/>
      <x:c r="W789" s="20"/>
      <x:c r="X789" s="20"/>
      <x:c r="Y789" s="21"/>
    </x:row>
    <x:row r="790">
      <x:c r="A790" s="19"/>
      <x:c r="B790" s="27"/>
      <x:c r="C790" s="20"/>
      <x:c r="D790" s="28"/>
      <x:c r="E790" s="20"/>
      <x:c r="F790" s="25"/>
      <x:c r="G790" s="20"/>
      <x:c r="H790" s="20"/>
      <x:c r="I790" s="20"/>
      <x:c r="J790" s="20"/>
      <x:c r="K790" s="20"/>
      <x:c r="L790" s="20"/>
      <x:c r="M790" s="20"/>
      <x:c r="N790" s="20"/>
      <x:c r="O790" s="20"/>
      <x:c r="P790" s="20"/>
      <x:c r="Q790" s="20"/>
      <x:c r="R790" s="20"/>
      <x:c r="S790" s="20"/>
      <x:c r="T790" s="20"/>
      <x:c r="U790" s="20"/>
      <x:c r="V790" s="20"/>
      <x:c r="W790" s="20"/>
      <x:c r="X790" s="20"/>
      <x:c r="Y790" s="21"/>
    </x:row>
    <x:row r="791">
      <x:c r="A791" s="19"/>
      <x:c r="B791" s="27"/>
      <x:c r="C791" s="20"/>
      <x:c r="D791" s="28"/>
      <x:c r="E791" s="20"/>
      <x:c r="F791" s="25"/>
      <x:c r="G791" s="20"/>
      <x:c r="H791" s="20"/>
      <x:c r="I791" s="20"/>
      <x:c r="J791" s="20"/>
      <x:c r="K791" s="20"/>
      <x:c r="L791" s="20"/>
      <x:c r="M791" s="20"/>
      <x:c r="N791" s="20"/>
      <x:c r="O791" s="20"/>
      <x:c r="P791" s="20"/>
      <x:c r="Q791" s="20"/>
      <x:c r="R791" s="20"/>
      <x:c r="S791" s="20"/>
      <x:c r="T791" s="20"/>
      <x:c r="U791" s="20"/>
      <x:c r="V791" s="20"/>
      <x:c r="W791" s="20"/>
      <x:c r="X791" s="20"/>
      <x:c r="Y791" s="21"/>
    </x:row>
    <x:row r="792">
      <x:c r="A792" s="19"/>
      <x:c r="B792" s="27"/>
      <x:c r="C792" s="20"/>
      <x:c r="D792" s="28"/>
      <x:c r="E792" s="20"/>
      <x:c r="F792" s="25"/>
      <x:c r="G792" s="20"/>
      <x:c r="H792" s="20"/>
      <x:c r="I792" s="20"/>
      <x:c r="J792" s="20"/>
      <x:c r="K792" s="20"/>
      <x:c r="L792" s="20"/>
      <x:c r="M792" s="20"/>
      <x:c r="N792" s="20"/>
      <x:c r="O792" s="20"/>
      <x:c r="P792" s="20"/>
      <x:c r="Q792" s="20"/>
      <x:c r="R792" s="20"/>
      <x:c r="S792" s="20"/>
      <x:c r="T792" s="20"/>
      <x:c r="U792" s="20"/>
      <x:c r="V792" s="20"/>
      <x:c r="W792" s="20"/>
      <x:c r="X792" s="20"/>
      <x:c r="Y792" s="21"/>
    </x:row>
    <x:row r="793">
      <x:c r="A793" s="19"/>
      <x:c r="B793" s="27"/>
      <x:c r="C793" s="20"/>
      <x:c r="D793" s="28"/>
      <x:c r="E793" s="20"/>
      <x:c r="F793" s="25"/>
      <x:c r="G793" s="20"/>
      <x:c r="H793" s="20"/>
      <x:c r="I793" s="20"/>
      <x:c r="J793" s="20"/>
      <x:c r="K793" s="20"/>
      <x:c r="L793" s="20"/>
      <x:c r="M793" s="20"/>
      <x:c r="N793" s="20"/>
      <x:c r="O793" s="20"/>
      <x:c r="P793" s="20"/>
      <x:c r="Q793" s="20"/>
      <x:c r="R793" s="20"/>
      <x:c r="S793" s="20"/>
      <x:c r="T793" s="20"/>
      <x:c r="U793" s="20"/>
      <x:c r="V793" s="20"/>
      <x:c r="W793" s="20"/>
      <x:c r="X793" s="20"/>
      <x:c r="Y793" s="21"/>
    </x:row>
    <x:row r="794">
      <x:c r="A794" s="19"/>
      <x:c r="B794" s="27"/>
      <x:c r="C794" s="20"/>
      <x:c r="D794" s="28"/>
      <x:c r="E794" s="20"/>
      <x:c r="F794" s="25"/>
      <x:c r="G794" s="20"/>
      <x:c r="H794" s="20"/>
      <x:c r="I794" s="20"/>
      <x:c r="J794" s="20"/>
      <x:c r="K794" s="20"/>
      <x:c r="L794" s="20"/>
      <x:c r="M794" s="20"/>
      <x:c r="N794" s="20"/>
      <x:c r="O794" s="20"/>
      <x:c r="P794" s="20"/>
      <x:c r="Q794" s="20"/>
      <x:c r="R794" s="20"/>
      <x:c r="S794" s="20"/>
      <x:c r="T794" s="20"/>
      <x:c r="U794" s="20"/>
      <x:c r="V794" s="20"/>
      <x:c r="W794" s="20"/>
      <x:c r="X794" s="20"/>
      <x:c r="Y794" s="21"/>
    </x:row>
    <x:row r="795">
      <x:c r="A795" s="19"/>
      <x:c r="B795" s="27"/>
      <x:c r="C795" s="20"/>
      <x:c r="D795" s="28"/>
      <x:c r="E795" s="20"/>
      <x:c r="F795" s="25"/>
      <x:c r="G795" s="20"/>
      <x:c r="H795" s="20"/>
      <x:c r="I795" s="20"/>
      <x:c r="J795" s="20"/>
      <x:c r="K795" s="20"/>
      <x:c r="L795" s="20"/>
      <x:c r="M795" s="20"/>
      <x:c r="N795" s="20"/>
      <x:c r="O795" s="20"/>
      <x:c r="P795" s="20"/>
      <x:c r="Q795" s="20"/>
      <x:c r="R795" s="20"/>
      <x:c r="S795" s="20"/>
      <x:c r="T795" s="20"/>
      <x:c r="U795" s="20"/>
      <x:c r="V795" s="20"/>
      <x:c r="W795" s="20"/>
      <x:c r="X795" s="20"/>
      <x:c r="Y795" s="21"/>
    </x:row>
    <x:row r="796">
      <x:c r="A796" s="19"/>
      <x:c r="B796" s="27"/>
      <x:c r="C796" s="20"/>
      <x:c r="D796" s="28"/>
      <x:c r="E796" s="20"/>
      <x:c r="F796" s="25"/>
      <x:c r="G796" s="20"/>
      <x:c r="H796" s="20"/>
      <x:c r="I796" s="20"/>
      <x:c r="J796" s="20"/>
      <x:c r="K796" s="20"/>
      <x:c r="L796" s="20"/>
      <x:c r="M796" s="20"/>
      <x:c r="N796" s="20"/>
      <x:c r="O796" s="20"/>
      <x:c r="P796" s="20"/>
      <x:c r="Q796" s="20"/>
      <x:c r="R796" s="20"/>
      <x:c r="S796" s="20"/>
      <x:c r="T796" s="20"/>
      <x:c r="U796" s="20"/>
      <x:c r="V796" s="20"/>
      <x:c r="W796" s="20"/>
      <x:c r="X796" s="20"/>
      <x:c r="Y796" s="21"/>
    </x:row>
    <x:row r="797">
      <x:c r="A797" s="19"/>
      <x:c r="B797" s="27"/>
      <x:c r="C797" s="20"/>
      <x:c r="D797" s="28"/>
      <x:c r="E797" s="20"/>
      <x:c r="F797" s="25"/>
      <x:c r="G797" s="20"/>
      <x:c r="H797" s="20"/>
      <x:c r="I797" s="20"/>
      <x:c r="J797" s="20"/>
      <x:c r="K797" s="20"/>
      <x:c r="L797" s="20"/>
      <x:c r="M797" s="20"/>
      <x:c r="N797" s="20"/>
      <x:c r="O797" s="20"/>
      <x:c r="P797" s="20"/>
      <x:c r="Q797" s="20"/>
      <x:c r="R797" s="20"/>
      <x:c r="S797" s="20"/>
      <x:c r="T797" s="20"/>
      <x:c r="U797" s="20"/>
      <x:c r="V797" s="20"/>
      <x:c r="W797" s="20"/>
      <x:c r="X797" s="20"/>
      <x:c r="Y797" s="21"/>
    </x:row>
    <x:row r="798">
      <x:c r="A798" s="19"/>
      <x:c r="B798" s="27"/>
      <x:c r="C798" s="20"/>
      <x:c r="D798" s="28"/>
      <x:c r="E798" s="20"/>
      <x:c r="F798" s="25"/>
      <x:c r="G798" s="20"/>
      <x:c r="H798" s="20"/>
      <x:c r="I798" s="20"/>
      <x:c r="J798" s="20"/>
      <x:c r="K798" s="20"/>
      <x:c r="L798" s="20"/>
      <x:c r="M798" s="20"/>
      <x:c r="N798" s="20"/>
      <x:c r="O798" s="20"/>
      <x:c r="P798" s="20"/>
      <x:c r="Q798" s="20"/>
      <x:c r="R798" s="20"/>
      <x:c r="S798" s="20"/>
      <x:c r="T798" s="20"/>
      <x:c r="U798" s="20"/>
      <x:c r="V798" s="20"/>
      <x:c r="W798" s="20"/>
      <x:c r="X798" s="20"/>
      <x:c r="Y798" s="21"/>
    </x:row>
    <x:row r="799">
      <x:c r="A799" s="19"/>
      <x:c r="B799" s="27"/>
      <x:c r="C799" s="20"/>
      <x:c r="D799" s="28"/>
      <x:c r="E799" s="20"/>
      <x:c r="F799" s="25"/>
      <x:c r="G799" s="20"/>
      <x:c r="H799" s="20"/>
      <x:c r="I799" s="20"/>
      <x:c r="J799" s="20"/>
      <x:c r="K799" s="20"/>
      <x:c r="L799" s="20"/>
      <x:c r="M799" s="20"/>
      <x:c r="N799" s="20"/>
      <x:c r="O799" s="20"/>
      <x:c r="P799" s="20"/>
      <x:c r="Q799" s="20"/>
      <x:c r="R799" s="20"/>
      <x:c r="S799" s="20"/>
      <x:c r="T799" s="20"/>
      <x:c r="U799" s="20"/>
      <x:c r="V799" s="20"/>
      <x:c r="W799" s="20"/>
      <x:c r="X799" s="20"/>
      <x:c r="Y799" s="21"/>
    </x:row>
    <x:row r="800">
      <x:c r="A800" s="19"/>
      <x:c r="B800" s="27"/>
      <x:c r="C800" s="20"/>
      <x:c r="D800" s="28"/>
      <x:c r="E800" s="20"/>
      <x:c r="F800" s="25"/>
      <x:c r="G800" s="20"/>
      <x:c r="H800" s="20"/>
      <x:c r="I800" s="20"/>
      <x:c r="J800" s="20"/>
      <x:c r="K800" s="20"/>
      <x:c r="L800" s="20"/>
      <x:c r="M800" s="20"/>
      <x:c r="N800" s="20"/>
      <x:c r="O800" s="20"/>
      <x:c r="P800" s="20"/>
      <x:c r="Q800" s="20"/>
      <x:c r="R800" s="20"/>
      <x:c r="S800" s="20"/>
      <x:c r="T800" s="20"/>
      <x:c r="U800" s="20"/>
      <x:c r="V800" s="20"/>
      <x:c r="W800" s="20"/>
      <x:c r="X800" s="20"/>
      <x:c r="Y800" s="21"/>
    </x:row>
    <x:row r="801">
      <x:c r="A801" s="19"/>
      <x:c r="B801" s="27"/>
      <x:c r="C801" s="20"/>
      <x:c r="D801" s="28"/>
      <x:c r="E801" s="20"/>
      <x:c r="F801" s="25"/>
      <x:c r="G801" s="20"/>
      <x:c r="H801" s="20"/>
      <x:c r="I801" s="20"/>
      <x:c r="J801" s="20"/>
      <x:c r="K801" s="20"/>
      <x:c r="L801" s="20"/>
      <x:c r="M801" s="20"/>
      <x:c r="N801" s="20"/>
      <x:c r="O801" s="20"/>
      <x:c r="P801" s="20"/>
      <x:c r="Q801" s="20"/>
      <x:c r="R801" s="20"/>
      <x:c r="S801" s="20"/>
      <x:c r="T801" s="20"/>
      <x:c r="U801" s="20"/>
      <x:c r="V801" s="20"/>
      <x:c r="W801" s="20"/>
      <x:c r="X801" s="20"/>
      <x:c r="Y801" s="21"/>
    </x:row>
    <x:row r="802">
      <x:c r="A802" s="19"/>
      <x:c r="B802" s="27"/>
      <x:c r="C802" s="20"/>
      <x:c r="D802" s="28"/>
      <x:c r="E802" s="20"/>
      <x:c r="F802" s="25"/>
      <x:c r="G802" s="20"/>
      <x:c r="H802" s="20"/>
      <x:c r="I802" s="20"/>
      <x:c r="J802" s="20"/>
      <x:c r="K802" s="20"/>
      <x:c r="L802" s="20"/>
      <x:c r="M802" s="20"/>
      <x:c r="N802" s="20"/>
      <x:c r="O802" s="20"/>
      <x:c r="P802" s="20"/>
      <x:c r="Q802" s="20"/>
      <x:c r="R802" s="20"/>
      <x:c r="S802" s="20"/>
      <x:c r="T802" s="20"/>
      <x:c r="U802" s="20"/>
      <x:c r="V802" s="20"/>
      <x:c r="W802" s="20"/>
      <x:c r="X802" s="20"/>
      <x:c r="Y802" s="21"/>
    </x:row>
    <x:row r="803">
      <x:c r="A803" s="19"/>
      <x:c r="B803" s="27"/>
      <x:c r="C803" s="20"/>
      <x:c r="D803" s="28"/>
      <x:c r="E803" s="20"/>
      <x:c r="F803" s="25"/>
      <x:c r="G803" s="20"/>
      <x:c r="H803" s="20"/>
      <x:c r="I803" s="20"/>
      <x:c r="J803" s="20"/>
      <x:c r="K803" s="20"/>
      <x:c r="L803" s="20"/>
      <x:c r="M803" s="20"/>
      <x:c r="N803" s="20"/>
      <x:c r="O803" s="20"/>
      <x:c r="P803" s="20"/>
      <x:c r="Q803" s="20"/>
      <x:c r="R803" s="20"/>
      <x:c r="S803" s="20"/>
      <x:c r="T803" s="20"/>
      <x:c r="U803" s="20"/>
      <x:c r="V803" s="20"/>
      <x:c r="W803" s="20"/>
      <x:c r="X803" s="20"/>
      <x:c r="Y803" s="21"/>
    </x:row>
    <x:row r="804">
      <x:c r="A804" s="19"/>
      <x:c r="B804" s="27"/>
      <x:c r="C804" s="20"/>
      <x:c r="D804" s="28"/>
      <x:c r="E804" s="20"/>
      <x:c r="F804" s="25"/>
      <x:c r="G804" s="20"/>
      <x:c r="H804" s="20"/>
      <x:c r="I804" s="20"/>
      <x:c r="J804" s="20"/>
      <x:c r="K804" s="20"/>
      <x:c r="L804" s="20"/>
      <x:c r="M804" s="20"/>
      <x:c r="N804" s="20"/>
      <x:c r="O804" s="20"/>
      <x:c r="P804" s="20"/>
      <x:c r="Q804" s="20"/>
      <x:c r="R804" s="20"/>
      <x:c r="S804" s="20"/>
      <x:c r="T804" s="20"/>
      <x:c r="U804" s="20"/>
      <x:c r="V804" s="20"/>
      <x:c r="W804" s="20"/>
      <x:c r="X804" s="20"/>
      <x:c r="Y804" s="21"/>
    </x:row>
    <x:row r="805">
      <x:c r="A805" s="19"/>
      <x:c r="B805" s="27"/>
      <x:c r="C805" s="20"/>
      <x:c r="D805" s="28"/>
      <x:c r="E805" s="20"/>
      <x:c r="F805" s="25"/>
      <x:c r="G805" s="20"/>
      <x:c r="H805" s="20"/>
      <x:c r="I805" s="20"/>
      <x:c r="J805" s="20"/>
      <x:c r="K805" s="20"/>
      <x:c r="L805" s="20"/>
      <x:c r="M805" s="20"/>
      <x:c r="N805" s="20"/>
      <x:c r="O805" s="20"/>
      <x:c r="P805" s="20"/>
      <x:c r="Q805" s="20"/>
      <x:c r="R805" s="20"/>
      <x:c r="S805" s="20"/>
      <x:c r="T805" s="20"/>
      <x:c r="U805" s="20"/>
      <x:c r="V805" s="20"/>
      <x:c r="W805" s="20"/>
      <x:c r="X805" s="20"/>
      <x:c r="Y805" s="21"/>
    </x:row>
    <x:row r="806">
      <x:c r="A806" s="19"/>
      <x:c r="B806" s="27"/>
      <x:c r="C806" s="20"/>
      <x:c r="D806" s="28"/>
      <x:c r="E806" s="20"/>
      <x:c r="F806" s="25"/>
      <x:c r="G806" s="20"/>
      <x:c r="H806" s="20"/>
      <x:c r="I806" s="20"/>
      <x:c r="J806" s="20"/>
      <x:c r="K806" s="20"/>
      <x:c r="L806" s="20"/>
      <x:c r="M806" s="20"/>
      <x:c r="N806" s="20"/>
      <x:c r="O806" s="20"/>
      <x:c r="P806" s="20"/>
      <x:c r="Q806" s="20"/>
      <x:c r="R806" s="20"/>
      <x:c r="S806" s="20"/>
      <x:c r="T806" s="20"/>
      <x:c r="U806" s="20"/>
      <x:c r="V806" s="20"/>
      <x:c r="W806" s="20"/>
      <x:c r="X806" s="20"/>
      <x:c r="Y806" s="21"/>
    </x:row>
    <x:row r="807">
      <x:c r="A807" s="19"/>
      <x:c r="B807" s="27"/>
      <x:c r="C807" s="20"/>
      <x:c r="D807" s="28"/>
      <x:c r="E807" s="20"/>
      <x:c r="F807" s="25"/>
      <x:c r="G807" s="20"/>
      <x:c r="H807" s="20"/>
      <x:c r="I807" s="20"/>
      <x:c r="J807" s="20"/>
      <x:c r="K807" s="20"/>
      <x:c r="L807" s="20"/>
      <x:c r="M807" s="20"/>
      <x:c r="N807" s="20"/>
      <x:c r="O807" s="20"/>
      <x:c r="P807" s="20"/>
      <x:c r="Q807" s="20"/>
      <x:c r="R807" s="20"/>
      <x:c r="S807" s="20"/>
      <x:c r="T807" s="20"/>
      <x:c r="U807" s="20"/>
      <x:c r="V807" s="20"/>
      <x:c r="W807" s="20"/>
      <x:c r="X807" s="20"/>
      <x:c r="Y807" s="21"/>
    </x:row>
    <x:row r="808">
      <x:c r="A808" s="19"/>
      <x:c r="B808" s="27"/>
      <x:c r="C808" s="20"/>
      <x:c r="D808" s="28"/>
      <x:c r="E808" s="20"/>
      <x:c r="F808" s="25"/>
      <x:c r="G808" s="20"/>
      <x:c r="H808" s="20"/>
      <x:c r="I808" s="20"/>
      <x:c r="J808" s="20"/>
      <x:c r="K808" s="20"/>
      <x:c r="L808" s="20"/>
      <x:c r="M808" s="20"/>
      <x:c r="N808" s="20"/>
      <x:c r="O808" s="20"/>
      <x:c r="P808" s="20"/>
      <x:c r="Q808" s="20"/>
      <x:c r="R808" s="20"/>
      <x:c r="S808" s="20"/>
      <x:c r="T808" s="20"/>
      <x:c r="U808" s="20"/>
      <x:c r="V808" s="20"/>
      <x:c r="W808" s="20"/>
      <x:c r="X808" s="20"/>
      <x:c r="Y808" s="21"/>
    </x:row>
    <x:row r="809">
      <x:c r="A809" s="19"/>
      <x:c r="B809" s="27"/>
      <x:c r="C809" s="20"/>
      <x:c r="D809" s="28"/>
      <x:c r="E809" s="20"/>
      <x:c r="F809" s="25"/>
      <x:c r="G809" s="20"/>
      <x:c r="H809" s="20"/>
      <x:c r="I809" s="20"/>
      <x:c r="J809" s="20"/>
      <x:c r="K809" s="20"/>
      <x:c r="L809" s="20"/>
      <x:c r="M809" s="20"/>
      <x:c r="N809" s="20"/>
      <x:c r="O809" s="20"/>
      <x:c r="P809" s="20"/>
      <x:c r="Q809" s="20"/>
      <x:c r="R809" s="20"/>
      <x:c r="S809" s="20"/>
      <x:c r="T809" s="20"/>
      <x:c r="U809" s="20"/>
      <x:c r="V809" s="20"/>
      <x:c r="W809" s="20"/>
      <x:c r="X809" s="20"/>
      <x:c r="Y809" s="21"/>
    </x:row>
    <x:row r="810">
      <x:c r="A810" s="19"/>
      <x:c r="B810" s="27"/>
      <x:c r="C810" s="20"/>
      <x:c r="D810" s="28"/>
      <x:c r="E810" s="20"/>
      <x:c r="F810" s="25"/>
      <x:c r="G810" s="20"/>
      <x:c r="H810" s="20"/>
      <x:c r="I810" s="20"/>
      <x:c r="J810" s="20"/>
      <x:c r="K810" s="20"/>
      <x:c r="L810" s="20"/>
      <x:c r="M810" s="20"/>
      <x:c r="N810" s="20"/>
      <x:c r="O810" s="20"/>
      <x:c r="P810" s="20"/>
      <x:c r="Q810" s="20"/>
      <x:c r="R810" s="20"/>
      <x:c r="S810" s="20"/>
      <x:c r="T810" s="20"/>
      <x:c r="U810" s="20"/>
      <x:c r="V810" s="20"/>
      <x:c r="W810" s="20"/>
      <x:c r="X810" s="20"/>
      <x:c r="Y810" s="21"/>
    </x:row>
    <x:row r="811">
      <x:c r="A811" s="19"/>
      <x:c r="B811" s="27"/>
      <x:c r="C811" s="20"/>
      <x:c r="D811" s="28"/>
      <x:c r="E811" s="20"/>
      <x:c r="F811" s="25"/>
      <x:c r="G811" s="20"/>
      <x:c r="H811" s="20"/>
      <x:c r="I811" s="20"/>
      <x:c r="J811" s="20"/>
      <x:c r="K811" s="20"/>
      <x:c r="L811" s="20"/>
      <x:c r="M811" s="20"/>
      <x:c r="N811" s="20"/>
      <x:c r="O811" s="20"/>
      <x:c r="P811" s="20"/>
      <x:c r="Q811" s="20"/>
      <x:c r="R811" s="20"/>
      <x:c r="S811" s="20"/>
      <x:c r="T811" s="20"/>
      <x:c r="U811" s="20"/>
      <x:c r="V811" s="20"/>
      <x:c r="W811" s="20"/>
      <x:c r="X811" s="20"/>
      <x:c r="Y811" s="21"/>
    </x:row>
    <x:row r="812">
      <x:c r="A812" s="19"/>
      <x:c r="B812" s="27"/>
      <x:c r="C812" s="20"/>
      <x:c r="D812" s="28"/>
      <x:c r="E812" s="20"/>
      <x:c r="F812" s="25"/>
      <x:c r="G812" s="20"/>
      <x:c r="H812" s="20"/>
      <x:c r="I812" s="20"/>
      <x:c r="J812" s="20"/>
      <x:c r="K812" s="20"/>
      <x:c r="L812" s="20"/>
      <x:c r="M812" s="20"/>
      <x:c r="N812" s="20"/>
      <x:c r="O812" s="20"/>
      <x:c r="P812" s="20"/>
      <x:c r="Q812" s="20"/>
      <x:c r="R812" s="20"/>
      <x:c r="S812" s="20"/>
      <x:c r="T812" s="20"/>
      <x:c r="U812" s="20"/>
      <x:c r="V812" s="20"/>
      <x:c r="W812" s="20"/>
      <x:c r="X812" s="20"/>
      <x:c r="Y812" s="21"/>
    </x:row>
    <x:row r="813">
      <x:c r="A813" s="19"/>
      <x:c r="B813" s="27"/>
      <x:c r="C813" s="20"/>
      <x:c r="D813" s="28"/>
      <x:c r="E813" s="20"/>
      <x:c r="F813" s="25"/>
      <x:c r="G813" s="20"/>
      <x:c r="H813" s="20"/>
      <x:c r="I813" s="20"/>
      <x:c r="J813" s="20"/>
      <x:c r="K813" s="20"/>
      <x:c r="L813" s="20"/>
      <x:c r="M813" s="20"/>
      <x:c r="N813" s="20"/>
      <x:c r="O813" s="20"/>
      <x:c r="P813" s="20"/>
      <x:c r="Q813" s="20"/>
      <x:c r="R813" s="20"/>
      <x:c r="S813" s="20"/>
      <x:c r="T813" s="20"/>
      <x:c r="U813" s="20"/>
      <x:c r="V813" s="20"/>
      <x:c r="W813" s="20"/>
      <x:c r="X813" s="20"/>
      <x:c r="Y813" s="21"/>
    </x:row>
    <x:row r="814">
      <x:c r="A814" s="19"/>
      <x:c r="B814" s="27"/>
      <x:c r="C814" s="20"/>
      <x:c r="D814" s="28"/>
      <x:c r="E814" s="20"/>
      <x:c r="F814" s="25"/>
      <x:c r="G814" s="20"/>
      <x:c r="H814" s="20"/>
      <x:c r="I814" s="20"/>
      <x:c r="J814" s="20"/>
      <x:c r="K814" s="20"/>
      <x:c r="L814" s="20"/>
      <x:c r="M814" s="20"/>
      <x:c r="N814" s="20"/>
      <x:c r="O814" s="20"/>
      <x:c r="P814" s="20"/>
      <x:c r="Q814" s="20"/>
      <x:c r="R814" s="20"/>
      <x:c r="S814" s="20"/>
      <x:c r="T814" s="20"/>
      <x:c r="U814" s="20"/>
      <x:c r="V814" s="20"/>
      <x:c r="W814" s="20"/>
      <x:c r="X814" s="20"/>
      <x:c r="Y814" s="21"/>
    </x:row>
    <x:row r="815">
      <x:c r="A815" s="19"/>
      <x:c r="B815" s="27"/>
      <x:c r="C815" s="20"/>
      <x:c r="D815" s="28"/>
      <x:c r="E815" s="20"/>
      <x:c r="F815" s="25"/>
      <x:c r="G815" s="20"/>
      <x:c r="H815" s="20"/>
      <x:c r="I815" s="20"/>
      <x:c r="J815" s="20"/>
      <x:c r="K815" s="20"/>
      <x:c r="L815" s="20"/>
      <x:c r="M815" s="20"/>
      <x:c r="N815" s="20"/>
      <x:c r="O815" s="20"/>
      <x:c r="P815" s="20"/>
      <x:c r="Q815" s="20"/>
      <x:c r="R815" s="20"/>
      <x:c r="S815" s="20"/>
      <x:c r="T815" s="20"/>
      <x:c r="U815" s="20"/>
      <x:c r="V815" s="20"/>
      <x:c r="W815" s="20"/>
      <x:c r="X815" s="20"/>
      <x:c r="Y815" s="21"/>
    </x:row>
    <x:row r="816">
      <x:c r="A816" s="19"/>
      <x:c r="B816" s="27"/>
      <x:c r="C816" s="20"/>
      <x:c r="D816" s="28"/>
      <x:c r="E816" s="20"/>
      <x:c r="F816" s="25"/>
      <x:c r="G816" s="20"/>
      <x:c r="H816" s="20"/>
      <x:c r="I816" s="20"/>
      <x:c r="J816" s="20"/>
      <x:c r="K816" s="20"/>
      <x:c r="L816" s="20"/>
      <x:c r="M816" s="20"/>
      <x:c r="N816" s="20"/>
      <x:c r="O816" s="20"/>
      <x:c r="P816" s="20"/>
      <x:c r="Q816" s="20"/>
      <x:c r="R816" s="20"/>
      <x:c r="S816" s="20"/>
      <x:c r="T816" s="20"/>
      <x:c r="U816" s="20"/>
      <x:c r="V816" s="20"/>
      <x:c r="W816" s="20"/>
      <x:c r="X816" s="20"/>
      <x:c r="Y816" s="21"/>
    </x:row>
    <x:row r="817">
      <x:c r="A817" s="19"/>
      <x:c r="B817" s="27"/>
      <x:c r="C817" s="20"/>
      <x:c r="D817" s="28"/>
      <x:c r="E817" s="20"/>
      <x:c r="F817" s="25"/>
      <x:c r="G817" s="20"/>
      <x:c r="H817" s="20"/>
      <x:c r="I817" s="20"/>
      <x:c r="J817" s="20"/>
      <x:c r="K817" s="20"/>
      <x:c r="L817" s="20"/>
      <x:c r="M817" s="20"/>
      <x:c r="N817" s="20"/>
      <x:c r="O817" s="20"/>
      <x:c r="P817" s="20"/>
      <x:c r="Q817" s="20"/>
      <x:c r="R817" s="20"/>
      <x:c r="S817" s="20"/>
      <x:c r="T817" s="20"/>
      <x:c r="U817" s="20"/>
      <x:c r="V817" s="20"/>
      <x:c r="W817" s="20"/>
      <x:c r="X817" s="20"/>
      <x:c r="Y817" s="21"/>
    </x:row>
    <x:row r="818">
      <x:c r="A818" s="19"/>
      <x:c r="B818" s="27"/>
      <x:c r="C818" s="20"/>
      <x:c r="D818" s="28"/>
      <x:c r="E818" s="20"/>
      <x:c r="F818" s="25"/>
      <x:c r="G818" s="20"/>
      <x:c r="H818" s="20"/>
      <x:c r="I818" s="20"/>
      <x:c r="J818" s="20"/>
      <x:c r="K818" s="20"/>
      <x:c r="L818" s="20"/>
      <x:c r="M818" s="20"/>
      <x:c r="N818" s="20"/>
      <x:c r="O818" s="20"/>
      <x:c r="P818" s="20"/>
      <x:c r="Q818" s="20"/>
      <x:c r="R818" s="20"/>
      <x:c r="S818" s="20"/>
      <x:c r="T818" s="20"/>
      <x:c r="U818" s="20"/>
      <x:c r="V818" s="20"/>
      <x:c r="W818" s="20"/>
      <x:c r="X818" s="20"/>
      <x:c r="Y818" s="21"/>
    </x:row>
    <x:row r="819">
      <x:c r="A819" s="19"/>
      <x:c r="B819" s="27"/>
      <x:c r="C819" s="20"/>
      <x:c r="D819" s="28"/>
      <x:c r="E819" s="20"/>
      <x:c r="F819" s="25"/>
      <x:c r="G819" s="20"/>
      <x:c r="H819" s="20"/>
      <x:c r="I819" s="20"/>
      <x:c r="J819" s="20"/>
      <x:c r="K819" s="20"/>
      <x:c r="L819" s="20"/>
      <x:c r="M819" s="20"/>
      <x:c r="N819" s="20"/>
      <x:c r="O819" s="20"/>
      <x:c r="P819" s="20"/>
      <x:c r="Q819" s="20"/>
      <x:c r="R819" s="20"/>
      <x:c r="S819" s="20"/>
      <x:c r="T819" s="20"/>
      <x:c r="U819" s="20"/>
      <x:c r="V819" s="20"/>
      <x:c r="W819" s="20"/>
      <x:c r="X819" s="20"/>
      <x:c r="Y819" s="21"/>
    </x:row>
    <x:row r="820">
      <x:c r="A820" s="19"/>
      <x:c r="B820" s="27"/>
      <x:c r="C820" s="20"/>
      <x:c r="D820" s="28"/>
      <x:c r="E820" s="20"/>
      <x:c r="F820" s="25"/>
      <x:c r="G820" s="20"/>
      <x:c r="H820" s="20"/>
      <x:c r="I820" s="20"/>
      <x:c r="J820" s="20"/>
      <x:c r="K820" s="20"/>
      <x:c r="L820" s="20"/>
      <x:c r="M820" s="20"/>
      <x:c r="N820" s="20"/>
      <x:c r="O820" s="20"/>
      <x:c r="P820" s="20"/>
      <x:c r="Q820" s="20"/>
      <x:c r="R820" s="20"/>
      <x:c r="S820" s="20"/>
      <x:c r="T820" s="20"/>
      <x:c r="U820" s="20"/>
      <x:c r="V820" s="20"/>
      <x:c r="W820" s="20"/>
      <x:c r="X820" s="20"/>
      <x:c r="Y820" s="21"/>
    </x:row>
    <x:row r="821">
      <x:c r="A821" s="19"/>
      <x:c r="B821" s="27"/>
      <x:c r="C821" s="20"/>
      <x:c r="D821" s="28"/>
      <x:c r="E821" s="20"/>
      <x:c r="F821" s="25"/>
      <x:c r="G821" s="20"/>
      <x:c r="H821" s="20"/>
      <x:c r="I821" s="20"/>
      <x:c r="J821" s="20"/>
      <x:c r="K821" s="20"/>
      <x:c r="L821" s="20"/>
      <x:c r="M821" s="20"/>
      <x:c r="N821" s="20"/>
      <x:c r="O821" s="20"/>
      <x:c r="P821" s="20"/>
      <x:c r="Q821" s="20"/>
      <x:c r="R821" s="20"/>
      <x:c r="S821" s="20"/>
      <x:c r="T821" s="20"/>
      <x:c r="U821" s="20"/>
      <x:c r="V821" s="20"/>
      <x:c r="W821" s="20"/>
      <x:c r="X821" s="20"/>
      <x:c r="Y821" s="21"/>
    </x:row>
    <x:row r="822">
      <x:c r="A822" s="19"/>
      <x:c r="B822" s="27"/>
      <x:c r="C822" s="20"/>
      <x:c r="D822" s="28"/>
      <x:c r="E822" s="20"/>
      <x:c r="F822" s="25"/>
      <x:c r="G822" s="20"/>
      <x:c r="H822" s="20"/>
      <x:c r="I822" s="20"/>
      <x:c r="J822" s="20"/>
      <x:c r="K822" s="20"/>
      <x:c r="L822" s="20"/>
      <x:c r="M822" s="20"/>
      <x:c r="N822" s="20"/>
      <x:c r="O822" s="20"/>
      <x:c r="P822" s="20"/>
      <x:c r="Q822" s="20"/>
      <x:c r="R822" s="20"/>
      <x:c r="S822" s="20"/>
      <x:c r="T822" s="20"/>
      <x:c r="U822" s="20"/>
      <x:c r="V822" s="20"/>
      <x:c r="W822" s="20"/>
      <x:c r="X822" s="20"/>
      <x:c r="Y822" s="21"/>
    </x:row>
    <x:row r="823">
      <x:c r="A823" s="19"/>
      <x:c r="B823" s="27"/>
      <x:c r="C823" s="20"/>
      <x:c r="D823" s="28"/>
      <x:c r="E823" s="20"/>
      <x:c r="F823" s="25"/>
      <x:c r="G823" s="20"/>
      <x:c r="H823" s="20"/>
      <x:c r="I823" s="20"/>
      <x:c r="J823" s="20"/>
      <x:c r="K823" s="20"/>
      <x:c r="L823" s="20"/>
      <x:c r="M823" s="20"/>
      <x:c r="N823" s="20"/>
      <x:c r="O823" s="20"/>
      <x:c r="P823" s="20"/>
      <x:c r="Q823" s="20"/>
      <x:c r="R823" s="20"/>
      <x:c r="S823" s="20"/>
      <x:c r="T823" s="20"/>
      <x:c r="U823" s="20"/>
      <x:c r="V823" s="20"/>
      <x:c r="W823" s="20"/>
      <x:c r="X823" s="20"/>
      <x:c r="Y823" s="21"/>
    </x:row>
    <x:row r="824">
      <x:c r="A824" s="19"/>
      <x:c r="B824" s="27"/>
      <x:c r="C824" s="20"/>
      <x:c r="D824" s="28"/>
      <x:c r="E824" s="20"/>
      <x:c r="F824" s="25"/>
      <x:c r="G824" s="20"/>
      <x:c r="H824" s="20"/>
      <x:c r="I824" s="20"/>
      <x:c r="J824" s="20"/>
      <x:c r="K824" s="20"/>
      <x:c r="L824" s="20"/>
      <x:c r="M824" s="20"/>
      <x:c r="N824" s="20"/>
      <x:c r="O824" s="20"/>
      <x:c r="P824" s="20"/>
      <x:c r="Q824" s="20"/>
      <x:c r="R824" s="20"/>
      <x:c r="S824" s="20"/>
      <x:c r="T824" s="20"/>
      <x:c r="U824" s="20"/>
      <x:c r="V824" s="20"/>
      <x:c r="W824" s="20"/>
      <x:c r="X824" s="20"/>
      <x:c r="Y824" s="21"/>
    </x:row>
    <x:row r="825">
      <x:c r="A825" s="19"/>
      <x:c r="B825" s="27"/>
      <x:c r="C825" s="20"/>
      <x:c r="D825" s="28"/>
      <x:c r="E825" s="20"/>
      <x:c r="F825" s="25"/>
      <x:c r="G825" s="20"/>
      <x:c r="H825" s="20"/>
      <x:c r="I825" s="20"/>
      <x:c r="J825" s="20"/>
      <x:c r="K825" s="20"/>
      <x:c r="L825" s="20"/>
      <x:c r="M825" s="20"/>
      <x:c r="N825" s="20"/>
      <x:c r="O825" s="20"/>
      <x:c r="P825" s="20"/>
      <x:c r="Q825" s="20"/>
      <x:c r="R825" s="20"/>
      <x:c r="S825" s="20"/>
      <x:c r="T825" s="20"/>
      <x:c r="U825" s="20"/>
      <x:c r="V825" s="20"/>
      <x:c r="W825" s="20"/>
      <x:c r="X825" s="20"/>
      <x:c r="Y825" s="21"/>
    </x:row>
    <x:row r="826">
      <x:c r="A826" s="19"/>
      <x:c r="B826" s="27"/>
      <x:c r="C826" s="20"/>
      <x:c r="D826" s="28"/>
      <x:c r="E826" s="20"/>
      <x:c r="F826" s="25"/>
      <x:c r="G826" s="20"/>
      <x:c r="H826" s="20"/>
      <x:c r="I826" s="20"/>
      <x:c r="J826" s="20"/>
      <x:c r="K826" s="20"/>
      <x:c r="L826" s="20"/>
      <x:c r="M826" s="20"/>
      <x:c r="N826" s="20"/>
      <x:c r="O826" s="20"/>
      <x:c r="P826" s="20"/>
      <x:c r="Q826" s="20"/>
      <x:c r="R826" s="20"/>
      <x:c r="S826" s="20"/>
      <x:c r="T826" s="20"/>
      <x:c r="U826" s="20"/>
      <x:c r="V826" s="20"/>
      <x:c r="W826" s="20"/>
      <x:c r="X826" s="20"/>
      <x:c r="Y826" s="21"/>
    </x:row>
    <x:row r="827">
      <x:c r="A827" s="19"/>
      <x:c r="B827" s="27"/>
      <x:c r="C827" s="20"/>
      <x:c r="D827" s="28"/>
      <x:c r="E827" s="20"/>
      <x:c r="F827" s="25"/>
      <x:c r="G827" s="20"/>
      <x:c r="H827" s="20"/>
      <x:c r="I827" s="20"/>
      <x:c r="J827" s="20"/>
      <x:c r="K827" s="20"/>
      <x:c r="L827" s="20"/>
      <x:c r="M827" s="20"/>
      <x:c r="N827" s="20"/>
      <x:c r="O827" s="20"/>
      <x:c r="P827" s="20"/>
      <x:c r="Q827" s="20"/>
      <x:c r="R827" s="20"/>
      <x:c r="S827" s="20"/>
      <x:c r="T827" s="20"/>
      <x:c r="U827" s="20"/>
      <x:c r="V827" s="20"/>
      <x:c r="W827" s="20"/>
      <x:c r="X827" s="20"/>
      <x:c r="Y827" s="21"/>
    </x:row>
    <x:row r="828">
      <x:c r="A828" s="19"/>
      <x:c r="B828" s="27"/>
      <x:c r="C828" s="20"/>
      <x:c r="D828" s="28"/>
      <x:c r="E828" s="20"/>
      <x:c r="F828" s="25"/>
      <x:c r="G828" s="20"/>
      <x:c r="H828" s="20"/>
      <x:c r="I828" s="20"/>
      <x:c r="J828" s="20"/>
      <x:c r="K828" s="20"/>
      <x:c r="L828" s="20"/>
      <x:c r="M828" s="20"/>
      <x:c r="N828" s="20"/>
      <x:c r="O828" s="20"/>
      <x:c r="P828" s="20"/>
      <x:c r="Q828" s="20"/>
      <x:c r="R828" s="20"/>
      <x:c r="S828" s="20"/>
      <x:c r="T828" s="20"/>
      <x:c r="U828" s="20"/>
      <x:c r="V828" s="20"/>
      <x:c r="W828" s="20"/>
      <x:c r="X828" s="20"/>
      <x:c r="Y828" s="21"/>
    </x:row>
    <x:row r="829">
      <x:c r="A829" s="19"/>
      <x:c r="B829" s="27"/>
      <x:c r="C829" s="20"/>
      <x:c r="D829" s="28"/>
      <x:c r="E829" s="20"/>
      <x:c r="F829" s="25"/>
      <x:c r="G829" s="20"/>
      <x:c r="H829" s="20"/>
      <x:c r="I829" s="20"/>
      <x:c r="J829" s="20"/>
      <x:c r="K829" s="20"/>
      <x:c r="L829" s="20"/>
      <x:c r="M829" s="20"/>
      <x:c r="N829" s="20"/>
      <x:c r="O829" s="20"/>
      <x:c r="P829" s="20"/>
      <x:c r="Q829" s="20"/>
      <x:c r="R829" s="20"/>
      <x:c r="S829" s="20"/>
      <x:c r="T829" s="20"/>
      <x:c r="U829" s="20"/>
      <x:c r="V829" s="20"/>
      <x:c r="W829" s="20"/>
      <x:c r="X829" s="20"/>
      <x:c r="Y829" s="21"/>
    </x:row>
    <x:row r="830">
      <x:c r="A830" s="19"/>
      <x:c r="B830" s="27"/>
      <x:c r="C830" s="20"/>
      <x:c r="D830" s="28"/>
      <x:c r="E830" s="20"/>
      <x:c r="F830" s="25"/>
      <x:c r="G830" s="20"/>
      <x:c r="H830" s="20"/>
      <x:c r="I830" s="20"/>
      <x:c r="J830" s="20"/>
      <x:c r="K830" s="20"/>
      <x:c r="L830" s="20"/>
      <x:c r="M830" s="20"/>
      <x:c r="N830" s="20"/>
      <x:c r="O830" s="20"/>
      <x:c r="P830" s="20"/>
      <x:c r="Q830" s="20"/>
      <x:c r="R830" s="20"/>
      <x:c r="S830" s="20"/>
      <x:c r="T830" s="20"/>
      <x:c r="U830" s="20"/>
      <x:c r="V830" s="20"/>
      <x:c r="W830" s="20"/>
      <x:c r="X830" s="20"/>
      <x:c r="Y830" s="21"/>
    </x:row>
    <x:row r="831">
      <x:c r="A831" s="19"/>
      <x:c r="B831" s="27"/>
      <x:c r="C831" s="20"/>
      <x:c r="D831" s="28"/>
      <x:c r="E831" s="20"/>
      <x:c r="F831" s="25"/>
      <x:c r="G831" s="20"/>
      <x:c r="H831" s="20"/>
      <x:c r="I831" s="20"/>
      <x:c r="J831" s="20"/>
      <x:c r="K831" s="20"/>
      <x:c r="L831" s="20"/>
      <x:c r="M831" s="20"/>
      <x:c r="N831" s="20"/>
      <x:c r="O831" s="20"/>
      <x:c r="P831" s="20"/>
      <x:c r="Q831" s="20"/>
      <x:c r="R831" s="20"/>
      <x:c r="S831" s="20"/>
      <x:c r="T831" s="20"/>
      <x:c r="U831" s="20"/>
      <x:c r="V831" s="20"/>
      <x:c r="W831" s="20"/>
      <x:c r="X831" s="20"/>
      <x:c r="Y831" s="21"/>
    </x:row>
    <x:row r="832">
      <x:c r="A832" s="19"/>
      <x:c r="B832" s="27"/>
      <x:c r="C832" s="20"/>
      <x:c r="D832" s="28"/>
      <x:c r="E832" s="20"/>
      <x:c r="F832" s="25"/>
      <x:c r="G832" s="20"/>
      <x:c r="H832" s="20"/>
      <x:c r="I832" s="20"/>
      <x:c r="J832" s="20"/>
      <x:c r="K832" s="20"/>
      <x:c r="L832" s="20"/>
      <x:c r="M832" s="20"/>
      <x:c r="N832" s="20"/>
      <x:c r="O832" s="20"/>
      <x:c r="P832" s="20"/>
      <x:c r="Q832" s="20"/>
      <x:c r="R832" s="20"/>
      <x:c r="S832" s="20"/>
      <x:c r="T832" s="20"/>
      <x:c r="U832" s="20"/>
      <x:c r="V832" s="20"/>
      <x:c r="W832" s="20"/>
      <x:c r="X832" s="20"/>
      <x:c r="Y832" s="21"/>
    </x:row>
    <x:row r="833">
      <x:c r="A833" s="19"/>
      <x:c r="B833" s="27"/>
      <x:c r="C833" s="20"/>
      <x:c r="D833" s="28"/>
      <x:c r="E833" s="20"/>
      <x:c r="F833" s="25"/>
      <x:c r="G833" s="20"/>
      <x:c r="H833" s="20"/>
      <x:c r="I833" s="20"/>
      <x:c r="J833" s="20"/>
      <x:c r="K833" s="20"/>
      <x:c r="L833" s="20"/>
      <x:c r="M833" s="20"/>
      <x:c r="N833" s="20"/>
      <x:c r="O833" s="20"/>
      <x:c r="P833" s="20"/>
      <x:c r="Q833" s="20"/>
      <x:c r="R833" s="20"/>
      <x:c r="S833" s="20"/>
      <x:c r="T833" s="20"/>
      <x:c r="U833" s="20"/>
      <x:c r="V833" s="20"/>
      <x:c r="W833" s="20"/>
      <x:c r="X833" s="20"/>
      <x:c r="Y833" s="21"/>
    </x:row>
    <x:row r="834">
      <x:c r="A834" s="19"/>
      <x:c r="B834" s="27"/>
      <x:c r="C834" s="20"/>
      <x:c r="D834" s="28"/>
      <x:c r="E834" s="20"/>
      <x:c r="F834" s="25"/>
      <x:c r="G834" s="20"/>
      <x:c r="H834" s="20"/>
      <x:c r="I834" s="20"/>
      <x:c r="J834" s="20"/>
      <x:c r="K834" s="20"/>
      <x:c r="L834" s="20"/>
      <x:c r="M834" s="20"/>
      <x:c r="N834" s="20"/>
      <x:c r="O834" s="20"/>
      <x:c r="P834" s="20"/>
      <x:c r="Q834" s="20"/>
      <x:c r="R834" s="20"/>
      <x:c r="S834" s="20"/>
      <x:c r="T834" s="20"/>
      <x:c r="U834" s="20"/>
      <x:c r="V834" s="20"/>
      <x:c r="W834" s="20"/>
      <x:c r="X834" s="20"/>
      <x:c r="Y834" s="21"/>
    </x:row>
    <x:row r="835">
      <x:c r="A835" s="19"/>
      <x:c r="B835" s="27"/>
      <x:c r="C835" s="20"/>
      <x:c r="D835" s="28"/>
      <x:c r="E835" s="20"/>
      <x:c r="F835" s="25"/>
      <x:c r="G835" s="20"/>
      <x:c r="H835" s="20"/>
      <x:c r="I835" s="20"/>
      <x:c r="J835" s="20"/>
      <x:c r="K835" s="20"/>
      <x:c r="L835" s="20"/>
      <x:c r="M835" s="20"/>
      <x:c r="N835" s="20"/>
      <x:c r="O835" s="20"/>
      <x:c r="P835" s="20"/>
      <x:c r="Q835" s="20"/>
      <x:c r="R835" s="20"/>
      <x:c r="S835" s="20"/>
      <x:c r="T835" s="20"/>
      <x:c r="U835" s="20"/>
      <x:c r="V835" s="20"/>
      <x:c r="W835" s="20"/>
      <x:c r="X835" s="20"/>
      <x:c r="Y835" s="21"/>
    </x:row>
    <x:row r="836">
      <x:c r="A836" s="19"/>
      <x:c r="B836" s="27"/>
      <x:c r="C836" s="20"/>
      <x:c r="D836" s="28"/>
      <x:c r="E836" s="20"/>
      <x:c r="F836" s="25"/>
      <x:c r="G836" s="20"/>
      <x:c r="H836" s="20"/>
      <x:c r="I836" s="20"/>
      <x:c r="J836" s="20"/>
      <x:c r="K836" s="20"/>
      <x:c r="L836" s="20"/>
      <x:c r="M836" s="20"/>
      <x:c r="N836" s="20"/>
      <x:c r="O836" s="20"/>
      <x:c r="P836" s="20"/>
      <x:c r="Q836" s="20"/>
      <x:c r="R836" s="20"/>
      <x:c r="S836" s="20"/>
      <x:c r="T836" s="20"/>
      <x:c r="U836" s="20"/>
      <x:c r="V836" s="20"/>
      <x:c r="W836" s="20"/>
      <x:c r="X836" s="20"/>
      <x:c r="Y836" s="21"/>
    </x:row>
    <x:row r="837">
      <x:c r="A837" s="19"/>
      <x:c r="B837" s="27"/>
      <x:c r="C837" s="20"/>
      <x:c r="D837" s="28"/>
      <x:c r="E837" s="20"/>
      <x:c r="F837" s="25"/>
      <x:c r="G837" s="20"/>
      <x:c r="H837" s="20"/>
      <x:c r="I837" s="20"/>
      <x:c r="J837" s="20"/>
      <x:c r="K837" s="20"/>
      <x:c r="L837" s="20"/>
      <x:c r="M837" s="20"/>
      <x:c r="N837" s="20"/>
      <x:c r="O837" s="20"/>
      <x:c r="P837" s="20"/>
      <x:c r="Q837" s="20"/>
      <x:c r="R837" s="20"/>
      <x:c r="S837" s="20"/>
      <x:c r="T837" s="20"/>
      <x:c r="U837" s="20"/>
      <x:c r="V837" s="20"/>
      <x:c r="W837" s="20"/>
      <x:c r="X837" s="20"/>
      <x:c r="Y837" s="21"/>
    </x:row>
    <x:row r="838">
      <x:c r="A838" s="19"/>
      <x:c r="B838" s="27"/>
      <x:c r="C838" s="20"/>
      <x:c r="D838" s="28"/>
      <x:c r="E838" s="20"/>
      <x:c r="F838" s="25"/>
      <x:c r="G838" s="20"/>
      <x:c r="H838" s="20"/>
      <x:c r="I838" s="20"/>
      <x:c r="J838" s="20"/>
      <x:c r="K838" s="20"/>
      <x:c r="L838" s="20"/>
      <x:c r="M838" s="20"/>
      <x:c r="N838" s="20"/>
      <x:c r="O838" s="20"/>
      <x:c r="P838" s="20"/>
      <x:c r="Q838" s="20"/>
      <x:c r="R838" s="20"/>
      <x:c r="S838" s="20"/>
      <x:c r="T838" s="20"/>
      <x:c r="U838" s="20"/>
      <x:c r="V838" s="20"/>
      <x:c r="W838" s="20"/>
      <x:c r="X838" s="20"/>
      <x:c r="Y838" s="21"/>
    </x:row>
    <x:row r="839">
      <x:c r="A839" s="19"/>
      <x:c r="B839" s="27"/>
      <x:c r="C839" s="20"/>
      <x:c r="D839" s="28"/>
      <x:c r="E839" s="20"/>
      <x:c r="F839" s="25"/>
      <x:c r="G839" s="20"/>
      <x:c r="H839" s="20"/>
      <x:c r="I839" s="20"/>
      <x:c r="J839" s="20"/>
      <x:c r="K839" s="20"/>
      <x:c r="L839" s="20"/>
      <x:c r="M839" s="20"/>
      <x:c r="N839" s="20"/>
      <x:c r="O839" s="20"/>
      <x:c r="P839" s="20"/>
      <x:c r="Q839" s="20"/>
      <x:c r="R839" s="20"/>
      <x:c r="S839" s="20"/>
      <x:c r="T839" s="20"/>
      <x:c r="U839" s="20"/>
      <x:c r="V839" s="20"/>
      <x:c r="W839" s="20"/>
      <x:c r="X839" s="20"/>
      <x:c r="Y839" s="21"/>
    </x:row>
    <x:row r="840">
      <x:c r="A840" s="19"/>
      <x:c r="B840" s="27"/>
      <x:c r="C840" s="20"/>
      <x:c r="D840" s="28"/>
      <x:c r="E840" s="20"/>
      <x:c r="F840" s="25"/>
      <x:c r="G840" s="20"/>
      <x:c r="H840" s="20"/>
      <x:c r="I840" s="20"/>
      <x:c r="J840" s="20"/>
      <x:c r="K840" s="20"/>
      <x:c r="L840" s="20"/>
      <x:c r="M840" s="20"/>
      <x:c r="N840" s="20"/>
      <x:c r="O840" s="20"/>
      <x:c r="P840" s="20"/>
      <x:c r="Q840" s="20"/>
      <x:c r="R840" s="20"/>
      <x:c r="S840" s="20"/>
      <x:c r="T840" s="20"/>
      <x:c r="U840" s="20"/>
      <x:c r="V840" s="20"/>
      <x:c r="W840" s="20"/>
      <x:c r="X840" s="20"/>
      <x:c r="Y840" s="21"/>
    </x:row>
    <x:row r="841">
      <x:c r="A841" s="19"/>
      <x:c r="B841" s="27"/>
      <x:c r="C841" s="20"/>
      <x:c r="D841" s="28"/>
      <x:c r="E841" s="20"/>
      <x:c r="F841" s="25"/>
      <x:c r="G841" s="20"/>
      <x:c r="H841" s="20"/>
      <x:c r="I841" s="20"/>
      <x:c r="J841" s="20"/>
      <x:c r="K841" s="20"/>
      <x:c r="L841" s="20"/>
      <x:c r="M841" s="20"/>
      <x:c r="N841" s="20"/>
      <x:c r="O841" s="20"/>
      <x:c r="P841" s="20"/>
      <x:c r="Q841" s="20"/>
      <x:c r="R841" s="20"/>
      <x:c r="S841" s="20"/>
      <x:c r="T841" s="20"/>
      <x:c r="U841" s="20"/>
      <x:c r="V841" s="20"/>
      <x:c r="W841" s="20"/>
      <x:c r="X841" s="20"/>
      <x:c r="Y841" s="21"/>
    </x:row>
    <x:row r="842">
      <x:c r="A842" s="19"/>
      <x:c r="B842" s="27"/>
      <x:c r="C842" s="20"/>
      <x:c r="D842" s="28"/>
      <x:c r="E842" s="20"/>
      <x:c r="F842" s="25"/>
      <x:c r="G842" s="20"/>
      <x:c r="H842" s="20"/>
      <x:c r="I842" s="20"/>
      <x:c r="J842" s="20"/>
      <x:c r="K842" s="20"/>
      <x:c r="L842" s="20"/>
      <x:c r="M842" s="20"/>
      <x:c r="N842" s="20"/>
      <x:c r="O842" s="20"/>
      <x:c r="P842" s="20"/>
      <x:c r="Q842" s="20"/>
      <x:c r="R842" s="20"/>
      <x:c r="S842" s="20"/>
      <x:c r="T842" s="20"/>
      <x:c r="U842" s="20"/>
      <x:c r="V842" s="20"/>
      <x:c r="W842" s="20"/>
      <x:c r="X842" s="20"/>
      <x:c r="Y842" s="21"/>
    </x:row>
    <x:row r="843">
      <x:c r="A843" s="19"/>
      <x:c r="B843" s="27"/>
      <x:c r="C843" s="20"/>
      <x:c r="D843" s="28"/>
      <x:c r="E843" s="20"/>
      <x:c r="F843" s="25"/>
      <x:c r="G843" s="20"/>
      <x:c r="H843" s="20"/>
      <x:c r="I843" s="20"/>
      <x:c r="J843" s="20"/>
      <x:c r="K843" s="20"/>
      <x:c r="L843" s="20"/>
      <x:c r="M843" s="20"/>
      <x:c r="N843" s="20"/>
      <x:c r="O843" s="20"/>
      <x:c r="P843" s="20"/>
      <x:c r="Q843" s="20"/>
      <x:c r="R843" s="20"/>
      <x:c r="S843" s="20"/>
      <x:c r="T843" s="20"/>
      <x:c r="U843" s="20"/>
      <x:c r="V843" s="20"/>
      <x:c r="W843" s="20"/>
      <x:c r="X843" s="20"/>
      <x:c r="Y843" s="21"/>
    </x:row>
    <x:row r="844">
      <x:c r="A844" s="19"/>
      <x:c r="B844" s="27"/>
      <x:c r="C844" s="20"/>
      <x:c r="D844" s="28"/>
      <x:c r="E844" s="20"/>
      <x:c r="F844" s="25"/>
      <x:c r="G844" s="20"/>
      <x:c r="H844" s="20"/>
      <x:c r="I844" s="20"/>
      <x:c r="J844" s="20"/>
      <x:c r="K844" s="20"/>
      <x:c r="L844" s="20"/>
      <x:c r="M844" s="20"/>
      <x:c r="N844" s="20"/>
      <x:c r="O844" s="20"/>
      <x:c r="P844" s="20"/>
      <x:c r="Q844" s="20"/>
      <x:c r="R844" s="20"/>
      <x:c r="S844" s="20"/>
      <x:c r="T844" s="20"/>
      <x:c r="U844" s="20"/>
      <x:c r="V844" s="20"/>
      <x:c r="W844" s="20"/>
      <x:c r="X844" s="20"/>
      <x:c r="Y844" s="21"/>
    </x:row>
    <x:row r="845">
      <x:c r="A845" s="19"/>
      <x:c r="B845" s="27"/>
      <x:c r="C845" s="20"/>
      <x:c r="D845" s="28"/>
      <x:c r="E845" s="20"/>
      <x:c r="F845" s="25"/>
      <x:c r="G845" s="20"/>
      <x:c r="H845" s="20"/>
      <x:c r="I845" s="20"/>
      <x:c r="J845" s="20"/>
      <x:c r="K845" s="20"/>
      <x:c r="L845" s="20"/>
      <x:c r="M845" s="20"/>
      <x:c r="N845" s="20"/>
      <x:c r="O845" s="20"/>
      <x:c r="P845" s="20"/>
      <x:c r="Q845" s="20"/>
      <x:c r="R845" s="20"/>
      <x:c r="S845" s="20"/>
      <x:c r="T845" s="20"/>
      <x:c r="U845" s="20"/>
      <x:c r="V845" s="20"/>
      <x:c r="W845" s="20"/>
      <x:c r="X845" s="20"/>
      <x:c r="Y845" s="21"/>
    </x:row>
    <x:row r="846">
      <x:c r="A846" s="19"/>
      <x:c r="B846" s="27"/>
      <x:c r="C846" s="20"/>
      <x:c r="D846" s="28"/>
      <x:c r="E846" s="20"/>
      <x:c r="F846" s="25"/>
      <x:c r="G846" s="20"/>
      <x:c r="H846" s="20"/>
      <x:c r="I846" s="20"/>
      <x:c r="J846" s="20"/>
      <x:c r="K846" s="20"/>
      <x:c r="L846" s="20"/>
      <x:c r="M846" s="20"/>
      <x:c r="N846" s="20"/>
      <x:c r="O846" s="20"/>
      <x:c r="P846" s="20"/>
      <x:c r="Q846" s="20"/>
      <x:c r="R846" s="20"/>
      <x:c r="S846" s="20"/>
      <x:c r="T846" s="20"/>
      <x:c r="U846" s="20"/>
      <x:c r="V846" s="20"/>
      <x:c r="W846" s="20"/>
      <x:c r="X846" s="20"/>
      <x:c r="Y846" s="21"/>
    </x:row>
    <x:row r="847">
      <x:c r="A847" s="19"/>
      <x:c r="B847" s="27"/>
      <x:c r="C847" s="20"/>
      <x:c r="D847" s="28"/>
      <x:c r="E847" s="20"/>
      <x:c r="F847" s="25"/>
      <x:c r="G847" s="20"/>
      <x:c r="H847" s="20"/>
      <x:c r="I847" s="20"/>
      <x:c r="J847" s="20"/>
      <x:c r="K847" s="20"/>
      <x:c r="L847" s="20"/>
      <x:c r="M847" s="20"/>
      <x:c r="N847" s="20"/>
      <x:c r="O847" s="20"/>
      <x:c r="P847" s="20"/>
      <x:c r="Q847" s="20"/>
      <x:c r="R847" s="20"/>
      <x:c r="S847" s="20"/>
      <x:c r="T847" s="20"/>
      <x:c r="U847" s="20"/>
      <x:c r="V847" s="20"/>
      <x:c r="W847" s="20"/>
      <x:c r="X847" s="20"/>
      <x:c r="Y847" s="21"/>
    </x:row>
    <x:row r="848">
      <x:c r="A848" s="19"/>
      <x:c r="B848" s="27"/>
      <x:c r="C848" s="20"/>
      <x:c r="D848" s="28"/>
      <x:c r="E848" s="20"/>
      <x:c r="F848" s="25"/>
      <x:c r="G848" s="20"/>
      <x:c r="H848" s="20"/>
      <x:c r="I848" s="20"/>
      <x:c r="J848" s="20"/>
      <x:c r="K848" s="20"/>
      <x:c r="L848" s="20"/>
      <x:c r="M848" s="20"/>
      <x:c r="N848" s="20"/>
      <x:c r="O848" s="20"/>
      <x:c r="P848" s="20"/>
      <x:c r="Q848" s="20"/>
      <x:c r="R848" s="20"/>
      <x:c r="S848" s="20"/>
      <x:c r="T848" s="20"/>
      <x:c r="U848" s="20"/>
      <x:c r="V848" s="20"/>
      <x:c r="W848" s="20"/>
      <x:c r="X848" s="20"/>
      <x:c r="Y848" s="21"/>
    </x:row>
    <x:row r="849">
      <x:c r="A849" s="19"/>
      <x:c r="B849" s="27"/>
      <x:c r="C849" s="20"/>
      <x:c r="D849" s="28"/>
      <x:c r="E849" s="20"/>
      <x:c r="F849" s="25"/>
      <x:c r="G849" s="20"/>
      <x:c r="H849" s="20"/>
      <x:c r="I849" s="20"/>
      <x:c r="J849" s="20"/>
      <x:c r="K849" s="20"/>
      <x:c r="L849" s="20"/>
      <x:c r="M849" s="20"/>
      <x:c r="N849" s="20"/>
      <x:c r="O849" s="20"/>
      <x:c r="P849" s="20"/>
      <x:c r="Q849" s="20"/>
      <x:c r="R849" s="20"/>
      <x:c r="S849" s="20"/>
      <x:c r="T849" s="20"/>
      <x:c r="U849" s="20"/>
      <x:c r="V849" s="20"/>
      <x:c r="W849" s="20"/>
      <x:c r="X849" s="20"/>
      <x:c r="Y849" s="21"/>
    </x:row>
    <x:row r="850">
      <x:c r="A850" s="19"/>
      <x:c r="B850" s="27"/>
      <x:c r="C850" s="20"/>
      <x:c r="D850" s="28"/>
      <x:c r="E850" s="20"/>
      <x:c r="F850" s="25"/>
      <x:c r="G850" s="20"/>
      <x:c r="H850" s="20"/>
      <x:c r="I850" s="20"/>
      <x:c r="J850" s="20"/>
      <x:c r="K850" s="20"/>
      <x:c r="L850" s="20"/>
      <x:c r="M850" s="20"/>
      <x:c r="N850" s="20"/>
      <x:c r="O850" s="20"/>
      <x:c r="P850" s="20"/>
      <x:c r="Q850" s="20"/>
      <x:c r="R850" s="20"/>
      <x:c r="S850" s="20"/>
      <x:c r="T850" s="20"/>
      <x:c r="U850" s="20"/>
      <x:c r="V850" s="20"/>
      <x:c r="W850" s="20"/>
      <x:c r="X850" s="20"/>
      <x:c r="Y850" s="21"/>
    </x:row>
    <x:row r="851">
      <x:c r="A851" s="19"/>
      <x:c r="B851" s="27"/>
      <x:c r="C851" s="20"/>
      <x:c r="D851" s="28"/>
      <x:c r="E851" s="20"/>
      <x:c r="F851" s="25"/>
      <x:c r="G851" s="20"/>
      <x:c r="H851" s="20"/>
      <x:c r="I851" s="20"/>
      <x:c r="J851" s="20"/>
      <x:c r="K851" s="20"/>
      <x:c r="L851" s="20"/>
      <x:c r="M851" s="20"/>
      <x:c r="N851" s="20"/>
      <x:c r="O851" s="20"/>
      <x:c r="P851" s="20"/>
      <x:c r="Q851" s="20"/>
      <x:c r="R851" s="20"/>
      <x:c r="S851" s="20"/>
      <x:c r="T851" s="20"/>
      <x:c r="U851" s="20"/>
      <x:c r="V851" s="20"/>
      <x:c r="W851" s="20"/>
      <x:c r="X851" s="20"/>
      <x:c r="Y851" s="21"/>
    </x:row>
    <x:row r="852">
      <x:c r="A852" s="19"/>
      <x:c r="B852" s="27"/>
      <x:c r="C852" s="20"/>
      <x:c r="D852" s="28"/>
      <x:c r="E852" s="20"/>
      <x:c r="F852" s="25"/>
      <x:c r="G852" s="20"/>
      <x:c r="H852" s="20"/>
      <x:c r="I852" s="20"/>
      <x:c r="J852" s="20"/>
      <x:c r="K852" s="20"/>
      <x:c r="L852" s="20"/>
      <x:c r="M852" s="20"/>
      <x:c r="N852" s="20"/>
      <x:c r="O852" s="20"/>
      <x:c r="P852" s="20"/>
      <x:c r="Q852" s="20"/>
      <x:c r="R852" s="20"/>
      <x:c r="S852" s="20"/>
      <x:c r="T852" s="20"/>
      <x:c r="U852" s="20"/>
      <x:c r="V852" s="20"/>
      <x:c r="W852" s="20"/>
      <x:c r="X852" s="20"/>
      <x:c r="Y852" s="21"/>
    </x:row>
    <x:row r="853">
      <x:c r="A853" s="19"/>
      <x:c r="B853" s="27"/>
      <x:c r="C853" s="20"/>
      <x:c r="D853" s="28"/>
      <x:c r="E853" s="20"/>
      <x:c r="F853" s="25"/>
      <x:c r="G853" s="20"/>
      <x:c r="H853" s="20"/>
      <x:c r="I853" s="20"/>
      <x:c r="J853" s="20"/>
      <x:c r="K853" s="20"/>
      <x:c r="L853" s="20"/>
      <x:c r="M853" s="20"/>
      <x:c r="N853" s="20"/>
      <x:c r="O853" s="20"/>
      <x:c r="P853" s="20"/>
      <x:c r="Q853" s="20"/>
      <x:c r="R853" s="20"/>
      <x:c r="S853" s="20"/>
      <x:c r="T853" s="20"/>
      <x:c r="U853" s="20"/>
      <x:c r="V853" s="20"/>
      <x:c r="W853" s="20"/>
      <x:c r="X853" s="20"/>
      <x:c r="Y853" s="21"/>
    </x:row>
    <x:row r="854">
      <x:c r="A854" s="19"/>
      <x:c r="B854" s="27"/>
      <x:c r="C854" s="20"/>
      <x:c r="D854" s="28"/>
      <x:c r="E854" s="20"/>
      <x:c r="F854" s="25"/>
      <x:c r="G854" s="20"/>
      <x:c r="H854" s="20"/>
      <x:c r="I854" s="20"/>
      <x:c r="J854" s="20"/>
      <x:c r="K854" s="20"/>
      <x:c r="L854" s="20"/>
      <x:c r="M854" s="20"/>
      <x:c r="N854" s="20"/>
      <x:c r="O854" s="20"/>
      <x:c r="P854" s="20"/>
      <x:c r="Q854" s="20"/>
      <x:c r="R854" s="20"/>
      <x:c r="S854" s="20"/>
      <x:c r="T854" s="20"/>
      <x:c r="U854" s="20"/>
      <x:c r="V854" s="20"/>
      <x:c r="W854" s="20"/>
      <x:c r="X854" s="20"/>
      <x:c r="Y854" s="21"/>
    </x:row>
    <x:row r="855">
      <x:c r="A855" s="19"/>
      <x:c r="B855" s="27"/>
      <x:c r="C855" s="20"/>
      <x:c r="D855" s="28"/>
      <x:c r="E855" s="20"/>
      <x:c r="F855" s="25"/>
      <x:c r="G855" s="20"/>
      <x:c r="H855" s="20"/>
      <x:c r="I855" s="20"/>
      <x:c r="J855" s="20"/>
      <x:c r="K855" s="20"/>
      <x:c r="L855" s="20"/>
      <x:c r="M855" s="20"/>
      <x:c r="N855" s="20"/>
      <x:c r="O855" s="20"/>
      <x:c r="P855" s="20"/>
      <x:c r="Q855" s="20"/>
      <x:c r="R855" s="20"/>
      <x:c r="S855" s="20"/>
      <x:c r="T855" s="20"/>
      <x:c r="U855" s="20"/>
      <x:c r="V855" s="20"/>
      <x:c r="W855" s="20"/>
      <x:c r="X855" s="20"/>
      <x:c r="Y855" s="21"/>
    </x:row>
    <x:row r="856">
      <x:c r="A856" s="19"/>
      <x:c r="B856" s="27"/>
      <x:c r="C856" s="20"/>
      <x:c r="D856" s="28"/>
      <x:c r="E856" s="20"/>
      <x:c r="F856" s="25"/>
      <x:c r="G856" s="20"/>
      <x:c r="H856" s="20"/>
      <x:c r="I856" s="20"/>
      <x:c r="J856" s="20"/>
      <x:c r="K856" s="20"/>
      <x:c r="L856" s="20"/>
      <x:c r="M856" s="20"/>
      <x:c r="N856" s="20"/>
      <x:c r="O856" s="20"/>
      <x:c r="P856" s="20"/>
      <x:c r="Q856" s="20"/>
      <x:c r="R856" s="20"/>
      <x:c r="S856" s="20"/>
      <x:c r="T856" s="20"/>
      <x:c r="U856" s="20"/>
      <x:c r="V856" s="20"/>
      <x:c r="W856" s="20"/>
      <x:c r="X856" s="20"/>
      <x:c r="Y856" s="21"/>
    </x:row>
    <x:row r="857">
      <x:c r="A857" s="19"/>
      <x:c r="B857" s="27"/>
      <x:c r="C857" s="20"/>
      <x:c r="D857" s="28"/>
      <x:c r="E857" s="20"/>
      <x:c r="F857" s="25"/>
      <x:c r="G857" s="20"/>
      <x:c r="H857" s="20"/>
      <x:c r="I857" s="20"/>
      <x:c r="J857" s="20"/>
      <x:c r="K857" s="20"/>
      <x:c r="L857" s="20"/>
      <x:c r="M857" s="20"/>
      <x:c r="N857" s="20"/>
      <x:c r="O857" s="20"/>
      <x:c r="P857" s="20"/>
      <x:c r="Q857" s="20"/>
      <x:c r="R857" s="20"/>
      <x:c r="S857" s="20"/>
      <x:c r="T857" s="20"/>
      <x:c r="U857" s="20"/>
      <x:c r="V857" s="20"/>
      <x:c r="W857" s="20"/>
      <x:c r="X857" s="20"/>
      <x:c r="Y857" s="21"/>
    </x:row>
    <x:row r="858">
      <x:c r="A858" s="19"/>
      <x:c r="B858" s="27"/>
      <x:c r="C858" s="20"/>
      <x:c r="D858" s="28"/>
      <x:c r="E858" s="20"/>
      <x:c r="F858" s="25"/>
      <x:c r="G858" s="20"/>
      <x:c r="H858" s="20"/>
      <x:c r="I858" s="20"/>
      <x:c r="J858" s="20"/>
      <x:c r="K858" s="20"/>
      <x:c r="L858" s="20"/>
      <x:c r="M858" s="20"/>
      <x:c r="N858" s="20"/>
      <x:c r="O858" s="20"/>
      <x:c r="P858" s="20"/>
      <x:c r="Q858" s="20"/>
      <x:c r="R858" s="20"/>
      <x:c r="S858" s="20"/>
      <x:c r="T858" s="20"/>
      <x:c r="U858" s="20"/>
      <x:c r="V858" s="20"/>
      <x:c r="W858" s="20"/>
      <x:c r="X858" s="20"/>
      <x:c r="Y858" s="21"/>
    </x:row>
    <x:row r="859">
      <x:c r="A859" s="19"/>
      <x:c r="B859" s="27"/>
      <x:c r="C859" s="20"/>
      <x:c r="D859" s="28"/>
      <x:c r="E859" s="20"/>
      <x:c r="F859" s="25"/>
      <x:c r="G859" s="20"/>
      <x:c r="H859" s="20"/>
      <x:c r="I859" s="20"/>
      <x:c r="J859" s="20"/>
      <x:c r="K859" s="20"/>
      <x:c r="L859" s="20"/>
      <x:c r="M859" s="20"/>
      <x:c r="N859" s="20"/>
      <x:c r="O859" s="20"/>
      <x:c r="P859" s="20"/>
      <x:c r="Q859" s="20"/>
      <x:c r="R859" s="20"/>
      <x:c r="S859" s="20"/>
      <x:c r="T859" s="20"/>
      <x:c r="U859" s="20"/>
      <x:c r="V859" s="20"/>
      <x:c r="W859" s="20"/>
      <x:c r="X859" s="20"/>
      <x:c r="Y859" s="21"/>
    </x:row>
    <x:row r="860">
      <x:c r="A860" s="19"/>
      <x:c r="B860" s="27"/>
      <x:c r="C860" s="20"/>
      <x:c r="D860" s="28"/>
      <x:c r="E860" s="20"/>
      <x:c r="F860" s="25"/>
      <x:c r="G860" s="20"/>
      <x:c r="H860" s="20"/>
      <x:c r="I860" s="20"/>
      <x:c r="J860" s="20"/>
      <x:c r="K860" s="20"/>
      <x:c r="L860" s="20"/>
      <x:c r="M860" s="20"/>
      <x:c r="N860" s="20"/>
      <x:c r="O860" s="20"/>
      <x:c r="P860" s="20"/>
      <x:c r="Q860" s="20"/>
      <x:c r="R860" s="20"/>
      <x:c r="S860" s="20"/>
      <x:c r="T860" s="20"/>
      <x:c r="U860" s="20"/>
      <x:c r="V860" s="20"/>
      <x:c r="W860" s="20"/>
      <x:c r="X860" s="20"/>
      <x:c r="Y860" s="21"/>
    </x:row>
    <x:row r="861">
      <x:c r="A861" s="19"/>
      <x:c r="B861" s="27"/>
      <x:c r="C861" s="20"/>
      <x:c r="D861" s="28"/>
      <x:c r="E861" s="20"/>
      <x:c r="F861" s="25"/>
      <x:c r="G861" s="20"/>
      <x:c r="H861" s="20"/>
      <x:c r="I861" s="20"/>
      <x:c r="J861" s="20"/>
      <x:c r="K861" s="20"/>
      <x:c r="L861" s="20"/>
      <x:c r="M861" s="20"/>
      <x:c r="N861" s="20"/>
      <x:c r="O861" s="20"/>
      <x:c r="P861" s="20"/>
      <x:c r="Q861" s="20"/>
      <x:c r="R861" s="20"/>
      <x:c r="S861" s="20"/>
      <x:c r="T861" s="20"/>
      <x:c r="U861" s="20"/>
      <x:c r="V861" s="20"/>
      <x:c r="W861" s="20"/>
      <x:c r="X861" s="20"/>
      <x:c r="Y861" s="21"/>
    </x:row>
    <x:row r="862">
      <x:c r="A862" s="19"/>
      <x:c r="B862" s="27"/>
      <x:c r="C862" s="20"/>
      <x:c r="D862" s="28"/>
      <x:c r="E862" s="20"/>
      <x:c r="F862" s="25"/>
      <x:c r="G862" s="20"/>
      <x:c r="H862" s="20"/>
      <x:c r="I862" s="20"/>
      <x:c r="J862" s="20"/>
      <x:c r="K862" s="20"/>
      <x:c r="L862" s="20"/>
      <x:c r="M862" s="20"/>
      <x:c r="N862" s="20"/>
      <x:c r="O862" s="20"/>
      <x:c r="P862" s="20"/>
      <x:c r="Q862" s="20"/>
      <x:c r="R862" s="20"/>
      <x:c r="S862" s="20"/>
      <x:c r="T862" s="20"/>
      <x:c r="U862" s="20"/>
      <x:c r="V862" s="20"/>
      <x:c r="W862" s="20"/>
      <x:c r="X862" s="20"/>
      <x:c r="Y862" s="21"/>
    </x:row>
    <x:row r="863">
      <x:c r="A863" s="19"/>
      <x:c r="B863" s="27"/>
      <x:c r="C863" s="20"/>
      <x:c r="D863" s="28"/>
      <x:c r="E863" s="20"/>
      <x:c r="F863" s="25"/>
      <x:c r="G863" s="20"/>
      <x:c r="H863" s="20"/>
      <x:c r="I863" s="20"/>
      <x:c r="J863" s="20"/>
      <x:c r="K863" s="20"/>
      <x:c r="L863" s="20"/>
      <x:c r="M863" s="20"/>
      <x:c r="N863" s="20"/>
      <x:c r="O863" s="20"/>
      <x:c r="P863" s="20"/>
      <x:c r="Q863" s="20"/>
      <x:c r="R863" s="20"/>
      <x:c r="S863" s="20"/>
      <x:c r="T863" s="20"/>
      <x:c r="U863" s="20"/>
      <x:c r="V863" s="20"/>
      <x:c r="W863" s="20"/>
      <x:c r="X863" s="20"/>
      <x:c r="Y863" s="21"/>
    </x:row>
    <x:row r="864">
      <x:c r="A864" s="19"/>
      <x:c r="B864" s="27"/>
      <x:c r="C864" s="20"/>
      <x:c r="D864" s="28"/>
      <x:c r="E864" s="20"/>
      <x:c r="F864" s="25"/>
      <x:c r="G864" s="20"/>
      <x:c r="H864" s="20"/>
      <x:c r="I864" s="20"/>
      <x:c r="J864" s="20"/>
      <x:c r="K864" s="20"/>
      <x:c r="L864" s="20"/>
      <x:c r="M864" s="20"/>
      <x:c r="N864" s="20"/>
      <x:c r="O864" s="20"/>
      <x:c r="P864" s="20"/>
      <x:c r="Q864" s="20"/>
      <x:c r="R864" s="20"/>
      <x:c r="S864" s="20"/>
      <x:c r="T864" s="20"/>
      <x:c r="U864" s="20"/>
      <x:c r="V864" s="20"/>
      <x:c r="W864" s="20"/>
      <x:c r="X864" s="20"/>
      <x:c r="Y864" s="21"/>
    </x:row>
    <x:row r="865">
      <x:c r="A865" s="19"/>
      <x:c r="B865" s="27"/>
      <x:c r="C865" s="20"/>
      <x:c r="D865" s="28"/>
      <x:c r="E865" s="20"/>
      <x:c r="F865" s="25"/>
      <x:c r="G865" s="20"/>
      <x:c r="H865" s="20"/>
      <x:c r="I865" s="20"/>
      <x:c r="J865" s="20"/>
      <x:c r="K865" s="20"/>
      <x:c r="L865" s="20"/>
      <x:c r="M865" s="20"/>
      <x:c r="N865" s="20"/>
      <x:c r="O865" s="20"/>
      <x:c r="P865" s="20"/>
      <x:c r="Q865" s="20"/>
      <x:c r="R865" s="20"/>
      <x:c r="S865" s="20"/>
      <x:c r="T865" s="20"/>
      <x:c r="U865" s="20"/>
      <x:c r="V865" s="20"/>
      <x:c r="W865" s="20"/>
      <x:c r="X865" s="20"/>
      <x:c r="Y865" s="21"/>
    </x:row>
    <x:row r="866">
      <x:c r="A866" s="19"/>
      <x:c r="B866" s="27"/>
      <x:c r="C866" s="20"/>
      <x:c r="D866" s="28"/>
      <x:c r="E866" s="20"/>
      <x:c r="F866" s="25"/>
      <x:c r="G866" s="20"/>
      <x:c r="H866" s="20"/>
      <x:c r="I866" s="20"/>
      <x:c r="J866" s="20"/>
      <x:c r="K866" s="20"/>
      <x:c r="L866" s="20"/>
      <x:c r="M866" s="20"/>
      <x:c r="N866" s="20"/>
      <x:c r="O866" s="20"/>
      <x:c r="P866" s="20"/>
      <x:c r="Q866" s="20"/>
      <x:c r="R866" s="20"/>
      <x:c r="S866" s="20"/>
      <x:c r="T866" s="20"/>
      <x:c r="U866" s="20"/>
      <x:c r="V866" s="20"/>
      <x:c r="W866" s="20"/>
      <x:c r="X866" s="20"/>
      <x:c r="Y866" s="21"/>
    </x:row>
    <x:row r="867">
      <x:c r="A867" s="19"/>
      <x:c r="B867" s="27"/>
      <x:c r="C867" s="20"/>
      <x:c r="D867" s="28"/>
      <x:c r="E867" s="20"/>
      <x:c r="F867" s="25"/>
      <x:c r="G867" s="20"/>
      <x:c r="H867" s="20"/>
      <x:c r="I867" s="20"/>
      <x:c r="J867" s="20"/>
      <x:c r="K867" s="20"/>
      <x:c r="L867" s="20"/>
      <x:c r="M867" s="20"/>
      <x:c r="N867" s="20"/>
      <x:c r="O867" s="20"/>
      <x:c r="P867" s="20"/>
      <x:c r="Q867" s="20"/>
      <x:c r="R867" s="20"/>
      <x:c r="S867" s="20"/>
      <x:c r="T867" s="20"/>
      <x:c r="U867" s="20"/>
      <x:c r="V867" s="20"/>
      <x:c r="W867" s="20"/>
      <x:c r="X867" s="20"/>
      <x:c r="Y867" s="21"/>
    </x:row>
    <x:row r="868">
      <x:c r="A868" s="19"/>
      <x:c r="B868" s="27"/>
      <x:c r="C868" s="20"/>
      <x:c r="D868" s="28"/>
      <x:c r="E868" s="20"/>
      <x:c r="F868" s="25"/>
      <x:c r="G868" s="20"/>
      <x:c r="H868" s="20"/>
      <x:c r="I868" s="20"/>
      <x:c r="J868" s="20"/>
      <x:c r="K868" s="20"/>
      <x:c r="L868" s="20"/>
      <x:c r="M868" s="20"/>
      <x:c r="N868" s="20"/>
      <x:c r="O868" s="20"/>
      <x:c r="P868" s="20"/>
      <x:c r="Q868" s="20"/>
      <x:c r="R868" s="20"/>
      <x:c r="S868" s="20"/>
      <x:c r="T868" s="20"/>
      <x:c r="U868" s="20"/>
      <x:c r="V868" s="20"/>
      <x:c r="W868" s="20"/>
      <x:c r="X868" s="20"/>
      <x:c r="Y868" s="21"/>
    </x:row>
    <x:row r="869">
      <x:c r="A869" s="19"/>
      <x:c r="B869" s="27"/>
      <x:c r="C869" s="20"/>
      <x:c r="D869" s="28"/>
      <x:c r="E869" s="20"/>
      <x:c r="F869" s="25"/>
      <x:c r="G869" s="20"/>
      <x:c r="H869" s="20"/>
      <x:c r="I869" s="20"/>
      <x:c r="J869" s="20"/>
      <x:c r="K869" s="20"/>
      <x:c r="L869" s="20"/>
      <x:c r="M869" s="20"/>
      <x:c r="N869" s="20"/>
      <x:c r="O869" s="20"/>
      <x:c r="P869" s="20"/>
      <x:c r="Q869" s="20"/>
      <x:c r="R869" s="20"/>
      <x:c r="S869" s="20"/>
      <x:c r="T869" s="20"/>
      <x:c r="U869" s="20"/>
      <x:c r="V869" s="20"/>
      <x:c r="W869" s="20"/>
      <x:c r="X869" s="20"/>
      <x:c r="Y869" s="21"/>
    </x:row>
    <x:row r="870">
      <x:c r="A870" s="19"/>
      <x:c r="B870" s="27"/>
      <x:c r="C870" s="20"/>
      <x:c r="D870" s="28"/>
      <x:c r="E870" s="20"/>
      <x:c r="F870" s="25"/>
      <x:c r="G870" s="20"/>
      <x:c r="H870" s="20"/>
      <x:c r="I870" s="20"/>
      <x:c r="J870" s="20"/>
      <x:c r="K870" s="20"/>
      <x:c r="L870" s="20"/>
      <x:c r="M870" s="20"/>
      <x:c r="N870" s="20"/>
      <x:c r="O870" s="20"/>
      <x:c r="P870" s="20"/>
      <x:c r="Q870" s="20"/>
      <x:c r="R870" s="20"/>
      <x:c r="S870" s="20"/>
      <x:c r="T870" s="20"/>
      <x:c r="U870" s="20"/>
      <x:c r="V870" s="20"/>
      <x:c r="W870" s="20"/>
      <x:c r="X870" s="20"/>
      <x:c r="Y870" s="21"/>
    </x:row>
    <x:row r="871">
      <x:c r="A871" s="19"/>
      <x:c r="B871" s="27"/>
      <x:c r="C871" s="20"/>
      <x:c r="D871" s="28"/>
      <x:c r="E871" s="20"/>
      <x:c r="F871" s="25"/>
      <x:c r="G871" s="20"/>
      <x:c r="H871" s="20"/>
      <x:c r="I871" s="20"/>
      <x:c r="J871" s="20"/>
      <x:c r="K871" s="20"/>
      <x:c r="L871" s="20"/>
      <x:c r="M871" s="20"/>
      <x:c r="N871" s="20"/>
      <x:c r="O871" s="20"/>
      <x:c r="P871" s="20"/>
      <x:c r="Q871" s="20"/>
      <x:c r="R871" s="20"/>
      <x:c r="S871" s="20"/>
      <x:c r="T871" s="20"/>
      <x:c r="U871" s="20"/>
      <x:c r="V871" s="20"/>
      <x:c r="W871" s="20"/>
      <x:c r="X871" s="20"/>
      <x:c r="Y871" s="21"/>
    </x:row>
    <x:row r="872">
      <x:c r="A872" s="19"/>
      <x:c r="B872" s="27"/>
      <x:c r="C872" s="20"/>
      <x:c r="D872" s="28"/>
      <x:c r="E872" s="20"/>
      <x:c r="F872" s="25"/>
      <x:c r="G872" s="20"/>
      <x:c r="H872" s="20"/>
      <x:c r="I872" s="20"/>
      <x:c r="J872" s="20"/>
      <x:c r="K872" s="20"/>
      <x:c r="L872" s="20"/>
      <x:c r="M872" s="20"/>
      <x:c r="N872" s="20"/>
      <x:c r="O872" s="20"/>
      <x:c r="P872" s="20"/>
      <x:c r="Q872" s="20"/>
      <x:c r="R872" s="20"/>
      <x:c r="S872" s="20"/>
      <x:c r="T872" s="20"/>
      <x:c r="U872" s="20"/>
      <x:c r="V872" s="20"/>
      <x:c r="W872" s="20"/>
      <x:c r="X872" s="20"/>
      <x:c r="Y872" s="21"/>
    </x:row>
    <x:row r="873">
      <x:c r="A873" s="19"/>
      <x:c r="B873" s="27"/>
      <x:c r="C873" s="20"/>
      <x:c r="D873" s="28"/>
      <x:c r="E873" s="20"/>
      <x:c r="F873" s="25"/>
      <x:c r="G873" s="20"/>
      <x:c r="H873" s="20"/>
      <x:c r="I873" s="20"/>
      <x:c r="J873" s="20"/>
      <x:c r="K873" s="20"/>
      <x:c r="L873" s="20"/>
      <x:c r="M873" s="20"/>
      <x:c r="N873" s="20"/>
      <x:c r="O873" s="20"/>
      <x:c r="P873" s="20"/>
      <x:c r="Q873" s="20"/>
      <x:c r="R873" s="20"/>
      <x:c r="S873" s="20"/>
      <x:c r="T873" s="20"/>
      <x:c r="U873" s="20"/>
      <x:c r="V873" s="20"/>
      <x:c r="W873" s="20"/>
      <x:c r="X873" s="20"/>
      <x:c r="Y873" s="21"/>
    </x:row>
    <x:row r="874">
      <x:c r="A874" s="19"/>
      <x:c r="B874" s="27"/>
      <x:c r="C874" s="20"/>
      <x:c r="D874" s="28"/>
      <x:c r="E874" s="20"/>
      <x:c r="F874" s="25"/>
      <x:c r="G874" s="20"/>
      <x:c r="H874" s="20"/>
      <x:c r="I874" s="20"/>
      <x:c r="J874" s="20"/>
      <x:c r="K874" s="20"/>
      <x:c r="L874" s="20"/>
      <x:c r="M874" s="20"/>
      <x:c r="N874" s="20"/>
      <x:c r="O874" s="20"/>
      <x:c r="P874" s="20"/>
      <x:c r="Q874" s="20"/>
      <x:c r="R874" s="20"/>
      <x:c r="S874" s="20"/>
      <x:c r="T874" s="20"/>
      <x:c r="U874" s="20"/>
      <x:c r="V874" s="20"/>
      <x:c r="W874" s="20"/>
      <x:c r="X874" s="20"/>
      <x:c r="Y874" s="21"/>
    </x:row>
    <x:row r="875">
      <x:c r="A875" s="19"/>
      <x:c r="B875" s="27"/>
      <x:c r="C875" s="20"/>
      <x:c r="D875" s="28"/>
      <x:c r="E875" s="20"/>
      <x:c r="F875" s="25"/>
      <x:c r="G875" s="20"/>
      <x:c r="H875" s="20"/>
      <x:c r="I875" s="20"/>
      <x:c r="J875" s="20"/>
      <x:c r="K875" s="20"/>
      <x:c r="L875" s="20"/>
      <x:c r="M875" s="20"/>
      <x:c r="N875" s="20"/>
      <x:c r="O875" s="20"/>
      <x:c r="P875" s="20"/>
      <x:c r="Q875" s="20"/>
      <x:c r="R875" s="20"/>
      <x:c r="S875" s="20"/>
      <x:c r="T875" s="20"/>
      <x:c r="U875" s="20"/>
      <x:c r="V875" s="20"/>
      <x:c r="W875" s="20"/>
      <x:c r="X875" s="20"/>
      <x:c r="Y875" s="21"/>
    </x:row>
    <x:row r="876">
      <x:c r="A876" s="19"/>
      <x:c r="B876" s="27"/>
      <x:c r="C876" s="20"/>
      <x:c r="D876" s="28"/>
      <x:c r="E876" s="20"/>
      <x:c r="F876" s="25"/>
      <x:c r="G876" s="20"/>
      <x:c r="H876" s="20"/>
      <x:c r="I876" s="20"/>
      <x:c r="J876" s="20"/>
      <x:c r="K876" s="20"/>
      <x:c r="L876" s="20"/>
      <x:c r="M876" s="20"/>
      <x:c r="N876" s="20"/>
      <x:c r="O876" s="20"/>
      <x:c r="P876" s="20"/>
      <x:c r="Q876" s="20"/>
      <x:c r="R876" s="20"/>
      <x:c r="S876" s="20"/>
      <x:c r="T876" s="20"/>
      <x:c r="U876" s="20"/>
      <x:c r="V876" s="20"/>
      <x:c r="W876" s="20"/>
      <x:c r="X876" s="20"/>
      <x:c r="Y876" s="21"/>
    </x:row>
    <x:row r="877">
      <x:c r="A877" s="19"/>
      <x:c r="B877" s="27"/>
      <x:c r="C877" s="20"/>
      <x:c r="D877" s="28"/>
      <x:c r="E877" s="20"/>
      <x:c r="F877" s="25"/>
      <x:c r="G877" s="20"/>
      <x:c r="H877" s="20"/>
      <x:c r="I877" s="20"/>
      <x:c r="J877" s="20"/>
      <x:c r="K877" s="20"/>
      <x:c r="L877" s="20"/>
      <x:c r="M877" s="20"/>
      <x:c r="N877" s="20"/>
      <x:c r="O877" s="20"/>
      <x:c r="P877" s="20"/>
      <x:c r="Q877" s="20"/>
      <x:c r="R877" s="20"/>
      <x:c r="S877" s="20"/>
      <x:c r="T877" s="20"/>
      <x:c r="U877" s="20"/>
      <x:c r="V877" s="20"/>
      <x:c r="W877" s="20"/>
      <x:c r="X877" s="20"/>
      <x:c r="Y877" s="21"/>
    </x:row>
    <x:row r="878">
      <x:c r="A878" s="19"/>
      <x:c r="B878" s="27"/>
      <x:c r="C878" s="20"/>
      <x:c r="D878" s="28"/>
      <x:c r="E878" s="20"/>
      <x:c r="F878" s="25"/>
      <x:c r="G878" s="20"/>
      <x:c r="H878" s="20"/>
      <x:c r="I878" s="20"/>
      <x:c r="J878" s="20"/>
      <x:c r="K878" s="20"/>
      <x:c r="L878" s="20"/>
      <x:c r="M878" s="20"/>
      <x:c r="N878" s="20"/>
      <x:c r="O878" s="20"/>
      <x:c r="P878" s="20"/>
      <x:c r="Q878" s="20"/>
      <x:c r="R878" s="20"/>
      <x:c r="S878" s="20"/>
      <x:c r="T878" s="20"/>
      <x:c r="U878" s="20"/>
      <x:c r="V878" s="20"/>
      <x:c r="W878" s="20"/>
      <x:c r="X878" s="20"/>
      <x:c r="Y878" s="21"/>
    </x:row>
    <x:row r="879">
      <x:c r="A879" s="19"/>
      <x:c r="B879" s="27"/>
      <x:c r="C879" s="20"/>
      <x:c r="D879" s="28"/>
      <x:c r="E879" s="20"/>
      <x:c r="F879" s="25"/>
      <x:c r="G879" s="20"/>
      <x:c r="H879" s="20"/>
      <x:c r="I879" s="20"/>
      <x:c r="J879" s="20"/>
      <x:c r="K879" s="20"/>
      <x:c r="L879" s="20"/>
      <x:c r="M879" s="20"/>
      <x:c r="N879" s="20"/>
      <x:c r="O879" s="20"/>
      <x:c r="P879" s="20"/>
      <x:c r="Q879" s="20"/>
      <x:c r="R879" s="20"/>
      <x:c r="S879" s="20"/>
      <x:c r="T879" s="20"/>
      <x:c r="U879" s="20"/>
      <x:c r="V879" s="20"/>
      <x:c r="W879" s="20"/>
      <x:c r="X879" s="20"/>
      <x:c r="Y879" s="21"/>
    </x:row>
    <x:row r="880">
      <x:c r="A880" s="19"/>
      <x:c r="B880" s="27"/>
      <x:c r="C880" s="20"/>
      <x:c r="D880" s="28"/>
      <x:c r="E880" s="20"/>
      <x:c r="F880" s="25"/>
      <x:c r="G880" s="20"/>
      <x:c r="H880" s="20"/>
      <x:c r="I880" s="20"/>
      <x:c r="J880" s="20"/>
      <x:c r="K880" s="20"/>
      <x:c r="L880" s="20"/>
      <x:c r="M880" s="20"/>
      <x:c r="N880" s="20"/>
      <x:c r="O880" s="20"/>
      <x:c r="P880" s="20"/>
      <x:c r="Q880" s="20"/>
      <x:c r="R880" s="20"/>
      <x:c r="S880" s="20"/>
      <x:c r="T880" s="20"/>
      <x:c r="U880" s="20"/>
      <x:c r="V880" s="20"/>
      <x:c r="W880" s="20"/>
      <x:c r="X880" s="20"/>
      <x:c r="Y880" s="21"/>
    </x:row>
    <x:row r="881">
      <x:c r="A881" s="19"/>
      <x:c r="B881" s="27"/>
      <x:c r="C881" s="20"/>
      <x:c r="D881" s="28"/>
      <x:c r="E881" s="20"/>
      <x:c r="F881" s="25"/>
      <x:c r="G881" s="20"/>
      <x:c r="H881" s="20"/>
      <x:c r="I881" s="20"/>
      <x:c r="J881" s="20"/>
      <x:c r="K881" s="20"/>
      <x:c r="L881" s="20"/>
      <x:c r="M881" s="20"/>
      <x:c r="N881" s="20"/>
      <x:c r="O881" s="20"/>
      <x:c r="P881" s="20"/>
      <x:c r="Q881" s="20"/>
      <x:c r="R881" s="20"/>
      <x:c r="S881" s="20"/>
      <x:c r="T881" s="20"/>
      <x:c r="U881" s="20"/>
      <x:c r="V881" s="20"/>
      <x:c r="W881" s="20"/>
      <x:c r="X881" s="20"/>
      <x:c r="Y881" s="21"/>
    </x:row>
    <x:row r="882">
      <x:c r="A882" s="19"/>
      <x:c r="B882" s="27"/>
      <x:c r="C882" s="20"/>
      <x:c r="D882" s="28"/>
      <x:c r="E882" s="20"/>
      <x:c r="F882" s="25"/>
      <x:c r="G882" s="20"/>
      <x:c r="H882" s="20"/>
      <x:c r="I882" s="20"/>
      <x:c r="J882" s="20"/>
      <x:c r="K882" s="20"/>
      <x:c r="L882" s="20"/>
      <x:c r="M882" s="20"/>
      <x:c r="N882" s="20"/>
      <x:c r="O882" s="20"/>
      <x:c r="P882" s="20"/>
      <x:c r="Q882" s="20"/>
      <x:c r="R882" s="20"/>
      <x:c r="S882" s="20"/>
      <x:c r="T882" s="20"/>
      <x:c r="U882" s="20"/>
      <x:c r="V882" s="20"/>
      <x:c r="W882" s="20"/>
      <x:c r="X882" s="20"/>
      <x:c r="Y882" s="21"/>
    </x:row>
    <x:row r="883">
      <x:c r="A883" s="19"/>
      <x:c r="B883" s="27"/>
      <x:c r="C883" s="20"/>
      <x:c r="D883" s="28"/>
      <x:c r="E883" s="20"/>
      <x:c r="F883" s="25"/>
      <x:c r="G883" s="20"/>
      <x:c r="H883" s="20"/>
      <x:c r="I883" s="20"/>
      <x:c r="J883" s="20"/>
      <x:c r="K883" s="20"/>
      <x:c r="L883" s="20"/>
      <x:c r="M883" s="20"/>
      <x:c r="N883" s="20"/>
      <x:c r="O883" s="20"/>
      <x:c r="P883" s="20"/>
      <x:c r="Q883" s="20"/>
      <x:c r="R883" s="20"/>
      <x:c r="S883" s="20"/>
      <x:c r="T883" s="20"/>
      <x:c r="U883" s="20"/>
      <x:c r="V883" s="20"/>
      <x:c r="W883" s="20"/>
      <x:c r="X883" s="20"/>
      <x:c r="Y883" s="21"/>
    </x:row>
    <x:row r="884">
      <x:c r="A884" s="19"/>
      <x:c r="B884" s="27"/>
      <x:c r="C884" s="20"/>
      <x:c r="D884" s="28"/>
      <x:c r="E884" s="20"/>
      <x:c r="F884" s="25"/>
      <x:c r="G884" s="20"/>
      <x:c r="H884" s="20"/>
      <x:c r="I884" s="20"/>
      <x:c r="J884" s="20"/>
      <x:c r="K884" s="20"/>
      <x:c r="L884" s="20"/>
      <x:c r="M884" s="20"/>
      <x:c r="N884" s="20"/>
      <x:c r="O884" s="20"/>
      <x:c r="P884" s="20"/>
      <x:c r="Q884" s="20"/>
      <x:c r="R884" s="20"/>
      <x:c r="S884" s="20"/>
      <x:c r="T884" s="20"/>
      <x:c r="U884" s="20"/>
      <x:c r="V884" s="20"/>
      <x:c r="W884" s="20"/>
      <x:c r="X884" s="20"/>
      <x:c r="Y884" s="21"/>
    </x:row>
    <x:row r="885">
      <x:c r="A885" s="19"/>
      <x:c r="B885" s="27"/>
      <x:c r="C885" s="20"/>
      <x:c r="D885" s="28"/>
      <x:c r="E885" s="20"/>
      <x:c r="F885" s="25"/>
      <x:c r="G885" s="20"/>
      <x:c r="H885" s="20"/>
      <x:c r="I885" s="20"/>
      <x:c r="J885" s="20"/>
      <x:c r="K885" s="20"/>
      <x:c r="L885" s="20"/>
      <x:c r="M885" s="20"/>
      <x:c r="N885" s="20"/>
      <x:c r="O885" s="20"/>
      <x:c r="P885" s="20"/>
      <x:c r="Q885" s="20"/>
      <x:c r="R885" s="20"/>
      <x:c r="S885" s="20"/>
      <x:c r="T885" s="20"/>
      <x:c r="U885" s="20"/>
      <x:c r="V885" s="20"/>
      <x:c r="W885" s="20"/>
      <x:c r="X885" s="20"/>
      <x:c r="Y885" s="21"/>
    </x:row>
    <x:row r="886">
      <x:c r="A886" s="19"/>
      <x:c r="B886" s="27"/>
      <x:c r="C886" s="20"/>
      <x:c r="D886" s="28"/>
      <x:c r="E886" s="20"/>
      <x:c r="F886" s="25"/>
      <x:c r="G886" s="20"/>
      <x:c r="H886" s="20"/>
      <x:c r="I886" s="20"/>
      <x:c r="J886" s="20"/>
      <x:c r="K886" s="20"/>
      <x:c r="L886" s="20"/>
      <x:c r="M886" s="20"/>
      <x:c r="N886" s="20"/>
      <x:c r="O886" s="20"/>
      <x:c r="P886" s="20"/>
      <x:c r="Q886" s="20"/>
      <x:c r="R886" s="20"/>
      <x:c r="S886" s="20"/>
      <x:c r="T886" s="20"/>
      <x:c r="U886" s="20"/>
      <x:c r="V886" s="20"/>
      <x:c r="W886" s="20"/>
      <x:c r="X886" s="20"/>
      <x:c r="Y886" s="21"/>
    </x:row>
    <x:row r="887">
      <x:c r="A887" s="19"/>
      <x:c r="B887" s="27"/>
      <x:c r="C887" s="20"/>
      <x:c r="D887" s="28"/>
      <x:c r="E887" s="20"/>
      <x:c r="F887" s="25"/>
      <x:c r="G887" s="20"/>
      <x:c r="H887" s="20"/>
      <x:c r="I887" s="20"/>
      <x:c r="J887" s="20"/>
      <x:c r="K887" s="20"/>
      <x:c r="L887" s="20"/>
      <x:c r="M887" s="20"/>
      <x:c r="N887" s="20"/>
      <x:c r="O887" s="20"/>
      <x:c r="P887" s="20"/>
      <x:c r="Q887" s="20"/>
      <x:c r="R887" s="20"/>
      <x:c r="S887" s="20"/>
      <x:c r="T887" s="20"/>
      <x:c r="U887" s="20"/>
      <x:c r="V887" s="20"/>
      <x:c r="W887" s="20"/>
      <x:c r="X887" s="20"/>
      <x:c r="Y887" s="21"/>
    </x:row>
    <x:row r="888">
      <x:c r="A888" s="19"/>
      <x:c r="B888" s="27"/>
      <x:c r="C888" s="20"/>
      <x:c r="D888" s="28"/>
      <x:c r="E888" s="20"/>
      <x:c r="F888" s="25"/>
      <x:c r="G888" s="20"/>
      <x:c r="H888" s="20"/>
      <x:c r="I888" s="20"/>
      <x:c r="J888" s="20"/>
      <x:c r="K888" s="20"/>
      <x:c r="L888" s="20"/>
      <x:c r="M888" s="20"/>
      <x:c r="N888" s="20"/>
      <x:c r="O888" s="20"/>
      <x:c r="P888" s="20"/>
      <x:c r="Q888" s="20"/>
      <x:c r="R888" s="20"/>
      <x:c r="S888" s="20"/>
      <x:c r="T888" s="20"/>
      <x:c r="U888" s="20"/>
      <x:c r="V888" s="20"/>
      <x:c r="W888" s="20"/>
      <x:c r="X888" s="20"/>
      <x:c r="Y888" s="21"/>
    </x:row>
    <x:row r="889">
      <x:c r="A889" s="19"/>
      <x:c r="B889" s="27"/>
      <x:c r="C889" s="20"/>
      <x:c r="D889" s="28"/>
      <x:c r="E889" s="20"/>
      <x:c r="F889" s="25"/>
      <x:c r="G889" s="20"/>
      <x:c r="H889" s="20"/>
      <x:c r="I889" s="20"/>
      <x:c r="J889" s="20"/>
      <x:c r="K889" s="20"/>
      <x:c r="L889" s="20"/>
      <x:c r="M889" s="20"/>
      <x:c r="N889" s="20"/>
      <x:c r="O889" s="20"/>
      <x:c r="P889" s="20"/>
      <x:c r="Q889" s="20"/>
      <x:c r="R889" s="20"/>
      <x:c r="S889" s="20"/>
      <x:c r="T889" s="20"/>
      <x:c r="U889" s="20"/>
      <x:c r="V889" s="20"/>
      <x:c r="W889" s="20"/>
      <x:c r="X889" s="20"/>
      <x:c r="Y889" s="21"/>
    </x:row>
    <x:row r="890">
      <x:c r="A890" s="19"/>
      <x:c r="B890" s="27"/>
      <x:c r="C890" s="20"/>
      <x:c r="D890" s="28"/>
      <x:c r="E890" s="20"/>
      <x:c r="F890" s="25"/>
      <x:c r="G890" s="20"/>
      <x:c r="H890" s="20"/>
      <x:c r="I890" s="20"/>
      <x:c r="J890" s="20"/>
      <x:c r="K890" s="20"/>
      <x:c r="L890" s="20"/>
      <x:c r="M890" s="20"/>
      <x:c r="N890" s="20"/>
      <x:c r="O890" s="20"/>
      <x:c r="P890" s="20"/>
      <x:c r="Q890" s="20"/>
      <x:c r="R890" s="20"/>
      <x:c r="S890" s="20"/>
      <x:c r="T890" s="20"/>
      <x:c r="U890" s="20"/>
      <x:c r="V890" s="20"/>
      <x:c r="W890" s="20"/>
      <x:c r="X890" s="20"/>
      <x:c r="Y890" s="21"/>
    </x:row>
    <x:row r="891">
      <x:c r="A891" s="19"/>
      <x:c r="B891" s="27"/>
      <x:c r="C891" s="20"/>
      <x:c r="D891" s="28"/>
      <x:c r="E891" s="20"/>
      <x:c r="F891" s="25"/>
      <x:c r="G891" s="20"/>
      <x:c r="H891" s="20"/>
      <x:c r="I891" s="20"/>
      <x:c r="J891" s="20"/>
      <x:c r="K891" s="20"/>
      <x:c r="L891" s="20"/>
      <x:c r="M891" s="20"/>
      <x:c r="N891" s="20"/>
      <x:c r="O891" s="20"/>
      <x:c r="P891" s="20"/>
      <x:c r="Q891" s="20"/>
      <x:c r="R891" s="20"/>
      <x:c r="S891" s="20"/>
      <x:c r="T891" s="20"/>
      <x:c r="U891" s="20"/>
      <x:c r="V891" s="20"/>
      <x:c r="W891" s="20"/>
      <x:c r="X891" s="20"/>
      <x:c r="Y891" s="21"/>
    </x:row>
    <x:row r="892">
      <x:c r="A892" s="19"/>
      <x:c r="B892" s="27"/>
      <x:c r="C892" s="20"/>
      <x:c r="D892" s="28"/>
      <x:c r="E892" s="20"/>
      <x:c r="F892" s="25"/>
      <x:c r="G892" s="20"/>
      <x:c r="H892" s="20"/>
      <x:c r="I892" s="20"/>
      <x:c r="J892" s="20"/>
      <x:c r="K892" s="20"/>
      <x:c r="L892" s="20"/>
      <x:c r="M892" s="20"/>
      <x:c r="N892" s="20"/>
      <x:c r="O892" s="20"/>
      <x:c r="P892" s="20"/>
      <x:c r="Q892" s="20"/>
      <x:c r="R892" s="20"/>
      <x:c r="S892" s="20"/>
      <x:c r="T892" s="20"/>
      <x:c r="U892" s="20"/>
      <x:c r="V892" s="20"/>
      <x:c r="W892" s="20"/>
      <x:c r="X892" s="20"/>
      <x:c r="Y892" s="21"/>
    </x:row>
    <x:row r="893">
      <x:c r="A893" s="19"/>
      <x:c r="B893" s="27"/>
      <x:c r="C893" s="20"/>
      <x:c r="D893" s="28"/>
      <x:c r="E893" s="20"/>
      <x:c r="F893" s="25"/>
      <x:c r="G893" s="20"/>
      <x:c r="H893" s="20"/>
      <x:c r="I893" s="20"/>
      <x:c r="J893" s="20"/>
      <x:c r="K893" s="20"/>
      <x:c r="L893" s="20"/>
      <x:c r="M893" s="20"/>
      <x:c r="N893" s="20"/>
      <x:c r="O893" s="20"/>
      <x:c r="P893" s="20"/>
      <x:c r="Q893" s="20"/>
      <x:c r="R893" s="20"/>
      <x:c r="S893" s="20"/>
      <x:c r="T893" s="20"/>
      <x:c r="U893" s="20"/>
      <x:c r="V893" s="20"/>
      <x:c r="W893" s="20"/>
      <x:c r="X893" s="20"/>
      <x:c r="Y893" s="21"/>
    </x:row>
    <x:row r="894">
      <x:c r="A894" s="19"/>
      <x:c r="B894" s="27"/>
      <x:c r="C894" s="20"/>
      <x:c r="D894" s="28"/>
      <x:c r="E894" s="20"/>
      <x:c r="F894" s="25"/>
      <x:c r="G894" s="20"/>
      <x:c r="H894" s="20"/>
      <x:c r="I894" s="20"/>
      <x:c r="J894" s="20"/>
      <x:c r="K894" s="20"/>
      <x:c r="L894" s="20"/>
      <x:c r="M894" s="20"/>
      <x:c r="N894" s="20"/>
      <x:c r="O894" s="20"/>
      <x:c r="P894" s="20"/>
      <x:c r="Q894" s="20"/>
      <x:c r="R894" s="20"/>
      <x:c r="S894" s="20"/>
      <x:c r="T894" s="20"/>
      <x:c r="U894" s="20"/>
      <x:c r="V894" s="20"/>
      <x:c r="W894" s="20"/>
      <x:c r="X894" s="20"/>
      <x:c r="Y894" s="21"/>
    </x:row>
    <x:row r="895">
      <x:c r="A895" s="19"/>
      <x:c r="B895" s="27"/>
      <x:c r="C895" s="20"/>
      <x:c r="D895" s="28"/>
      <x:c r="E895" s="20"/>
      <x:c r="F895" s="25"/>
      <x:c r="G895" s="20"/>
      <x:c r="H895" s="20"/>
      <x:c r="I895" s="20"/>
      <x:c r="J895" s="20"/>
      <x:c r="K895" s="20"/>
      <x:c r="L895" s="20"/>
      <x:c r="M895" s="20"/>
      <x:c r="N895" s="20"/>
      <x:c r="O895" s="20"/>
      <x:c r="P895" s="20"/>
      <x:c r="Q895" s="20"/>
      <x:c r="R895" s="20"/>
      <x:c r="S895" s="20"/>
      <x:c r="T895" s="20"/>
      <x:c r="U895" s="20"/>
      <x:c r="V895" s="20"/>
      <x:c r="W895" s="20"/>
      <x:c r="X895" s="20"/>
      <x:c r="Y895" s="21"/>
    </x:row>
    <x:row r="896">
      <x:c r="A896" s="19"/>
      <x:c r="B896" s="27"/>
      <x:c r="C896" s="20"/>
      <x:c r="D896" s="28"/>
      <x:c r="E896" s="20"/>
      <x:c r="F896" s="25"/>
      <x:c r="G896" s="20"/>
      <x:c r="H896" s="20"/>
      <x:c r="I896" s="20"/>
      <x:c r="J896" s="20"/>
      <x:c r="K896" s="20"/>
      <x:c r="L896" s="20"/>
      <x:c r="M896" s="20"/>
      <x:c r="N896" s="20"/>
      <x:c r="O896" s="20"/>
      <x:c r="P896" s="20"/>
      <x:c r="Q896" s="20"/>
      <x:c r="R896" s="20"/>
      <x:c r="S896" s="20"/>
      <x:c r="T896" s="20"/>
      <x:c r="U896" s="20"/>
      <x:c r="V896" s="20"/>
      <x:c r="W896" s="20"/>
      <x:c r="X896" s="20"/>
      <x:c r="Y896" s="21"/>
    </x:row>
    <x:row r="897">
      <x:c r="A897" s="19"/>
      <x:c r="B897" s="27"/>
      <x:c r="C897" s="20"/>
      <x:c r="D897" s="28"/>
      <x:c r="E897" s="20"/>
      <x:c r="F897" s="25"/>
      <x:c r="G897" s="20"/>
      <x:c r="H897" s="20"/>
      <x:c r="I897" s="20"/>
      <x:c r="J897" s="20"/>
      <x:c r="K897" s="20"/>
      <x:c r="L897" s="20"/>
      <x:c r="M897" s="20"/>
      <x:c r="N897" s="20"/>
      <x:c r="O897" s="20"/>
      <x:c r="P897" s="20"/>
      <x:c r="Q897" s="20"/>
      <x:c r="R897" s="20"/>
      <x:c r="S897" s="20"/>
      <x:c r="T897" s="20"/>
      <x:c r="U897" s="20"/>
      <x:c r="V897" s="20"/>
      <x:c r="W897" s="20"/>
      <x:c r="X897" s="20"/>
      <x:c r="Y897" s="21"/>
    </x:row>
    <x:row r="898">
      <x:c r="A898" s="19"/>
      <x:c r="B898" s="27"/>
      <x:c r="C898" s="20"/>
      <x:c r="D898" s="28"/>
      <x:c r="E898" s="20"/>
      <x:c r="F898" s="25"/>
      <x:c r="G898" s="20"/>
      <x:c r="H898" s="20"/>
      <x:c r="I898" s="20"/>
      <x:c r="J898" s="20"/>
      <x:c r="K898" s="20"/>
      <x:c r="L898" s="20"/>
      <x:c r="M898" s="20"/>
      <x:c r="N898" s="20"/>
      <x:c r="O898" s="20"/>
      <x:c r="P898" s="20"/>
      <x:c r="Q898" s="20"/>
      <x:c r="R898" s="20"/>
      <x:c r="S898" s="20"/>
      <x:c r="T898" s="20"/>
      <x:c r="U898" s="20"/>
      <x:c r="V898" s="20"/>
      <x:c r="W898" s="20"/>
      <x:c r="X898" s="20"/>
      <x:c r="Y898" s="21"/>
    </x:row>
    <x:row r="899">
      <x:c r="A899" s="19"/>
      <x:c r="B899" s="27"/>
      <x:c r="C899" s="20"/>
      <x:c r="D899" s="28"/>
      <x:c r="E899" s="20"/>
      <x:c r="F899" s="25"/>
      <x:c r="G899" s="20"/>
      <x:c r="H899" s="20"/>
      <x:c r="I899" s="20"/>
      <x:c r="J899" s="20"/>
      <x:c r="K899" s="20"/>
      <x:c r="L899" s="20"/>
      <x:c r="M899" s="20"/>
      <x:c r="N899" s="20"/>
      <x:c r="O899" s="20"/>
      <x:c r="P899" s="20"/>
      <x:c r="Q899" s="20"/>
      <x:c r="R899" s="20"/>
      <x:c r="S899" s="20"/>
      <x:c r="T899" s="20"/>
      <x:c r="U899" s="20"/>
      <x:c r="V899" s="20"/>
      <x:c r="W899" s="20"/>
      <x:c r="X899" s="20"/>
      <x:c r="Y899" s="21"/>
    </x:row>
    <x:row r="900">
      <x:c r="A900" s="19"/>
      <x:c r="B900" s="27"/>
      <x:c r="C900" s="20"/>
      <x:c r="D900" s="28"/>
      <x:c r="E900" s="20"/>
      <x:c r="F900" s="25"/>
      <x:c r="G900" s="20"/>
      <x:c r="H900" s="20"/>
      <x:c r="I900" s="20"/>
      <x:c r="J900" s="20"/>
      <x:c r="K900" s="20"/>
      <x:c r="L900" s="20"/>
      <x:c r="M900" s="20"/>
      <x:c r="N900" s="20"/>
      <x:c r="O900" s="20"/>
      <x:c r="P900" s="20"/>
      <x:c r="Q900" s="20"/>
      <x:c r="R900" s="20"/>
      <x:c r="S900" s="20"/>
      <x:c r="T900" s="20"/>
      <x:c r="U900" s="20"/>
      <x:c r="V900" s="20"/>
      <x:c r="W900" s="20"/>
      <x:c r="X900" s="20"/>
      <x:c r="Y900" s="21"/>
    </x:row>
    <x:row r="901">
      <x:c r="A901" s="19"/>
      <x:c r="B901" s="27"/>
      <x:c r="C901" s="20"/>
      <x:c r="D901" s="28"/>
      <x:c r="E901" s="20"/>
      <x:c r="F901" s="25"/>
      <x:c r="G901" s="20"/>
      <x:c r="H901" s="20"/>
      <x:c r="I901" s="20"/>
      <x:c r="J901" s="20"/>
      <x:c r="K901" s="20"/>
      <x:c r="L901" s="20"/>
      <x:c r="M901" s="20"/>
      <x:c r="N901" s="20"/>
      <x:c r="O901" s="20"/>
      <x:c r="P901" s="20"/>
      <x:c r="Q901" s="20"/>
      <x:c r="R901" s="20"/>
      <x:c r="S901" s="20"/>
      <x:c r="T901" s="20"/>
      <x:c r="U901" s="20"/>
      <x:c r="V901" s="20"/>
      <x:c r="W901" s="20"/>
      <x:c r="X901" s="20"/>
      <x:c r="Y901" s="21"/>
    </x:row>
    <x:row r="902">
      <x:c r="A902" s="19"/>
      <x:c r="B902" s="27"/>
      <x:c r="C902" s="20"/>
      <x:c r="D902" s="28"/>
      <x:c r="E902" s="20"/>
      <x:c r="F902" s="25"/>
      <x:c r="G902" s="20"/>
      <x:c r="H902" s="20"/>
      <x:c r="I902" s="20"/>
      <x:c r="J902" s="20"/>
      <x:c r="K902" s="20"/>
      <x:c r="L902" s="20"/>
      <x:c r="M902" s="20"/>
      <x:c r="N902" s="20"/>
      <x:c r="O902" s="20"/>
      <x:c r="P902" s="20"/>
      <x:c r="Q902" s="20"/>
      <x:c r="R902" s="20"/>
      <x:c r="S902" s="20"/>
      <x:c r="T902" s="20"/>
      <x:c r="U902" s="20"/>
      <x:c r="V902" s="20"/>
      <x:c r="W902" s="20"/>
      <x:c r="X902" s="20"/>
      <x:c r="Y902" s="21"/>
    </x:row>
    <x:row r="903">
      <x:c r="A903" s="19"/>
      <x:c r="B903" s="27"/>
      <x:c r="C903" s="20"/>
      <x:c r="D903" s="28"/>
      <x:c r="E903" s="20"/>
      <x:c r="F903" s="25"/>
      <x:c r="G903" s="20"/>
      <x:c r="H903" s="20"/>
      <x:c r="I903" s="20"/>
      <x:c r="J903" s="20"/>
      <x:c r="K903" s="20"/>
      <x:c r="L903" s="20"/>
      <x:c r="M903" s="20"/>
      <x:c r="N903" s="20"/>
      <x:c r="O903" s="20"/>
      <x:c r="P903" s="20"/>
      <x:c r="Q903" s="20"/>
      <x:c r="R903" s="20"/>
      <x:c r="S903" s="20"/>
      <x:c r="T903" s="20"/>
      <x:c r="U903" s="20"/>
      <x:c r="V903" s="20"/>
      <x:c r="W903" s="20"/>
      <x:c r="X903" s="20"/>
      <x:c r="Y903" s="21"/>
    </x:row>
    <x:row r="904">
      <x:c r="A904" s="19"/>
      <x:c r="B904" s="27"/>
      <x:c r="C904" s="20"/>
      <x:c r="D904" s="28"/>
      <x:c r="E904" s="20"/>
      <x:c r="F904" s="25"/>
      <x:c r="G904" s="20"/>
      <x:c r="H904" s="20"/>
      <x:c r="I904" s="20"/>
      <x:c r="J904" s="20"/>
      <x:c r="K904" s="20"/>
      <x:c r="L904" s="20"/>
      <x:c r="M904" s="20"/>
      <x:c r="N904" s="20"/>
      <x:c r="O904" s="20"/>
      <x:c r="P904" s="20"/>
      <x:c r="Q904" s="20"/>
      <x:c r="R904" s="20"/>
      <x:c r="S904" s="20"/>
      <x:c r="T904" s="20"/>
      <x:c r="U904" s="20"/>
      <x:c r="V904" s="20"/>
      <x:c r="W904" s="20"/>
      <x:c r="X904" s="20"/>
      <x:c r="Y904" s="21"/>
    </x:row>
    <x:row r="905">
      <x:c r="A905" s="19"/>
      <x:c r="B905" s="27"/>
      <x:c r="C905" s="20"/>
      <x:c r="D905" s="28"/>
      <x:c r="E905" s="20"/>
      <x:c r="F905" s="25"/>
      <x:c r="G905" s="20"/>
      <x:c r="H905" s="20"/>
      <x:c r="I905" s="20"/>
      <x:c r="J905" s="20"/>
      <x:c r="K905" s="20"/>
      <x:c r="L905" s="20"/>
      <x:c r="M905" s="20"/>
      <x:c r="N905" s="20"/>
      <x:c r="O905" s="20"/>
      <x:c r="P905" s="20"/>
      <x:c r="Q905" s="20"/>
      <x:c r="R905" s="20"/>
      <x:c r="S905" s="20"/>
      <x:c r="T905" s="20"/>
      <x:c r="U905" s="20"/>
      <x:c r="V905" s="20"/>
      <x:c r="W905" s="20"/>
      <x:c r="X905" s="20"/>
      <x:c r="Y905" s="21"/>
    </x:row>
    <x:row r="906">
      <x:c r="A906" s="19"/>
      <x:c r="B906" s="27"/>
      <x:c r="C906" s="20"/>
      <x:c r="D906" s="28"/>
      <x:c r="E906" s="20"/>
      <x:c r="F906" s="25"/>
      <x:c r="G906" s="20"/>
      <x:c r="H906" s="20"/>
      <x:c r="I906" s="20"/>
      <x:c r="J906" s="20"/>
      <x:c r="K906" s="20"/>
      <x:c r="L906" s="20"/>
      <x:c r="M906" s="20"/>
      <x:c r="N906" s="20"/>
      <x:c r="O906" s="20"/>
      <x:c r="P906" s="20"/>
      <x:c r="Q906" s="20"/>
      <x:c r="R906" s="20"/>
      <x:c r="S906" s="20"/>
      <x:c r="T906" s="20"/>
      <x:c r="U906" s="20"/>
      <x:c r="V906" s="20"/>
      <x:c r="W906" s="20"/>
      <x:c r="X906" s="20"/>
      <x:c r="Y906" s="21"/>
    </x:row>
    <x:row r="907">
      <x:c r="A907" s="19"/>
      <x:c r="B907" s="27"/>
      <x:c r="C907" s="20"/>
      <x:c r="D907" s="28"/>
      <x:c r="E907" s="20"/>
      <x:c r="F907" s="25"/>
      <x:c r="G907" s="20"/>
      <x:c r="H907" s="20"/>
      <x:c r="I907" s="20"/>
      <x:c r="J907" s="20"/>
      <x:c r="K907" s="20"/>
      <x:c r="L907" s="20"/>
      <x:c r="M907" s="20"/>
      <x:c r="N907" s="20"/>
      <x:c r="O907" s="20"/>
      <x:c r="P907" s="20"/>
      <x:c r="Q907" s="20"/>
      <x:c r="R907" s="20"/>
      <x:c r="S907" s="20"/>
      <x:c r="T907" s="20"/>
      <x:c r="U907" s="20"/>
      <x:c r="V907" s="20"/>
      <x:c r="W907" s="20"/>
      <x:c r="X907" s="20"/>
      <x:c r="Y907" s="21"/>
    </x:row>
    <x:row r="908">
      <x:c r="A908" s="19"/>
      <x:c r="B908" s="27"/>
      <x:c r="C908" s="20"/>
      <x:c r="D908" s="28"/>
      <x:c r="E908" s="20"/>
      <x:c r="F908" s="25"/>
      <x:c r="G908" s="20"/>
      <x:c r="H908" s="20"/>
      <x:c r="I908" s="20"/>
      <x:c r="J908" s="20"/>
      <x:c r="K908" s="20"/>
      <x:c r="L908" s="20"/>
      <x:c r="M908" s="20"/>
      <x:c r="N908" s="20"/>
      <x:c r="O908" s="20"/>
      <x:c r="P908" s="20"/>
      <x:c r="Q908" s="20"/>
      <x:c r="R908" s="20"/>
      <x:c r="S908" s="20"/>
      <x:c r="T908" s="20"/>
      <x:c r="U908" s="20"/>
      <x:c r="V908" s="20"/>
      <x:c r="W908" s="20"/>
      <x:c r="X908" s="20"/>
      <x:c r="Y908" s="21"/>
    </x:row>
    <x:row r="909">
      <x:c r="A909" s="19"/>
      <x:c r="B909" s="27"/>
      <x:c r="C909" s="20"/>
      <x:c r="D909" s="28"/>
      <x:c r="E909" s="20"/>
      <x:c r="F909" s="25"/>
      <x:c r="G909" s="20"/>
      <x:c r="H909" s="20"/>
      <x:c r="I909" s="20"/>
      <x:c r="J909" s="20"/>
      <x:c r="K909" s="20"/>
      <x:c r="L909" s="20"/>
      <x:c r="M909" s="20"/>
      <x:c r="N909" s="20"/>
      <x:c r="O909" s="20"/>
      <x:c r="P909" s="20"/>
      <x:c r="Q909" s="20"/>
      <x:c r="R909" s="20"/>
      <x:c r="S909" s="20"/>
      <x:c r="T909" s="20"/>
      <x:c r="U909" s="20"/>
      <x:c r="V909" s="20"/>
      <x:c r="W909" s="20"/>
      <x:c r="X909" s="20"/>
      <x:c r="Y909" s="21"/>
    </x:row>
    <x:row r="910">
      <x:c r="A910" s="19"/>
      <x:c r="B910" s="27"/>
      <x:c r="C910" s="20"/>
      <x:c r="D910" s="28"/>
      <x:c r="E910" s="20"/>
      <x:c r="F910" s="25"/>
      <x:c r="G910" s="20"/>
      <x:c r="H910" s="20"/>
      <x:c r="I910" s="20"/>
      <x:c r="J910" s="20"/>
      <x:c r="K910" s="20"/>
      <x:c r="L910" s="20"/>
      <x:c r="M910" s="20"/>
      <x:c r="N910" s="20"/>
      <x:c r="O910" s="20"/>
      <x:c r="P910" s="20"/>
      <x:c r="Q910" s="20"/>
      <x:c r="R910" s="20"/>
      <x:c r="S910" s="20"/>
      <x:c r="T910" s="20"/>
      <x:c r="U910" s="20"/>
      <x:c r="V910" s="20"/>
      <x:c r="W910" s="20"/>
      <x:c r="X910" s="20"/>
      <x:c r="Y910" s="21"/>
    </x:row>
    <x:row r="911">
      <x:c r="A911" s="19"/>
      <x:c r="B911" s="27"/>
      <x:c r="C911" s="20"/>
      <x:c r="D911" s="28"/>
      <x:c r="E911" s="20"/>
      <x:c r="F911" s="25"/>
      <x:c r="G911" s="20"/>
      <x:c r="H911" s="20"/>
      <x:c r="I911" s="20"/>
      <x:c r="J911" s="20"/>
      <x:c r="K911" s="20"/>
      <x:c r="L911" s="20"/>
      <x:c r="M911" s="20"/>
      <x:c r="N911" s="20"/>
      <x:c r="O911" s="20"/>
      <x:c r="P911" s="20"/>
      <x:c r="Q911" s="20"/>
      <x:c r="R911" s="20"/>
      <x:c r="S911" s="20"/>
      <x:c r="T911" s="20"/>
      <x:c r="U911" s="20"/>
      <x:c r="V911" s="20"/>
      <x:c r="W911" s="20"/>
      <x:c r="X911" s="20"/>
      <x:c r="Y911" s="21"/>
    </x:row>
    <x:row r="912">
      <x:c r="A912" s="19"/>
      <x:c r="B912" s="27"/>
      <x:c r="C912" s="20"/>
      <x:c r="D912" s="28"/>
      <x:c r="E912" s="20"/>
      <x:c r="F912" s="25"/>
      <x:c r="G912" s="20"/>
      <x:c r="H912" s="20"/>
      <x:c r="I912" s="20"/>
      <x:c r="J912" s="20"/>
      <x:c r="K912" s="20"/>
      <x:c r="L912" s="20"/>
      <x:c r="M912" s="20"/>
      <x:c r="N912" s="20"/>
      <x:c r="O912" s="20"/>
      <x:c r="P912" s="20"/>
      <x:c r="Q912" s="20"/>
      <x:c r="R912" s="20"/>
      <x:c r="S912" s="20"/>
      <x:c r="T912" s="20"/>
      <x:c r="U912" s="20"/>
      <x:c r="V912" s="20"/>
      <x:c r="W912" s="20"/>
      <x:c r="X912" s="20"/>
      <x:c r="Y912" s="21"/>
    </x:row>
    <x:row r="913">
      <x:c r="A913" s="19"/>
      <x:c r="B913" s="27"/>
      <x:c r="C913" s="20"/>
      <x:c r="D913" s="28"/>
      <x:c r="E913" s="20"/>
      <x:c r="F913" s="25"/>
      <x:c r="G913" s="20"/>
      <x:c r="H913" s="20"/>
      <x:c r="I913" s="20"/>
      <x:c r="J913" s="20"/>
      <x:c r="K913" s="20"/>
      <x:c r="L913" s="20"/>
      <x:c r="M913" s="20"/>
      <x:c r="N913" s="20"/>
      <x:c r="O913" s="20"/>
      <x:c r="P913" s="20"/>
      <x:c r="Q913" s="20"/>
      <x:c r="R913" s="20"/>
      <x:c r="S913" s="20"/>
      <x:c r="T913" s="20"/>
      <x:c r="U913" s="20"/>
      <x:c r="V913" s="20"/>
      <x:c r="W913" s="20"/>
      <x:c r="X913" s="20"/>
      <x:c r="Y913" s="21"/>
    </x:row>
    <x:row r="914">
      <x:c r="A914" s="19"/>
      <x:c r="B914" s="27"/>
      <x:c r="C914" s="20"/>
      <x:c r="D914" s="28"/>
      <x:c r="E914" s="20"/>
      <x:c r="F914" s="25"/>
      <x:c r="G914" s="20"/>
      <x:c r="H914" s="20"/>
      <x:c r="I914" s="20"/>
      <x:c r="J914" s="20"/>
      <x:c r="K914" s="20"/>
      <x:c r="L914" s="20"/>
      <x:c r="M914" s="20"/>
      <x:c r="N914" s="20"/>
      <x:c r="O914" s="20"/>
      <x:c r="P914" s="20"/>
      <x:c r="Q914" s="20"/>
      <x:c r="R914" s="20"/>
      <x:c r="S914" s="20"/>
      <x:c r="T914" s="20"/>
      <x:c r="U914" s="20"/>
      <x:c r="V914" s="20"/>
      <x:c r="W914" s="20"/>
      <x:c r="X914" s="20"/>
      <x:c r="Y914" s="21"/>
    </x:row>
    <x:row r="915">
      <x:c r="A915" s="19"/>
      <x:c r="B915" s="27"/>
      <x:c r="C915" s="20"/>
      <x:c r="D915" s="28"/>
      <x:c r="E915" s="20"/>
      <x:c r="F915" s="25"/>
      <x:c r="G915" s="20"/>
      <x:c r="H915" s="20"/>
      <x:c r="I915" s="20"/>
      <x:c r="J915" s="20"/>
      <x:c r="K915" s="20"/>
      <x:c r="L915" s="20"/>
      <x:c r="M915" s="20"/>
      <x:c r="N915" s="20"/>
      <x:c r="O915" s="20"/>
      <x:c r="P915" s="20"/>
      <x:c r="Q915" s="20"/>
      <x:c r="R915" s="20"/>
      <x:c r="S915" s="20"/>
      <x:c r="T915" s="20"/>
      <x:c r="U915" s="20"/>
      <x:c r="V915" s="20"/>
      <x:c r="W915" s="20"/>
      <x:c r="X915" s="20"/>
      <x:c r="Y915" s="21"/>
    </x:row>
    <x:row r="916">
      <x:c r="A916" s="19"/>
      <x:c r="B916" s="27"/>
      <x:c r="C916" s="20"/>
      <x:c r="D916" s="28"/>
      <x:c r="E916" s="20"/>
      <x:c r="F916" s="25"/>
      <x:c r="G916" s="20"/>
      <x:c r="H916" s="20"/>
      <x:c r="I916" s="20"/>
      <x:c r="J916" s="20"/>
      <x:c r="K916" s="20"/>
      <x:c r="L916" s="20"/>
      <x:c r="M916" s="20"/>
      <x:c r="N916" s="20"/>
      <x:c r="O916" s="20"/>
      <x:c r="P916" s="20"/>
      <x:c r="Q916" s="20"/>
      <x:c r="R916" s="20"/>
      <x:c r="S916" s="20"/>
      <x:c r="T916" s="20"/>
      <x:c r="U916" s="20"/>
      <x:c r="V916" s="20"/>
      <x:c r="W916" s="20"/>
      <x:c r="X916" s="20"/>
      <x:c r="Y916" s="21"/>
    </x:row>
    <x:row r="917">
      <x:c r="A917" s="19"/>
      <x:c r="B917" s="27"/>
      <x:c r="C917" s="20"/>
      <x:c r="D917" s="28"/>
      <x:c r="E917" s="20"/>
      <x:c r="F917" s="25"/>
      <x:c r="G917" s="20"/>
      <x:c r="H917" s="20"/>
      <x:c r="I917" s="20"/>
      <x:c r="J917" s="20"/>
      <x:c r="K917" s="20"/>
      <x:c r="L917" s="20"/>
      <x:c r="M917" s="20"/>
      <x:c r="N917" s="20"/>
      <x:c r="O917" s="20"/>
      <x:c r="P917" s="20"/>
      <x:c r="Q917" s="20"/>
      <x:c r="R917" s="20"/>
      <x:c r="S917" s="20"/>
      <x:c r="T917" s="20"/>
      <x:c r="U917" s="20"/>
      <x:c r="V917" s="20"/>
      <x:c r="W917" s="20"/>
      <x:c r="X917" s="20"/>
      <x:c r="Y917" s="21"/>
    </x:row>
    <x:row r="918">
      <x:c r="A918" s="19"/>
      <x:c r="B918" s="27"/>
      <x:c r="C918" s="20"/>
      <x:c r="D918" s="28"/>
      <x:c r="E918" s="20"/>
      <x:c r="F918" s="25"/>
      <x:c r="G918" s="20"/>
      <x:c r="H918" s="20"/>
      <x:c r="I918" s="20"/>
      <x:c r="J918" s="20"/>
      <x:c r="K918" s="20"/>
      <x:c r="L918" s="20"/>
      <x:c r="M918" s="20"/>
      <x:c r="N918" s="20"/>
      <x:c r="O918" s="20"/>
      <x:c r="P918" s="20"/>
      <x:c r="Q918" s="20"/>
      <x:c r="R918" s="20"/>
      <x:c r="S918" s="20"/>
      <x:c r="T918" s="20"/>
      <x:c r="U918" s="20"/>
      <x:c r="V918" s="20"/>
      <x:c r="W918" s="20"/>
      <x:c r="X918" s="20"/>
      <x:c r="Y918" s="21"/>
    </x:row>
    <x:row r="919">
      <x:c r="A919" s="19"/>
      <x:c r="B919" s="27"/>
      <x:c r="C919" s="20"/>
      <x:c r="D919" s="28"/>
      <x:c r="E919" s="20"/>
      <x:c r="F919" s="25"/>
      <x:c r="G919" s="20"/>
      <x:c r="H919" s="20"/>
      <x:c r="I919" s="20"/>
      <x:c r="J919" s="20"/>
      <x:c r="K919" s="20"/>
      <x:c r="L919" s="20"/>
      <x:c r="M919" s="20"/>
      <x:c r="N919" s="20"/>
      <x:c r="O919" s="20"/>
      <x:c r="P919" s="20"/>
      <x:c r="Q919" s="20"/>
      <x:c r="R919" s="20"/>
      <x:c r="S919" s="20"/>
      <x:c r="T919" s="20"/>
      <x:c r="U919" s="20"/>
      <x:c r="V919" s="20"/>
      <x:c r="W919" s="20"/>
      <x:c r="X919" s="20"/>
      <x:c r="Y919" s="21"/>
    </x:row>
    <x:row r="920">
      <x:c r="A920" s="19"/>
      <x:c r="B920" s="27"/>
      <x:c r="C920" s="20"/>
      <x:c r="D920" s="28"/>
      <x:c r="E920" s="20"/>
      <x:c r="F920" s="25"/>
      <x:c r="G920" s="20"/>
      <x:c r="H920" s="20"/>
      <x:c r="I920" s="20"/>
      <x:c r="J920" s="20"/>
      <x:c r="K920" s="20"/>
      <x:c r="L920" s="20"/>
      <x:c r="M920" s="20"/>
      <x:c r="N920" s="20"/>
      <x:c r="O920" s="20"/>
      <x:c r="P920" s="20"/>
      <x:c r="Q920" s="20"/>
      <x:c r="R920" s="20"/>
      <x:c r="S920" s="20"/>
      <x:c r="T920" s="20"/>
      <x:c r="U920" s="20"/>
      <x:c r="V920" s="20"/>
      <x:c r="W920" s="20"/>
      <x:c r="X920" s="20"/>
      <x:c r="Y920" s="21"/>
    </x:row>
    <x:row r="921">
      <x:c r="A921" s="19"/>
      <x:c r="B921" s="27"/>
      <x:c r="C921" s="20"/>
      <x:c r="D921" s="28"/>
      <x:c r="E921" s="20"/>
      <x:c r="F921" s="25"/>
      <x:c r="G921" s="20"/>
      <x:c r="H921" s="20"/>
      <x:c r="I921" s="20"/>
      <x:c r="J921" s="20"/>
      <x:c r="K921" s="20"/>
      <x:c r="L921" s="20"/>
      <x:c r="M921" s="20"/>
      <x:c r="N921" s="20"/>
      <x:c r="O921" s="20"/>
      <x:c r="P921" s="20"/>
      <x:c r="Q921" s="20"/>
      <x:c r="R921" s="20"/>
      <x:c r="S921" s="20"/>
      <x:c r="T921" s="20"/>
      <x:c r="U921" s="20"/>
      <x:c r="V921" s="20"/>
      <x:c r="W921" s="20"/>
      <x:c r="X921" s="20"/>
      <x:c r="Y921" s="21"/>
    </x:row>
    <x:row r="922">
      <x:c r="A922" s="19"/>
      <x:c r="B922" s="27"/>
      <x:c r="C922" s="20"/>
      <x:c r="D922" s="28"/>
      <x:c r="E922" s="20"/>
      <x:c r="F922" s="25"/>
      <x:c r="G922" s="20"/>
      <x:c r="H922" s="20"/>
      <x:c r="I922" s="20"/>
      <x:c r="J922" s="20"/>
      <x:c r="K922" s="20"/>
      <x:c r="L922" s="20"/>
      <x:c r="M922" s="20"/>
      <x:c r="N922" s="20"/>
      <x:c r="O922" s="20"/>
      <x:c r="P922" s="20"/>
      <x:c r="Q922" s="20"/>
      <x:c r="R922" s="20"/>
      <x:c r="S922" s="20"/>
      <x:c r="T922" s="20"/>
      <x:c r="U922" s="20"/>
      <x:c r="V922" s="20"/>
      <x:c r="W922" s="20"/>
      <x:c r="X922" s="20"/>
      <x:c r="Y922" s="21"/>
    </x:row>
    <x:row r="923">
      <x:c r="A923" s="19"/>
      <x:c r="B923" s="27"/>
      <x:c r="C923" s="20"/>
      <x:c r="D923" s="28"/>
      <x:c r="E923" s="20"/>
      <x:c r="F923" s="25"/>
      <x:c r="G923" s="20"/>
      <x:c r="H923" s="20"/>
      <x:c r="I923" s="20"/>
      <x:c r="J923" s="20"/>
      <x:c r="K923" s="20"/>
      <x:c r="L923" s="20"/>
      <x:c r="M923" s="20"/>
      <x:c r="N923" s="20"/>
      <x:c r="O923" s="20"/>
      <x:c r="P923" s="20"/>
      <x:c r="Q923" s="20"/>
      <x:c r="R923" s="20"/>
      <x:c r="S923" s="20"/>
      <x:c r="T923" s="20"/>
      <x:c r="U923" s="20"/>
      <x:c r="V923" s="20"/>
      <x:c r="W923" s="20"/>
      <x:c r="X923" s="20"/>
      <x:c r="Y923" s="21"/>
    </x:row>
    <x:row r="924">
      <x:c r="A924" s="19"/>
      <x:c r="B924" s="27"/>
      <x:c r="C924" s="20"/>
      <x:c r="D924" s="28"/>
      <x:c r="E924" s="20"/>
      <x:c r="F924" s="25"/>
      <x:c r="G924" s="20"/>
      <x:c r="H924" s="20"/>
      <x:c r="I924" s="20"/>
      <x:c r="J924" s="20"/>
      <x:c r="K924" s="20"/>
      <x:c r="L924" s="20"/>
      <x:c r="M924" s="20"/>
      <x:c r="N924" s="20"/>
      <x:c r="O924" s="20"/>
      <x:c r="P924" s="20"/>
      <x:c r="Q924" s="20"/>
      <x:c r="R924" s="20"/>
      <x:c r="S924" s="20"/>
      <x:c r="T924" s="20"/>
      <x:c r="U924" s="20"/>
      <x:c r="V924" s="20"/>
      <x:c r="W924" s="20"/>
      <x:c r="X924" s="20"/>
      <x:c r="Y924" s="21"/>
    </x:row>
    <x:row r="925">
      <x:c r="A925" s="19"/>
      <x:c r="B925" s="27"/>
      <x:c r="C925" s="20"/>
      <x:c r="D925" s="28"/>
      <x:c r="E925" s="20"/>
      <x:c r="F925" s="25"/>
      <x:c r="G925" s="20"/>
      <x:c r="H925" s="20"/>
      <x:c r="I925" s="20"/>
      <x:c r="J925" s="20"/>
      <x:c r="K925" s="20"/>
      <x:c r="L925" s="20"/>
      <x:c r="M925" s="20"/>
      <x:c r="N925" s="20"/>
      <x:c r="O925" s="20"/>
      <x:c r="P925" s="20"/>
      <x:c r="Q925" s="20"/>
      <x:c r="R925" s="20"/>
      <x:c r="S925" s="20"/>
      <x:c r="T925" s="20"/>
      <x:c r="U925" s="20"/>
      <x:c r="V925" s="20"/>
      <x:c r="W925" s="20"/>
      <x:c r="X925" s="20"/>
      <x:c r="Y925" s="21"/>
    </x:row>
    <x:row r="926">
      <x:c r="A926" s="19"/>
      <x:c r="B926" s="27"/>
      <x:c r="C926" s="20"/>
      <x:c r="D926" s="28"/>
      <x:c r="E926" s="20"/>
      <x:c r="F926" s="25"/>
      <x:c r="G926" s="20"/>
      <x:c r="H926" s="20"/>
      <x:c r="I926" s="20"/>
      <x:c r="J926" s="20"/>
      <x:c r="K926" s="20"/>
      <x:c r="L926" s="20"/>
      <x:c r="M926" s="20"/>
      <x:c r="N926" s="20"/>
      <x:c r="O926" s="20"/>
      <x:c r="P926" s="20"/>
      <x:c r="Q926" s="20"/>
      <x:c r="R926" s="20"/>
      <x:c r="S926" s="20"/>
      <x:c r="T926" s="20"/>
      <x:c r="U926" s="20"/>
      <x:c r="V926" s="20"/>
      <x:c r="W926" s="20"/>
      <x:c r="X926" s="20"/>
      <x:c r="Y926" s="21"/>
    </x:row>
    <x:row r="927">
      <x:c r="A927" s="19"/>
      <x:c r="B927" s="27"/>
      <x:c r="C927" s="20"/>
      <x:c r="D927" s="28"/>
      <x:c r="E927" s="20"/>
      <x:c r="F927" s="25"/>
      <x:c r="G927" s="20"/>
      <x:c r="H927" s="20"/>
      <x:c r="I927" s="20"/>
      <x:c r="J927" s="20"/>
      <x:c r="K927" s="20"/>
      <x:c r="L927" s="20"/>
      <x:c r="M927" s="20"/>
      <x:c r="N927" s="20"/>
      <x:c r="O927" s="20"/>
      <x:c r="P927" s="20"/>
      <x:c r="Q927" s="20"/>
      <x:c r="R927" s="20"/>
      <x:c r="S927" s="20"/>
      <x:c r="T927" s="20"/>
      <x:c r="U927" s="20"/>
      <x:c r="V927" s="20"/>
      <x:c r="W927" s="20"/>
      <x:c r="X927" s="20"/>
      <x:c r="Y927" s="21"/>
    </x:row>
    <x:row r="928">
      <x:c r="A928" s="19"/>
      <x:c r="B928" s="27"/>
      <x:c r="C928" s="20"/>
      <x:c r="D928" s="28"/>
      <x:c r="E928" s="20"/>
      <x:c r="F928" s="25"/>
      <x:c r="G928" s="20"/>
      <x:c r="H928" s="20"/>
      <x:c r="I928" s="20"/>
      <x:c r="J928" s="20"/>
      <x:c r="K928" s="20"/>
      <x:c r="L928" s="20"/>
      <x:c r="M928" s="20"/>
      <x:c r="N928" s="20"/>
      <x:c r="O928" s="20"/>
      <x:c r="P928" s="20"/>
      <x:c r="Q928" s="20"/>
      <x:c r="R928" s="20"/>
      <x:c r="S928" s="20"/>
      <x:c r="T928" s="20"/>
      <x:c r="U928" s="20"/>
      <x:c r="V928" s="20"/>
      <x:c r="W928" s="20"/>
      <x:c r="X928" s="20"/>
      <x:c r="Y928" s="21"/>
    </x:row>
    <x:row r="929">
      <x:c r="A929" s="19"/>
      <x:c r="B929" s="27"/>
      <x:c r="C929" s="20"/>
      <x:c r="D929" s="28"/>
      <x:c r="E929" s="20"/>
      <x:c r="F929" s="25"/>
      <x:c r="G929" s="20"/>
      <x:c r="H929" s="20"/>
      <x:c r="I929" s="20"/>
      <x:c r="J929" s="20"/>
      <x:c r="K929" s="20"/>
      <x:c r="L929" s="20"/>
      <x:c r="M929" s="20"/>
      <x:c r="N929" s="20"/>
      <x:c r="O929" s="20"/>
      <x:c r="P929" s="20"/>
      <x:c r="Q929" s="20"/>
      <x:c r="R929" s="20"/>
      <x:c r="S929" s="20"/>
      <x:c r="T929" s="20"/>
      <x:c r="U929" s="20"/>
      <x:c r="V929" s="20"/>
      <x:c r="W929" s="20"/>
      <x:c r="X929" s="20"/>
      <x:c r="Y929" s="21"/>
    </x:row>
    <x:row r="930">
      <x:c r="A930" s="19"/>
      <x:c r="B930" s="27"/>
      <x:c r="C930" s="20"/>
      <x:c r="D930" s="28"/>
      <x:c r="E930" s="20"/>
      <x:c r="F930" s="25"/>
      <x:c r="G930" s="20"/>
      <x:c r="H930" s="20"/>
      <x:c r="I930" s="20"/>
      <x:c r="J930" s="20"/>
      <x:c r="K930" s="20"/>
      <x:c r="L930" s="20"/>
      <x:c r="M930" s="20"/>
      <x:c r="N930" s="20"/>
      <x:c r="O930" s="20"/>
      <x:c r="P930" s="20"/>
      <x:c r="Q930" s="20"/>
      <x:c r="R930" s="20"/>
      <x:c r="S930" s="20"/>
      <x:c r="T930" s="20"/>
      <x:c r="U930" s="20"/>
      <x:c r="V930" s="20"/>
      <x:c r="W930" s="20"/>
      <x:c r="X930" s="20"/>
      <x:c r="Y930" s="21"/>
    </x:row>
    <x:row r="931">
      <x:c r="A931" s="19"/>
      <x:c r="B931" s="27"/>
      <x:c r="C931" s="20"/>
      <x:c r="D931" s="28"/>
      <x:c r="E931" s="20"/>
      <x:c r="F931" s="25"/>
      <x:c r="G931" s="20"/>
      <x:c r="H931" s="20"/>
      <x:c r="I931" s="20"/>
      <x:c r="J931" s="20"/>
      <x:c r="K931" s="20"/>
      <x:c r="L931" s="20"/>
      <x:c r="M931" s="20"/>
      <x:c r="N931" s="20"/>
      <x:c r="O931" s="20"/>
      <x:c r="P931" s="20"/>
      <x:c r="Q931" s="20"/>
      <x:c r="R931" s="20"/>
      <x:c r="S931" s="20"/>
      <x:c r="T931" s="20"/>
      <x:c r="U931" s="20"/>
      <x:c r="V931" s="20"/>
      <x:c r="W931" s="20"/>
      <x:c r="X931" s="20"/>
      <x:c r="Y931" s="21"/>
    </x:row>
    <x:row r="932">
      <x:c r="A932" s="19"/>
      <x:c r="B932" s="27"/>
      <x:c r="C932" s="20"/>
      <x:c r="D932" s="28"/>
      <x:c r="E932" s="20"/>
      <x:c r="F932" s="25"/>
      <x:c r="G932" s="20"/>
      <x:c r="H932" s="20"/>
      <x:c r="I932" s="20"/>
      <x:c r="J932" s="20"/>
      <x:c r="K932" s="20"/>
      <x:c r="L932" s="20"/>
      <x:c r="M932" s="20"/>
      <x:c r="N932" s="20"/>
      <x:c r="O932" s="20"/>
      <x:c r="P932" s="20"/>
      <x:c r="Q932" s="20"/>
      <x:c r="R932" s="20"/>
      <x:c r="S932" s="20"/>
      <x:c r="T932" s="20"/>
      <x:c r="U932" s="20"/>
      <x:c r="V932" s="20"/>
      <x:c r="W932" s="20"/>
      <x:c r="X932" s="20"/>
      <x:c r="Y932" s="21"/>
    </x:row>
    <x:row r="933">
      <x:c r="A933" s="19"/>
      <x:c r="B933" s="27"/>
      <x:c r="C933" s="20"/>
      <x:c r="D933" s="28"/>
      <x:c r="E933" s="20"/>
      <x:c r="F933" s="25"/>
      <x:c r="G933" s="20"/>
      <x:c r="H933" s="20"/>
      <x:c r="I933" s="20"/>
      <x:c r="J933" s="20"/>
      <x:c r="K933" s="20"/>
      <x:c r="L933" s="20"/>
      <x:c r="M933" s="20"/>
      <x:c r="N933" s="20"/>
      <x:c r="O933" s="20"/>
      <x:c r="P933" s="20"/>
      <x:c r="Q933" s="20"/>
      <x:c r="R933" s="20"/>
      <x:c r="S933" s="20"/>
      <x:c r="T933" s="20"/>
      <x:c r="U933" s="20"/>
      <x:c r="V933" s="20"/>
      <x:c r="W933" s="20"/>
      <x:c r="X933" s="20"/>
      <x:c r="Y933" s="21"/>
    </x:row>
    <x:row r="934">
      <x:c r="A934" s="19"/>
      <x:c r="B934" s="27"/>
      <x:c r="C934" s="20"/>
      <x:c r="D934" s="28"/>
      <x:c r="E934" s="20"/>
      <x:c r="F934" s="25"/>
      <x:c r="G934" s="20"/>
      <x:c r="H934" s="20"/>
      <x:c r="I934" s="20"/>
      <x:c r="J934" s="20"/>
      <x:c r="K934" s="20"/>
      <x:c r="L934" s="20"/>
      <x:c r="M934" s="20"/>
      <x:c r="N934" s="20"/>
      <x:c r="O934" s="20"/>
      <x:c r="P934" s="20"/>
      <x:c r="Q934" s="20"/>
      <x:c r="R934" s="20"/>
      <x:c r="S934" s="20"/>
      <x:c r="T934" s="20"/>
      <x:c r="U934" s="20"/>
      <x:c r="V934" s="20"/>
      <x:c r="W934" s="20"/>
      <x:c r="X934" s="20"/>
      <x:c r="Y934" s="21"/>
    </x:row>
    <x:row r="935">
      <x:c r="A935" s="19"/>
      <x:c r="B935" s="27"/>
      <x:c r="C935" s="20"/>
      <x:c r="D935" s="28"/>
      <x:c r="E935" s="20"/>
      <x:c r="F935" s="25"/>
      <x:c r="G935" s="20"/>
      <x:c r="H935" s="20"/>
      <x:c r="I935" s="20"/>
      <x:c r="J935" s="20"/>
      <x:c r="K935" s="20"/>
      <x:c r="L935" s="20"/>
      <x:c r="M935" s="20"/>
      <x:c r="N935" s="20"/>
      <x:c r="O935" s="20"/>
      <x:c r="P935" s="20"/>
      <x:c r="Q935" s="20"/>
      <x:c r="R935" s="20"/>
      <x:c r="S935" s="20"/>
      <x:c r="T935" s="20"/>
      <x:c r="U935" s="20"/>
      <x:c r="V935" s="20"/>
      <x:c r="W935" s="20"/>
      <x:c r="X935" s="20"/>
      <x:c r="Y935" s="21"/>
    </x:row>
    <x:row r="936">
      <x:c r="A936" s="19"/>
      <x:c r="B936" s="27"/>
      <x:c r="C936" s="20"/>
      <x:c r="D936" s="28"/>
      <x:c r="E936" s="20"/>
      <x:c r="F936" s="25"/>
      <x:c r="G936" s="20"/>
      <x:c r="H936" s="20"/>
      <x:c r="I936" s="20"/>
      <x:c r="J936" s="20"/>
      <x:c r="K936" s="20"/>
      <x:c r="L936" s="20"/>
      <x:c r="M936" s="20"/>
      <x:c r="N936" s="20"/>
      <x:c r="O936" s="20"/>
      <x:c r="P936" s="20"/>
      <x:c r="Q936" s="20"/>
      <x:c r="R936" s="20"/>
      <x:c r="S936" s="20"/>
      <x:c r="T936" s="20"/>
      <x:c r="U936" s="20"/>
      <x:c r="V936" s="20"/>
      <x:c r="W936" s="20"/>
      <x:c r="X936" s="20"/>
      <x:c r="Y936" s="21"/>
    </x:row>
    <x:row r="937">
      <x:c r="A937" s="19"/>
      <x:c r="B937" s="27"/>
      <x:c r="C937" s="20"/>
      <x:c r="D937" s="28"/>
      <x:c r="E937" s="20"/>
      <x:c r="F937" s="25"/>
      <x:c r="G937" s="20"/>
      <x:c r="H937" s="20"/>
      <x:c r="I937" s="20"/>
      <x:c r="J937" s="20"/>
      <x:c r="K937" s="20"/>
      <x:c r="L937" s="20"/>
      <x:c r="M937" s="20"/>
      <x:c r="N937" s="20"/>
      <x:c r="O937" s="20"/>
      <x:c r="P937" s="20"/>
      <x:c r="Q937" s="20"/>
      <x:c r="R937" s="20"/>
      <x:c r="S937" s="20"/>
      <x:c r="T937" s="20"/>
      <x:c r="U937" s="20"/>
      <x:c r="V937" s="20"/>
      <x:c r="W937" s="20"/>
      <x:c r="X937" s="20"/>
      <x:c r="Y937" s="21"/>
    </x:row>
    <x:row r="938">
      <x:c r="A938" s="19"/>
      <x:c r="B938" s="27"/>
      <x:c r="C938" s="20"/>
      <x:c r="D938" s="28"/>
      <x:c r="E938" s="20"/>
      <x:c r="F938" s="25"/>
      <x:c r="G938" s="20"/>
      <x:c r="H938" s="20"/>
      <x:c r="I938" s="20"/>
      <x:c r="J938" s="20"/>
      <x:c r="K938" s="20"/>
      <x:c r="L938" s="20"/>
      <x:c r="M938" s="20"/>
      <x:c r="N938" s="20"/>
      <x:c r="O938" s="20"/>
      <x:c r="P938" s="20"/>
      <x:c r="Q938" s="20"/>
      <x:c r="R938" s="20"/>
      <x:c r="S938" s="20"/>
      <x:c r="T938" s="20"/>
      <x:c r="U938" s="20"/>
      <x:c r="V938" s="20"/>
      <x:c r="W938" s="20"/>
      <x:c r="X938" s="20"/>
      <x:c r="Y938" s="21"/>
    </x:row>
    <x:row r="939">
      <x:c r="A939" s="19"/>
      <x:c r="B939" s="27"/>
      <x:c r="C939" s="20"/>
      <x:c r="D939" s="28"/>
      <x:c r="E939" s="20"/>
      <x:c r="F939" s="25"/>
      <x:c r="G939" s="20"/>
      <x:c r="H939" s="20"/>
      <x:c r="I939" s="20"/>
      <x:c r="J939" s="20"/>
      <x:c r="K939" s="20"/>
      <x:c r="L939" s="20"/>
      <x:c r="M939" s="20"/>
      <x:c r="N939" s="20"/>
      <x:c r="O939" s="20"/>
      <x:c r="P939" s="20"/>
      <x:c r="Q939" s="20"/>
      <x:c r="R939" s="20"/>
      <x:c r="S939" s="20"/>
      <x:c r="T939" s="20"/>
      <x:c r="U939" s="20"/>
      <x:c r="V939" s="20"/>
      <x:c r="W939" s="20"/>
      <x:c r="X939" s="20"/>
      <x:c r="Y939" s="21"/>
    </x:row>
    <x:row r="940">
      <x:c r="A940" s="19"/>
      <x:c r="B940" s="27"/>
      <x:c r="C940" s="20"/>
      <x:c r="D940" s="28"/>
      <x:c r="E940" s="20"/>
      <x:c r="F940" s="25"/>
      <x:c r="G940" s="20"/>
      <x:c r="H940" s="20"/>
      <x:c r="I940" s="20"/>
      <x:c r="J940" s="20"/>
      <x:c r="K940" s="20"/>
      <x:c r="L940" s="20"/>
      <x:c r="M940" s="20"/>
      <x:c r="N940" s="20"/>
      <x:c r="O940" s="20"/>
      <x:c r="P940" s="20"/>
      <x:c r="Q940" s="20"/>
      <x:c r="R940" s="20"/>
      <x:c r="S940" s="20"/>
      <x:c r="T940" s="20"/>
      <x:c r="U940" s="20"/>
      <x:c r="V940" s="20"/>
      <x:c r="W940" s="20"/>
      <x:c r="X940" s="20"/>
      <x:c r="Y940" s="21"/>
    </x:row>
    <x:row r="941">
      <x:c r="A941" s="19"/>
      <x:c r="B941" s="27"/>
      <x:c r="C941" s="20"/>
      <x:c r="D941" s="28"/>
      <x:c r="E941" s="20"/>
      <x:c r="F941" s="25"/>
      <x:c r="G941" s="20"/>
      <x:c r="H941" s="20"/>
      <x:c r="I941" s="20"/>
      <x:c r="J941" s="20"/>
      <x:c r="K941" s="20"/>
      <x:c r="L941" s="20"/>
      <x:c r="M941" s="20"/>
      <x:c r="N941" s="20"/>
      <x:c r="O941" s="20"/>
      <x:c r="P941" s="20"/>
      <x:c r="Q941" s="20"/>
      <x:c r="R941" s="20"/>
      <x:c r="S941" s="20"/>
      <x:c r="T941" s="20"/>
      <x:c r="U941" s="20"/>
      <x:c r="V941" s="20"/>
      <x:c r="W941" s="20"/>
      <x:c r="X941" s="20"/>
      <x:c r="Y941" s="21"/>
    </x:row>
    <x:row r="942">
      <x:c r="A942" s="19"/>
      <x:c r="B942" s="27"/>
      <x:c r="C942" s="20"/>
      <x:c r="D942" s="28"/>
      <x:c r="E942" s="20"/>
      <x:c r="F942" s="25"/>
      <x:c r="G942" s="20"/>
      <x:c r="H942" s="20"/>
      <x:c r="I942" s="20"/>
      <x:c r="J942" s="20"/>
      <x:c r="K942" s="20"/>
      <x:c r="L942" s="20"/>
      <x:c r="M942" s="20"/>
      <x:c r="N942" s="20"/>
      <x:c r="O942" s="20"/>
      <x:c r="P942" s="20"/>
      <x:c r="Q942" s="20"/>
      <x:c r="R942" s="20"/>
      <x:c r="S942" s="20"/>
      <x:c r="T942" s="20"/>
      <x:c r="U942" s="20"/>
      <x:c r="V942" s="20"/>
      <x:c r="W942" s="20"/>
      <x:c r="X942" s="20"/>
      <x:c r="Y942" s="21"/>
    </x:row>
    <x:row r="943">
      <x:c r="A943" s="19"/>
      <x:c r="B943" s="27"/>
      <x:c r="C943" s="20"/>
      <x:c r="D943" s="28"/>
      <x:c r="E943" s="20"/>
      <x:c r="F943" s="25"/>
      <x:c r="G943" s="20"/>
      <x:c r="H943" s="20"/>
      <x:c r="I943" s="20"/>
      <x:c r="J943" s="20"/>
      <x:c r="K943" s="20"/>
      <x:c r="L943" s="20"/>
      <x:c r="M943" s="20"/>
      <x:c r="N943" s="20"/>
      <x:c r="O943" s="20"/>
      <x:c r="P943" s="20"/>
      <x:c r="Q943" s="20"/>
      <x:c r="R943" s="20"/>
      <x:c r="S943" s="20"/>
      <x:c r="T943" s="20"/>
      <x:c r="U943" s="20"/>
      <x:c r="V943" s="20"/>
      <x:c r="W943" s="20"/>
      <x:c r="X943" s="20"/>
      <x:c r="Y943" s="21"/>
    </x:row>
    <x:row r="944">
      <x:c r="A944" s="19"/>
      <x:c r="B944" s="27"/>
      <x:c r="C944" s="20"/>
      <x:c r="D944" s="28"/>
      <x:c r="E944" s="20"/>
      <x:c r="F944" s="25"/>
      <x:c r="G944" s="20"/>
      <x:c r="H944" s="20"/>
      <x:c r="I944" s="20"/>
      <x:c r="J944" s="20"/>
      <x:c r="K944" s="20"/>
      <x:c r="L944" s="20"/>
      <x:c r="M944" s="20"/>
      <x:c r="N944" s="20"/>
      <x:c r="O944" s="20"/>
      <x:c r="P944" s="20"/>
      <x:c r="Q944" s="20"/>
      <x:c r="R944" s="20"/>
      <x:c r="S944" s="20"/>
      <x:c r="T944" s="20"/>
      <x:c r="U944" s="20"/>
      <x:c r="V944" s="20"/>
      <x:c r="W944" s="20"/>
      <x:c r="X944" s="20"/>
      <x:c r="Y944" s="21"/>
    </x:row>
    <x:row r="945">
      <x:c r="A945" s="19"/>
      <x:c r="B945" s="27"/>
      <x:c r="C945" s="20"/>
      <x:c r="D945" s="28"/>
      <x:c r="E945" s="20"/>
      <x:c r="F945" s="25"/>
      <x:c r="G945" s="20"/>
      <x:c r="H945" s="20"/>
      <x:c r="I945" s="20"/>
      <x:c r="J945" s="20"/>
      <x:c r="K945" s="20"/>
      <x:c r="L945" s="20"/>
      <x:c r="M945" s="20"/>
      <x:c r="N945" s="20"/>
      <x:c r="O945" s="20"/>
      <x:c r="P945" s="20"/>
      <x:c r="Q945" s="20"/>
      <x:c r="R945" s="20"/>
      <x:c r="S945" s="20"/>
      <x:c r="T945" s="20"/>
      <x:c r="U945" s="20"/>
      <x:c r="V945" s="20"/>
      <x:c r="W945" s="20"/>
      <x:c r="X945" s="20"/>
      <x:c r="Y945" s="21"/>
    </x:row>
    <x:row r="946">
      <x:c r="A946" s="19"/>
      <x:c r="B946" s="27"/>
      <x:c r="C946" s="20"/>
      <x:c r="D946" s="28"/>
      <x:c r="E946" s="20"/>
      <x:c r="F946" s="25"/>
      <x:c r="G946" s="20"/>
      <x:c r="H946" s="20"/>
      <x:c r="I946" s="20"/>
      <x:c r="J946" s="20"/>
      <x:c r="K946" s="20"/>
      <x:c r="L946" s="20"/>
      <x:c r="M946" s="20"/>
      <x:c r="N946" s="20"/>
      <x:c r="O946" s="20"/>
      <x:c r="P946" s="20"/>
      <x:c r="Q946" s="20"/>
      <x:c r="R946" s="20"/>
      <x:c r="S946" s="20"/>
      <x:c r="T946" s="20"/>
      <x:c r="U946" s="20"/>
      <x:c r="V946" s="20"/>
      <x:c r="W946" s="20"/>
      <x:c r="X946" s="20"/>
      <x:c r="Y946" s="21"/>
    </x:row>
    <x:row r="947">
      <x:c r="A947" s="19"/>
      <x:c r="B947" s="27"/>
      <x:c r="C947" s="20"/>
      <x:c r="D947" s="28"/>
      <x:c r="E947" s="20"/>
      <x:c r="F947" s="25"/>
      <x:c r="G947" s="20"/>
      <x:c r="H947" s="20"/>
      <x:c r="I947" s="20"/>
      <x:c r="J947" s="20"/>
      <x:c r="K947" s="20"/>
      <x:c r="L947" s="20"/>
      <x:c r="M947" s="20"/>
      <x:c r="N947" s="20"/>
      <x:c r="O947" s="20"/>
      <x:c r="P947" s="20"/>
      <x:c r="Q947" s="20"/>
      <x:c r="R947" s="20"/>
      <x:c r="S947" s="20"/>
      <x:c r="T947" s="20"/>
      <x:c r="U947" s="20"/>
      <x:c r="V947" s="20"/>
      <x:c r="W947" s="20"/>
      <x:c r="X947" s="20"/>
      <x:c r="Y947" s="21"/>
    </x:row>
    <x:row r="948">
      <x:c r="A948" s="19"/>
      <x:c r="B948" s="27"/>
      <x:c r="C948" s="20"/>
      <x:c r="D948" s="28"/>
      <x:c r="E948" s="20"/>
      <x:c r="F948" s="25"/>
      <x:c r="G948" s="20"/>
      <x:c r="H948" s="20"/>
      <x:c r="I948" s="20"/>
      <x:c r="J948" s="20"/>
      <x:c r="K948" s="20"/>
      <x:c r="L948" s="20"/>
      <x:c r="M948" s="20"/>
      <x:c r="N948" s="20"/>
      <x:c r="O948" s="20"/>
      <x:c r="P948" s="20"/>
      <x:c r="Q948" s="20"/>
      <x:c r="R948" s="20"/>
      <x:c r="S948" s="20"/>
      <x:c r="T948" s="20"/>
      <x:c r="U948" s="20"/>
      <x:c r="V948" s="20"/>
      <x:c r="W948" s="20"/>
      <x:c r="X948" s="20"/>
      <x:c r="Y948" s="21"/>
    </x:row>
    <x:row r="949">
      <x:c r="A949" s="19"/>
      <x:c r="B949" s="27"/>
      <x:c r="C949" s="20"/>
      <x:c r="D949" s="28"/>
      <x:c r="E949" s="20"/>
      <x:c r="F949" s="25"/>
      <x:c r="G949" s="20"/>
      <x:c r="H949" s="20"/>
      <x:c r="I949" s="20"/>
      <x:c r="J949" s="20"/>
      <x:c r="K949" s="20"/>
      <x:c r="L949" s="20"/>
      <x:c r="M949" s="20"/>
      <x:c r="N949" s="20"/>
      <x:c r="O949" s="20"/>
      <x:c r="P949" s="20"/>
      <x:c r="Q949" s="20"/>
      <x:c r="R949" s="20"/>
      <x:c r="S949" s="20"/>
      <x:c r="T949" s="20"/>
      <x:c r="U949" s="20"/>
      <x:c r="V949" s="20"/>
      <x:c r="W949" s="20"/>
      <x:c r="X949" s="20"/>
      <x:c r="Y949" s="21"/>
    </x:row>
    <x:row r="950">
      <x:c r="A950" s="19"/>
      <x:c r="B950" s="27"/>
      <x:c r="C950" s="20"/>
      <x:c r="D950" s="28"/>
      <x:c r="E950" s="20"/>
      <x:c r="F950" s="25"/>
      <x:c r="G950" s="20"/>
      <x:c r="H950" s="20"/>
      <x:c r="I950" s="20"/>
      <x:c r="J950" s="20"/>
      <x:c r="K950" s="20"/>
      <x:c r="L950" s="20"/>
      <x:c r="M950" s="20"/>
      <x:c r="N950" s="20"/>
      <x:c r="O950" s="20"/>
      <x:c r="P950" s="20"/>
      <x:c r="Q950" s="20"/>
      <x:c r="R950" s="20"/>
      <x:c r="S950" s="20"/>
      <x:c r="T950" s="20"/>
      <x:c r="U950" s="20"/>
      <x:c r="V950" s="20"/>
      <x:c r="W950" s="20"/>
      <x:c r="X950" s="20"/>
      <x:c r="Y950" s="21"/>
    </x:row>
    <x:row r="951">
      <x:c r="A951" s="19"/>
      <x:c r="B951" s="27"/>
      <x:c r="C951" s="20"/>
      <x:c r="D951" s="28"/>
      <x:c r="E951" s="20"/>
      <x:c r="F951" s="25"/>
      <x:c r="G951" s="20"/>
      <x:c r="H951" s="20"/>
      <x:c r="I951" s="20"/>
      <x:c r="J951" s="20"/>
      <x:c r="K951" s="20"/>
      <x:c r="L951" s="20"/>
      <x:c r="M951" s="20"/>
      <x:c r="N951" s="20"/>
      <x:c r="O951" s="20"/>
      <x:c r="P951" s="20"/>
      <x:c r="Q951" s="20"/>
      <x:c r="R951" s="20"/>
      <x:c r="S951" s="20"/>
      <x:c r="T951" s="20"/>
      <x:c r="U951" s="20"/>
      <x:c r="V951" s="20"/>
      <x:c r="W951" s="20"/>
      <x:c r="X951" s="20"/>
      <x:c r="Y951" s="21"/>
    </x:row>
    <x:row r="952">
      <x:c r="A952" s="19"/>
      <x:c r="B952" s="27"/>
      <x:c r="C952" s="20"/>
      <x:c r="D952" s="28"/>
      <x:c r="E952" s="20"/>
      <x:c r="F952" s="25"/>
      <x:c r="G952" s="20"/>
      <x:c r="H952" s="20"/>
      <x:c r="I952" s="20"/>
      <x:c r="J952" s="20"/>
      <x:c r="K952" s="20"/>
      <x:c r="L952" s="20"/>
      <x:c r="M952" s="20"/>
      <x:c r="N952" s="20"/>
      <x:c r="O952" s="20"/>
      <x:c r="P952" s="20"/>
      <x:c r="Q952" s="20"/>
      <x:c r="R952" s="20"/>
      <x:c r="S952" s="20"/>
      <x:c r="T952" s="20"/>
      <x:c r="U952" s="20"/>
      <x:c r="V952" s="20"/>
      <x:c r="W952" s="20"/>
      <x:c r="X952" s="20"/>
      <x:c r="Y952" s="21"/>
    </x:row>
    <x:row r="953">
      <x:c r="A953" s="19"/>
      <x:c r="B953" s="27"/>
      <x:c r="C953" s="20"/>
      <x:c r="D953" s="28"/>
      <x:c r="E953" s="20"/>
      <x:c r="F953" s="25"/>
      <x:c r="G953" s="20"/>
      <x:c r="H953" s="20"/>
      <x:c r="I953" s="20"/>
      <x:c r="J953" s="20"/>
      <x:c r="K953" s="20"/>
      <x:c r="L953" s="20"/>
      <x:c r="M953" s="20"/>
      <x:c r="N953" s="20"/>
      <x:c r="O953" s="20"/>
      <x:c r="P953" s="20"/>
      <x:c r="Q953" s="20"/>
      <x:c r="R953" s="20"/>
      <x:c r="S953" s="20"/>
      <x:c r="T953" s="20"/>
      <x:c r="U953" s="20"/>
      <x:c r="V953" s="20"/>
      <x:c r="W953" s="20"/>
      <x:c r="X953" s="20"/>
      <x:c r="Y953" s="21"/>
    </x:row>
    <x:row r="954">
      <x:c r="A954" s="19"/>
      <x:c r="B954" s="27"/>
      <x:c r="C954" s="20"/>
      <x:c r="D954" s="28"/>
      <x:c r="E954" s="20"/>
      <x:c r="F954" s="25"/>
      <x:c r="G954" s="20"/>
      <x:c r="H954" s="20"/>
      <x:c r="I954" s="20"/>
      <x:c r="J954" s="20"/>
      <x:c r="K954" s="20"/>
      <x:c r="L954" s="20"/>
      <x:c r="M954" s="20"/>
      <x:c r="N954" s="20"/>
      <x:c r="O954" s="20"/>
      <x:c r="P954" s="20"/>
      <x:c r="Q954" s="20"/>
      <x:c r="R954" s="20"/>
      <x:c r="S954" s="20"/>
      <x:c r="T954" s="20"/>
      <x:c r="U954" s="20"/>
      <x:c r="V954" s="20"/>
      <x:c r="W954" s="20"/>
      <x:c r="X954" s="20"/>
      <x:c r="Y954" s="21"/>
    </x:row>
    <x:row r="955">
      <x:c r="A955" s="19"/>
      <x:c r="B955" s="27"/>
      <x:c r="C955" s="20"/>
      <x:c r="D955" s="28"/>
      <x:c r="E955" s="20"/>
      <x:c r="F955" s="25"/>
      <x:c r="G955" s="20"/>
      <x:c r="H955" s="20"/>
      <x:c r="I955" s="20"/>
      <x:c r="J955" s="20"/>
      <x:c r="K955" s="20"/>
      <x:c r="L955" s="20"/>
      <x:c r="M955" s="20"/>
      <x:c r="N955" s="20"/>
      <x:c r="O955" s="20"/>
      <x:c r="P955" s="20"/>
      <x:c r="Q955" s="20"/>
      <x:c r="R955" s="20"/>
      <x:c r="S955" s="20"/>
      <x:c r="T955" s="20"/>
      <x:c r="U955" s="20"/>
      <x:c r="V955" s="20"/>
      <x:c r="W955" s="20"/>
      <x:c r="X955" s="20"/>
      <x:c r="Y955" s="21"/>
    </x:row>
    <x:row r="956">
      <x:c r="A956" s="19"/>
      <x:c r="B956" s="27"/>
      <x:c r="C956" s="20"/>
      <x:c r="D956" s="28"/>
      <x:c r="E956" s="20"/>
      <x:c r="F956" s="25"/>
      <x:c r="G956" s="20"/>
      <x:c r="H956" s="20"/>
      <x:c r="I956" s="20"/>
      <x:c r="J956" s="20"/>
      <x:c r="K956" s="20"/>
      <x:c r="L956" s="20"/>
      <x:c r="M956" s="20"/>
      <x:c r="N956" s="20"/>
      <x:c r="O956" s="20"/>
      <x:c r="P956" s="20"/>
      <x:c r="Q956" s="20"/>
      <x:c r="R956" s="20"/>
      <x:c r="S956" s="20"/>
      <x:c r="T956" s="20"/>
      <x:c r="U956" s="20"/>
      <x:c r="V956" s="20"/>
      <x:c r="W956" s="20"/>
      <x:c r="X956" s="20"/>
      <x:c r="Y956" s="21"/>
    </x:row>
    <x:row r="957">
      <x:c r="A957" s="19"/>
      <x:c r="B957" s="27"/>
      <x:c r="C957" s="20"/>
      <x:c r="D957" s="28"/>
      <x:c r="E957" s="20"/>
      <x:c r="F957" s="25"/>
      <x:c r="G957" s="20"/>
      <x:c r="H957" s="20"/>
      <x:c r="I957" s="20"/>
      <x:c r="J957" s="20"/>
      <x:c r="K957" s="20"/>
      <x:c r="L957" s="20"/>
      <x:c r="M957" s="20"/>
      <x:c r="N957" s="20"/>
      <x:c r="O957" s="20"/>
      <x:c r="P957" s="20"/>
      <x:c r="Q957" s="20"/>
      <x:c r="R957" s="20"/>
      <x:c r="S957" s="20"/>
      <x:c r="T957" s="20"/>
      <x:c r="U957" s="20"/>
      <x:c r="V957" s="20"/>
      <x:c r="W957" s="20"/>
      <x:c r="X957" s="20"/>
      <x:c r="Y957" s="21"/>
    </x:row>
    <x:row r="958">
      <x:c r="A958" s="19"/>
      <x:c r="B958" s="27"/>
      <x:c r="C958" s="20"/>
      <x:c r="D958" s="28"/>
      <x:c r="E958" s="20"/>
      <x:c r="F958" s="25"/>
      <x:c r="G958" s="20"/>
      <x:c r="H958" s="20"/>
      <x:c r="I958" s="20"/>
      <x:c r="J958" s="20"/>
      <x:c r="K958" s="20"/>
      <x:c r="L958" s="20"/>
      <x:c r="M958" s="20"/>
      <x:c r="N958" s="20"/>
      <x:c r="O958" s="20"/>
      <x:c r="P958" s="20"/>
      <x:c r="Q958" s="20"/>
      <x:c r="R958" s="20"/>
      <x:c r="S958" s="20"/>
      <x:c r="T958" s="20"/>
      <x:c r="U958" s="20"/>
      <x:c r="V958" s="20"/>
      <x:c r="W958" s="20"/>
      <x:c r="X958" s="20"/>
      <x:c r="Y958" s="21"/>
    </x:row>
    <x:row r="959">
      <x:c r="A959" s="19"/>
      <x:c r="B959" s="27"/>
      <x:c r="C959" s="20"/>
      <x:c r="D959" s="28"/>
      <x:c r="E959" s="20"/>
      <x:c r="F959" s="25"/>
      <x:c r="G959" s="20"/>
      <x:c r="H959" s="20"/>
      <x:c r="I959" s="20"/>
      <x:c r="J959" s="20"/>
      <x:c r="K959" s="20"/>
      <x:c r="L959" s="20"/>
      <x:c r="M959" s="20"/>
      <x:c r="N959" s="20"/>
      <x:c r="O959" s="20"/>
      <x:c r="P959" s="20"/>
      <x:c r="Q959" s="20"/>
      <x:c r="R959" s="20"/>
      <x:c r="S959" s="20"/>
      <x:c r="T959" s="20"/>
      <x:c r="U959" s="20"/>
      <x:c r="V959" s="20"/>
      <x:c r="W959" s="20"/>
      <x:c r="X959" s="20"/>
      <x:c r="Y959" s="21"/>
    </x:row>
    <x:row r="960">
      <x:c r="A960" s="19"/>
      <x:c r="B960" s="27"/>
      <x:c r="C960" s="20"/>
      <x:c r="D960" s="28"/>
      <x:c r="E960" s="20"/>
      <x:c r="F960" s="25"/>
      <x:c r="G960" s="20"/>
      <x:c r="H960" s="20"/>
      <x:c r="I960" s="20"/>
      <x:c r="J960" s="20"/>
      <x:c r="K960" s="20"/>
      <x:c r="L960" s="20"/>
      <x:c r="M960" s="20"/>
      <x:c r="N960" s="20"/>
      <x:c r="O960" s="20"/>
      <x:c r="P960" s="20"/>
      <x:c r="Q960" s="20"/>
      <x:c r="R960" s="20"/>
      <x:c r="S960" s="20"/>
      <x:c r="T960" s="20"/>
      <x:c r="U960" s="20"/>
      <x:c r="V960" s="20"/>
      <x:c r="W960" s="20"/>
      <x:c r="X960" s="20"/>
      <x:c r="Y960" s="21"/>
    </x:row>
    <x:row r="961">
      <x:c r="A961" s="19"/>
      <x:c r="B961" s="27"/>
      <x:c r="C961" s="20"/>
      <x:c r="D961" s="28"/>
      <x:c r="E961" s="20"/>
      <x:c r="F961" s="25"/>
      <x:c r="G961" s="20"/>
      <x:c r="H961" s="20"/>
      <x:c r="I961" s="20"/>
      <x:c r="J961" s="20"/>
      <x:c r="K961" s="20"/>
      <x:c r="L961" s="20"/>
      <x:c r="M961" s="20"/>
      <x:c r="N961" s="20"/>
      <x:c r="O961" s="20"/>
      <x:c r="P961" s="20"/>
      <x:c r="Q961" s="20"/>
      <x:c r="R961" s="20"/>
      <x:c r="S961" s="20"/>
      <x:c r="T961" s="20"/>
      <x:c r="U961" s="20"/>
      <x:c r="V961" s="20"/>
      <x:c r="W961" s="20"/>
      <x:c r="X961" s="20"/>
      <x:c r="Y961" s="21"/>
    </x:row>
    <x:row r="962">
      <x:c r="A962" s="19"/>
      <x:c r="B962" s="27"/>
      <x:c r="C962" s="20"/>
      <x:c r="D962" s="28"/>
      <x:c r="E962" s="20"/>
      <x:c r="F962" s="25"/>
      <x:c r="G962" s="20"/>
      <x:c r="H962" s="20"/>
      <x:c r="I962" s="20"/>
      <x:c r="J962" s="20"/>
      <x:c r="K962" s="20"/>
      <x:c r="L962" s="20"/>
      <x:c r="M962" s="20"/>
      <x:c r="N962" s="20"/>
      <x:c r="O962" s="20"/>
      <x:c r="P962" s="20"/>
      <x:c r="Q962" s="20"/>
      <x:c r="R962" s="20"/>
      <x:c r="S962" s="20"/>
      <x:c r="T962" s="20"/>
      <x:c r="U962" s="20"/>
      <x:c r="V962" s="20"/>
      <x:c r="W962" s="20"/>
      <x:c r="X962" s="20"/>
      <x:c r="Y962" s="21"/>
    </x:row>
    <x:row r="963">
      <x:c r="A963" s="19"/>
      <x:c r="B963" s="27"/>
      <x:c r="C963" s="20"/>
      <x:c r="D963" s="28"/>
      <x:c r="E963" s="20"/>
      <x:c r="F963" s="25"/>
      <x:c r="G963" s="20"/>
      <x:c r="H963" s="20"/>
      <x:c r="I963" s="20"/>
      <x:c r="J963" s="20"/>
      <x:c r="K963" s="20"/>
      <x:c r="L963" s="20"/>
      <x:c r="M963" s="20"/>
      <x:c r="N963" s="20"/>
      <x:c r="O963" s="20"/>
      <x:c r="P963" s="20"/>
      <x:c r="Q963" s="20"/>
      <x:c r="R963" s="20"/>
      <x:c r="S963" s="20"/>
      <x:c r="T963" s="20"/>
      <x:c r="U963" s="20"/>
      <x:c r="V963" s="20"/>
      <x:c r="W963" s="20"/>
      <x:c r="X963" s="20"/>
      <x:c r="Y963" s="21"/>
    </x:row>
    <x:row r="964">
      <x:c r="A964" s="19"/>
      <x:c r="B964" s="27"/>
      <x:c r="C964" s="20"/>
      <x:c r="D964" s="28"/>
      <x:c r="E964" s="20"/>
      <x:c r="F964" s="25"/>
      <x:c r="G964" s="20"/>
      <x:c r="H964" s="20"/>
      <x:c r="I964" s="20"/>
      <x:c r="J964" s="20"/>
      <x:c r="K964" s="20"/>
      <x:c r="L964" s="20"/>
      <x:c r="M964" s="20"/>
      <x:c r="N964" s="20"/>
      <x:c r="O964" s="20"/>
      <x:c r="P964" s="20"/>
      <x:c r="Q964" s="20"/>
      <x:c r="R964" s="20"/>
      <x:c r="S964" s="20"/>
      <x:c r="T964" s="20"/>
      <x:c r="U964" s="20"/>
      <x:c r="V964" s="20"/>
      <x:c r="W964" s="20"/>
      <x:c r="X964" s="20"/>
      <x:c r="Y964" s="21"/>
    </x:row>
    <x:row r="965">
      <x:c r="A965" s="19"/>
      <x:c r="B965" s="27"/>
      <x:c r="C965" s="20"/>
      <x:c r="D965" s="28"/>
      <x:c r="E965" s="20"/>
      <x:c r="F965" s="25"/>
      <x:c r="G965" s="20"/>
      <x:c r="H965" s="20"/>
      <x:c r="I965" s="20"/>
      <x:c r="J965" s="20"/>
      <x:c r="K965" s="20"/>
      <x:c r="L965" s="20"/>
      <x:c r="M965" s="20"/>
      <x:c r="N965" s="20"/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  <x:c r="Y965" s="21"/>
    </x:row>
    <x:row r="966">
      <x:c r="A966" s="19"/>
      <x:c r="B966" s="27"/>
      <x:c r="C966" s="20"/>
      <x:c r="D966" s="28"/>
      <x:c r="E966" s="20"/>
      <x:c r="F966" s="25"/>
      <x:c r="G966" s="20"/>
      <x:c r="H966" s="20"/>
      <x:c r="I966" s="20"/>
      <x:c r="J966" s="20"/>
      <x:c r="K966" s="20"/>
      <x:c r="L966" s="20"/>
      <x:c r="M966" s="20"/>
      <x:c r="N966" s="20"/>
      <x:c r="O966" s="20"/>
      <x:c r="P966" s="20"/>
      <x:c r="Q966" s="20"/>
      <x:c r="R966" s="20"/>
      <x:c r="S966" s="20"/>
      <x:c r="T966" s="20"/>
      <x:c r="U966" s="20"/>
      <x:c r="V966" s="20"/>
      <x:c r="W966" s="20"/>
      <x:c r="X966" s="20"/>
      <x:c r="Y966" s="21"/>
    </x:row>
    <x:row r="967">
      <x:c r="A967" s="19"/>
      <x:c r="B967" s="27"/>
      <x:c r="C967" s="20"/>
      <x:c r="D967" s="28"/>
      <x:c r="E967" s="20"/>
      <x:c r="F967" s="25"/>
      <x:c r="G967" s="20"/>
      <x:c r="H967" s="20"/>
      <x:c r="I967" s="20"/>
      <x:c r="J967" s="20"/>
      <x:c r="K967" s="20"/>
      <x:c r="L967" s="20"/>
      <x:c r="M967" s="20"/>
      <x:c r="N967" s="20"/>
      <x:c r="O967" s="20"/>
      <x:c r="P967" s="20"/>
      <x:c r="Q967" s="20"/>
      <x:c r="R967" s="20"/>
      <x:c r="S967" s="20"/>
      <x:c r="T967" s="20"/>
      <x:c r="U967" s="20"/>
      <x:c r="V967" s="20"/>
      <x:c r="W967" s="20"/>
      <x:c r="X967" s="20"/>
      <x:c r="Y967" s="21"/>
    </x:row>
    <x:row r="968">
      <x:c r="A968" s="19"/>
      <x:c r="B968" s="27"/>
      <x:c r="C968" s="20"/>
      <x:c r="D968" s="28"/>
      <x:c r="E968" s="20"/>
      <x:c r="F968" s="25"/>
      <x:c r="G968" s="20"/>
      <x:c r="H968" s="20"/>
      <x:c r="I968" s="20"/>
      <x:c r="J968" s="20"/>
      <x:c r="K968" s="20"/>
      <x:c r="L968" s="20"/>
      <x:c r="M968" s="20"/>
      <x:c r="N968" s="20"/>
      <x:c r="O968" s="20"/>
      <x:c r="P968" s="20"/>
      <x:c r="Q968" s="20"/>
      <x:c r="R968" s="20"/>
      <x:c r="S968" s="20"/>
      <x:c r="T968" s="20"/>
      <x:c r="U968" s="20"/>
      <x:c r="V968" s="20"/>
      <x:c r="W968" s="20"/>
      <x:c r="X968" s="20"/>
      <x:c r="Y968" s="21"/>
    </x:row>
    <x:row r="969">
      <x:c r="A969" s="19"/>
      <x:c r="B969" s="27"/>
      <x:c r="C969" s="20"/>
      <x:c r="D969" s="28"/>
      <x:c r="E969" s="20"/>
      <x:c r="F969" s="25"/>
      <x:c r="G969" s="20"/>
      <x:c r="H969" s="20"/>
      <x:c r="I969" s="20"/>
      <x:c r="J969" s="20"/>
      <x:c r="K969" s="20"/>
      <x:c r="L969" s="20"/>
      <x:c r="M969" s="20"/>
      <x:c r="N969" s="20"/>
      <x:c r="O969" s="20"/>
      <x:c r="P969" s="20"/>
      <x:c r="Q969" s="20"/>
      <x:c r="R969" s="20"/>
      <x:c r="S969" s="20"/>
      <x:c r="T969" s="20"/>
      <x:c r="U969" s="20"/>
      <x:c r="V969" s="20"/>
      <x:c r="W969" s="20"/>
      <x:c r="X969" s="20"/>
      <x:c r="Y969" s="21"/>
    </x:row>
    <x:row r="970">
      <x:c r="A970" s="19"/>
      <x:c r="B970" s="27"/>
      <x:c r="C970" s="20"/>
      <x:c r="D970" s="28"/>
      <x:c r="E970" s="20"/>
      <x:c r="F970" s="25"/>
      <x:c r="G970" s="20"/>
      <x:c r="H970" s="20"/>
      <x:c r="I970" s="20"/>
      <x:c r="J970" s="20"/>
      <x:c r="K970" s="20"/>
      <x:c r="L970" s="20"/>
      <x:c r="M970" s="20"/>
      <x:c r="N970" s="20"/>
      <x:c r="O970" s="20"/>
      <x:c r="P970" s="20"/>
      <x:c r="Q970" s="20"/>
      <x:c r="R970" s="20"/>
      <x:c r="S970" s="20"/>
      <x:c r="T970" s="20"/>
      <x:c r="U970" s="20"/>
      <x:c r="V970" s="20"/>
      <x:c r="W970" s="20"/>
      <x:c r="X970" s="20"/>
      <x:c r="Y970" s="21"/>
    </x:row>
    <x:row r="971">
      <x:c r="A971" s="19"/>
      <x:c r="B971" s="27"/>
      <x:c r="C971" s="20"/>
      <x:c r="D971" s="28"/>
      <x:c r="E971" s="20"/>
      <x:c r="F971" s="25"/>
      <x:c r="G971" s="20"/>
      <x:c r="H971" s="20"/>
      <x:c r="I971" s="20"/>
      <x:c r="J971" s="20"/>
      <x:c r="K971" s="20"/>
      <x:c r="L971" s="20"/>
      <x:c r="M971" s="20"/>
      <x:c r="N971" s="20"/>
      <x:c r="O971" s="20"/>
      <x:c r="P971" s="20"/>
      <x:c r="Q971" s="20"/>
      <x:c r="R971" s="20"/>
      <x:c r="S971" s="20"/>
      <x:c r="T971" s="20"/>
      <x:c r="U971" s="20"/>
      <x:c r="V971" s="20"/>
      <x:c r="W971" s="20"/>
      <x:c r="X971" s="20"/>
      <x:c r="Y971" s="21"/>
    </x:row>
    <x:row r="972">
      <x:c r="A972" s="19"/>
      <x:c r="B972" s="27"/>
      <x:c r="C972" s="20"/>
      <x:c r="D972" s="28"/>
      <x:c r="E972" s="20"/>
      <x:c r="F972" s="25"/>
      <x:c r="G972" s="20"/>
      <x:c r="H972" s="20"/>
      <x:c r="I972" s="20"/>
      <x:c r="J972" s="20"/>
      <x:c r="K972" s="20"/>
      <x:c r="L972" s="20"/>
      <x:c r="M972" s="20"/>
      <x:c r="N972" s="20"/>
      <x:c r="O972" s="20"/>
      <x:c r="P972" s="20"/>
      <x:c r="Q972" s="20"/>
      <x:c r="R972" s="20"/>
      <x:c r="S972" s="20"/>
      <x:c r="T972" s="20"/>
      <x:c r="U972" s="20"/>
      <x:c r="V972" s="20"/>
      <x:c r="W972" s="20"/>
      <x:c r="X972" s="20"/>
      <x:c r="Y972" s="21"/>
    </x:row>
    <x:row r="973">
      <x:c r="A973" s="19"/>
      <x:c r="B973" s="27"/>
      <x:c r="C973" s="20"/>
      <x:c r="D973" s="28"/>
      <x:c r="E973" s="20"/>
      <x:c r="F973" s="25"/>
      <x:c r="G973" s="20"/>
      <x:c r="H973" s="20"/>
      <x:c r="I973" s="20"/>
      <x:c r="J973" s="20"/>
      <x:c r="K973" s="20"/>
      <x:c r="L973" s="20"/>
      <x:c r="M973" s="20"/>
      <x:c r="N973" s="20"/>
      <x:c r="O973" s="20"/>
      <x:c r="P973" s="20"/>
      <x:c r="Q973" s="20"/>
      <x:c r="R973" s="20"/>
      <x:c r="S973" s="20"/>
      <x:c r="T973" s="20"/>
      <x:c r="U973" s="20"/>
      <x:c r="V973" s="20"/>
      <x:c r="W973" s="20"/>
      <x:c r="X973" s="20"/>
      <x:c r="Y973" s="21"/>
    </x:row>
    <x:row r="974">
      <x:c r="A974" s="19"/>
      <x:c r="B974" s="27"/>
      <x:c r="C974" s="20"/>
      <x:c r="D974" s="28"/>
      <x:c r="E974" s="20"/>
      <x:c r="F974" s="25"/>
      <x:c r="G974" s="20"/>
      <x:c r="H974" s="20"/>
      <x:c r="I974" s="20"/>
      <x:c r="J974" s="20"/>
      <x:c r="K974" s="20"/>
      <x:c r="L974" s="20"/>
      <x:c r="M974" s="20"/>
      <x:c r="N974" s="20"/>
      <x:c r="O974" s="20"/>
      <x:c r="P974" s="20"/>
      <x:c r="Q974" s="20"/>
      <x:c r="R974" s="20"/>
      <x:c r="S974" s="20"/>
      <x:c r="T974" s="20"/>
      <x:c r="U974" s="20"/>
      <x:c r="V974" s="20"/>
      <x:c r="W974" s="20"/>
      <x:c r="X974" s="20"/>
      <x:c r="Y974" s="21"/>
    </x:row>
    <x:row r="975">
      <x:c r="A975" s="19"/>
      <x:c r="B975" s="27"/>
      <x:c r="C975" s="20"/>
      <x:c r="D975" s="28"/>
      <x:c r="E975" s="20"/>
      <x:c r="F975" s="25"/>
      <x:c r="G975" s="20"/>
      <x:c r="H975" s="20"/>
      <x:c r="I975" s="20"/>
      <x:c r="J975" s="20"/>
      <x:c r="K975" s="20"/>
      <x:c r="L975" s="20"/>
      <x:c r="M975" s="20"/>
      <x:c r="N975" s="20"/>
      <x:c r="O975" s="20"/>
      <x:c r="P975" s="20"/>
      <x:c r="Q975" s="20"/>
      <x:c r="R975" s="20"/>
      <x:c r="S975" s="20"/>
      <x:c r="T975" s="20"/>
      <x:c r="U975" s="20"/>
      <x:c r="V975" s="20"/>
      <x:c r="W975" s="20"/>
      <x:c r="X975" s="20"/>
      <x:c r="Y975" s="21"/>
    </x:row>
    <x:row r="976">
      <x:c r="A976" s="19"/>
      <x:c r="B976" s="27"/>
      <x:c r="C976" s="20"/>
      <x:c r="D976" s="28"/>
      <x:c r="E976" s="20"/>
      <x:c r="F976" s="25"/>
      <x:c r="G976" s="20"/>
      <x:c r="H976" s="20"/>
      <x:c r="I976" s="20"/>
      <x:c r="J976" s="20"/>
      <x:c r="K976" s="20"/>
      <x:c r="L976" s="20"/>
      <x:c r="M976" s="20"/>
      <x:c r="N976" s="20"/>
      <x:c r="O976" s="20"/>
      <x:c r="P976" s="20"/>
      <x:c r="Q976" s="20"/>
      <x:c r="R976" s="20"/>
      <x:c r="S976" s="20"/>
      <x:c r="T976" s="20"/>
      <x:c r="U976" s="20"/>
      <x:c r="V976" s="20"/>
      <x:c r="W976" s="20"/>
      <x:c r="X976" s="20"/>
      <x:c r="Y976" s="21"/>
    </x:row>
    <x:row r="977">
      <x:c r="A977" s="19"/>
      <x:c r="B977" s="27"/>
      <x:c r="C977" s="20"/>
      <x:c r="D977" s="28"/>
      <x:c r="E977" s="20"/>
      <x:c r="F977" s="25"/>
      <x:c r="G977" s="20"/>
      <x:c r="H977" s="20"/>
      <x:c r="I977" s="20"/>
      <x:c r="J977" s="20"/>
      <x:c r="K977" s="20"/>
      <x:c r="L977" s="20"/>
      <x:c r="M977" s="20"/>
      <x:c r="N977" s="20"/>
      <x:c r="O977" s="20"/>
      <x:c r="P977" s="20"/>
      <x:c r="Q977" s="20"/>
      <x:c r="R977" s="20"/>
      <x:c r="S977" s="20"/>
      <x:c r="T977" s="20"/>
      <x:c r="U977" s="20"/>
      <x:c r="V977" s="20"/>
      <x:c r="W977" s="20"/>
      <x:c r="X977" s="20"/>
      <x:c r="Y977" s="21"/>
    </x:row>
    <x:row r="978">
      <x:c r="A978" s="19"/>
      <x:c r="B978" s="27"/>
      <x:c r="C978" s="20"/>
      <x:c r="D978" s="28"/>
      <x:c r="E978" s="20"/>
      <x:c r="F978" s="25"/>
      <x:c r="G978" s="20"/>
      <x:c r="H978" s="20"/>
      <x:c r="I978" s="20"/>
      <x:c r="J978" s="20"/>
      <x:c r="K978" s="20"/>
      <x:c r="L978" s="20"/>
      <x:c r="M978" s="20"/>
      <x:c r="N978" s="20"/>
      <x:c r="O978" s="20"/>
      <x:c r="P978" s="20"/>
      <x:c r="Q978" s="20"/>
      <x:c r="R978" s="20"/>
      <x:c r="S978" s="20"/>
      <x:c r="T978" s="20"/>
      <x:c r="U978" s="20"/>
      <x:c r="V978" s="20"/>
      <x:c r="W978" s="20"/>
      <x:c r="X978" s="20"/>
      <x:c r="Y978" s="21"/>
    </x:row>
    <x:row r="979">
      <x:c r="A979" s="19"/>
      <x:c r="B979" s="27"/>
      <x:c r="C979" s="20"/>
      <x:c r="D979" s="28"/>
      <x:c r="E979" s="20"/>
      <x:c r="F979" s="25"/>
      <x:c r="G979" s="20"/>
      <x:c r="H979" s="20"/>
      <x:c r="I979" s="20"/>
      <x:c r="J979" s="20"/>
      <x:c r="K979" s="20"/>
      <x:c r="L979" s="20"/>
      <x:c r="M979" s="20"/>
      <x:c r="N979" s="20"/>
      <x:c r="O979" s="20"/>
      <x:c r="P979" s="20"/>
      <x:c r="Q979" s="20"/>
      <x:c r="R979" s="20"/>
      <x:c r="S979" s="20"/>
      <x:c r="T979" s="20"/>
      <x:c r="U979" s="20"/>
      <x:c r="V979" s="20"/>
      <x:c r="W979" s="20"/>
      <x:c r="X979" s="20"/>
      <x:c r="Y979" s="21"/>
    </x:row>
    <x:row r="980">
      <x:c r="A980" s="19"/>
      <x:c r="B980" s="27"/>
      <x:c r="C980" s="20"/>
      <x:c r="D980" s="28"/>
      <x:c r="E980" s="20"/>
      <x:c r="F980" s="25"/>
      <x:c r="G980" s="20"/>
      <x:c r="H980" s="20"/>
      <x:c r="I980" s="20"/>
      <x:c r="J980" s="20"/>
      <x:c r="K980" s="20"/>
      <x:c r="L980" s="20"/>
      <x:c r="M980" s="20"/>
      <x:c r="N980" s="20"/>
      <x:c r="O980" s="20"/>
      <x:c r="P980" s="20"/>
      <x:c r="Q980" s="20"/>
      <x:c r="R980" s="20"/>
      <x:c r="S980" s="20"/>
      <x:c r="T980" s="20"/>
      <x:c r="U980" s="20"/>
      <x:c r="V980" s="20"/>
      <x:c r="W980" s="20"/>
      <x:c r="X980" s="20"/>
      <x:c r="Y980" s="21"/>
    </x:row>
    <x:row r="981">
      <x:c r="A981" s="19"/>
      <x:c r="B981" s="27"/>
      <x:c r="C981" s="20"/>
      <x:c r="D981" s="28"/>
      <x:c r="E981" s="20"/>
      <x:c r="F981" s="25"/>
      <x:c r="G981" s="20"/>
      <x:c r="H981" s="20"/>
      <x:c r="I981" s="20"/>
      <x:c r="J981" s="20"/>
      <x:c r="K981" s="20"/>
      <x:c r="L981" s="20"/>
      <x:c r="M981" s="20"/>
      <x:c r="N981" s="20"/>
      <x:c r="O981" s="20"/>
      <x:c r="P981" s="20"/>
      <x:c r="Q981" s="20"/>
      <x:c r="R981" s="20"/>
      <x:c r="S981" s="20"/>
      <x:c r="T981" s="20"/>
      <x:c r="U981" s="20"/>
      <x:c r="V981" s="20"/>
      <x:c r="W981" s="20"/>
      <x:c r="X981" s="20"/>
      <x:c r="Y981" s="21"/>
    </x:row>
    <x:row r="982">
      <x:c r="A982" s="19"/>
      <x:c r="B982" s="27"/>
      <x:c r="C982" s="20"/>
      <x:c r="D982" s="28"/>
      <x:c r="E982" s="20"/>
      <x:c r="F982" s="25"/>
      <x:c r="G982" s="20"/>
      <x:c r="H982" s="20"/>
      <x:c r="I982" s="20"/>
      <x:c r="J982" s="20"/>
      <x:c r="K982" s="20"/>
      <x:c r="L982" s="20"/>
      <x:c r="M982" s="20"/>
      <x:c r="N982" s="20"/>
      <x:c r="O982" s="20"/>
      <x:c r="P982" s="20"/>
      <x:c r="Q982" s="20"/>
      <x:c r="R982" s="20"/>
      <x:c r="S982" s="20"/>
      <x:c r="T982" s="20"/>
      <x:c r="U982" s="20"/>
      <x:c r="V982" s="20"/>
      <x:c r="W982" s="20"/>
      <x:c r="X982" s="20"/>
      <x:c r="Y982" s="21"/>
    </x:row>
    <x:row r="983">
      <x:c r="A983" s="19"/>
      <x:c r="B983" s="27"/>
      <x:c r="C983" s="20"/>
      <x:c r="D983" s="28"/>
      <x:c r="E983" s="20"/>
      <x:c r="F983" s="25"/>
      <x:c r="G983" s="20"/>
      <x:c r="H983" s="20"/>
      <x:c r="I983" s="20"/>
      <x:c r="J983" s="20"/>
      <x:c r="K983" s="20"/>
      <x:c r="L983" s="20"/>
      <x:c r="M983" s="20"/>
      <x:c r="N983" s="20"/>
      <x:c r="O983" s="20"/>
      <x:c r="P983" s="20"/>
      <x:c r="Q983" s="20"/>
      <x:c r="R983" s="20"/>
      <x:c r="S983" s="20"/>
      <x:c r="T983" s="20"/>
      <x:c r="U983" s="20"/>
      <x:c r="V983" s="20"/>
      <x:c r="W983" s="20"/>
      <x:c r="X983" s="20"/>
      <x:c r="Y983" s="21"/>
    </x:row>
    <x:row r="984">
      <x:c r="A984" s="19"/>
      <x:c r="B984" s="27"/>
      <x:c r="C984" s="20"/>
      <x:c r="D984" s="28"/>
      <x:c r="E984" s="20"/>
      <x:c r="F984" s="25"/>
      <x:c r="G984" s="20"/>
      <x:c r="H984" s="20"/>
      <x:c r="I984" s="20"/>
      <x:c r="J984" s="20"/>
      <x:c r="K984" s="20"/>
      <x:c r="L984" s="20"/>
      <x:c r="M984" s="20"/>
      <x:c r="N984" s="20"/>
      <x:c r="O984" s="20"/>
      <x:c r="P984" s="20"/>
      <x:c r="Q984" s="20"/>
      <x:c r="R984" s="20"/>
      <x:c r="S984" s="20"/>
      <x:c r="T984" s="20"/>
      <x:c r="U984" s="20"/>
      <x:c r="V984" s="20"/>
      <x:c r="W984" s="20"/>
      <x:c r="X984" s="20"/>
      <x:c r="Y984" s="21"/>
    </x:row>
    <x:row r="985">
      <x:c r="A985" s="19"/>
      <x:c r="B985" s="27"/>
      <x:c r="C985" s="20"/>
      <x:c r="D985" s="28"/>
      <x:c r="E985" s="20"/>
      <x:c r="F985" s="25"/>
      <x:c r="G985" s="20"/>
      <x:c r="H985" s="20"/>
      <x:c r="I985" s="20"/>
      <x:c r="J985" s="20"/>
      <x:c r="K985" s="20"/>
      <x:c r="L985" s="20"/>
      <x:c r="M985" s="20"/>
      <x:c r="N985" s="20"/>
      <x:c r="O985" s="20"/>
      <x:c r="P985" s="20"/>
      <x:c r="Q985" s="20"/>
      <x:c r="R985" s="20"/>
      <x:c r="S985" s="20"/>
      <x:c r="T985" s="20"/>
      <x:c r="U985" s="20"/>
      <x:c r="V985" s="20"/>
      <x:c r="W985" s="20"/>
      <x:c r="X985" s="20"/>
      <x:c r="Y985" s="21"/>
    </x:row>
    <x:row r="986">
      <x:c r="A986" s="19"/>
      <x:c r="B986" s="27"/>
      <x:c r="C986" s="20"/>
      <x:c r="D986" s="28"/>
      <x:c r="E986" s="20"/>
      <x:c r="F986" s="25"/>
      <x:c r="G986" s="20"/>
      <x:c r="H986" s="20"/>
      <x:c r="I986" s="20"/>
      <x:c r="J986" s="20"/>
      <x:c r="K986" s="20"/>
      <x:c r="L986" s="20"/>
      <x:c r="M986" s="20"/>
      <x:c r="N986" s="20"/>
      <x:c r="O986" s="20"/>
      <x:c r="P986" s="20"/>
      <x:c r="Q986" s="20"/>
      <x:c r="R986" s="20"/>
      <x:c r="S986" s="20"/>
      <x:c r="T986" s="20"/>
      <x:c r="U986" s="20"/>
      <x:c r="V986" s="20"/>
      <x:c r="W986" s="20"/>
      <x:c r="X986" s="20"/>
      <x:c r="Y986" s="21"/>
    </x:row>
    <x:row r="987">
      <x:c r="A987" s="19"/>
      <x:c r="B987" s="27"/>
      <x:c r="C987" s="20"/>
      <x:c r="D987" s="28"/>
      <x:c r="E987" s="20"/>
      <x:c r="F987" s="25"/>
      <x:c r="G987" s="20"/>
      <x:c r="H987" s="20"/>
      <x:c r="I987" s="20"/>
      <x:c r="J987" s="20"/>
      <x:c r="K987" s="20"/>
      <x:c r="L987" s="20"/>
      <x:c r="M987" s="20"/>
      <x:c r="N987" s="20"/>
      <x:c r="O987" s="20"/>
      <x:c r="P987" s="20"/>
      <x:c r="Q987" s="20"/>
      <x:c r="R987" s="20"/>
      <x:c r="S987" s="20"/>
      <x:c r="T987" s="20"/>
      <x:c r="U987" s="20"/>
      <x:c r="V987" s="20"/>
      <x:c r="W987" s="20"/>
      <x:c r="X987" s="20"/>
      <x:c r="Y987" s="21"/>
    </x:row>
    <x:row r="988">
      <x:c r="A988" s="19"/>
      <x:c r="B988" s="27"/>
      <x:c r="C988" s="20"/>
      <x:c r="D988" s="28"/>
      <x:c r="E988" s="20"/>
      <x:c r="F988" s="25"/>
      <x:c r="G988" s="20"/>
      <x:c r="H988" s="20"/>
      <x:c r="I988" s="20"/>
      <x:c r="J988" s="20"/>
      <x:c r="K988" s="20"/>
      <x:c r="L988" s="20"/>
      <x:c r="M988" s="20"/>
      <x:c r="N988" s="20"/>
      <x:c r="O988" s="20"/>
      <x:c r="P988" s="20"/>
      <x:c r="Q988" s="20"/>
      <x:c r="R988" s="20"/>
      <x:c r="S988" s="20"/>
      <x:c r="T988" s="20"/>
      <x:c r="U988" s="20"/>
      <x:c r="V988" s="20"/>
      <x:c r="W988" s="20"/>
      <x:c r="X988" s="20"/>
      <x:c r="Y988" s="21"/>
    </x:row>
    <x:row r="989">
      <x:c r="A989" s="19"/>
      <x:c r="B989" s="27"/>
      <x:c r="C989" s="20"/>
      <x:c r="D989" s="28"/>
      <x:c r="E989" s="20"/>
      <x:c r="F989" s="25"/>
      <x:c r="G989" s="20"/>
      <x:c r="H989" s="20"/>
      <x:c r="I989" s="20"/>
      <x:c r="J989" s="20"/>
      <x:c r="K989" s="20"/>
      <x:c r="L989" s="20"/>
      <x:c r="M989" s="20"/>
      <x:c r="N989" s="20"/>
      <x:c r="O989" s="20"/>
      <x:c r="P989" s="20"/>
      <x:c r="Q989" s="20"/>
      <x:c r="R989" s="20"/>
      <x:c r="S989" s="20"/>
      <x:c r="T989" s="20"/>
      <x:c r="U989" s="20"/>
      <x:c r="V989" s="20"/>
      <x:c r="W989" s="20"/>
      <x:c r="X989" s="20"/>
      <x:c r="Y989" s="21"/>
    </x:row>
    <x:row r="990">
      <x:c r="A990" s="19"/>
      <x:c r="B990" s="27"/>
      <x:c r="C990" s="20"/>
      <x:c r="D990" s="28"/>
      <x:c r="E990" s="20"/>
      <x:c r="F990" s="25"/>
      <x:c r="G990" s="20"/>
      <x:c r="H990" s="20"/>
      <x:c r="I990" s="20"/>
      <x:c r="J990" s="20"/>
      <x:c r="K990" s="20"/>
      <x:c r="L990" s="20"/>
      <x:c r="M990" s="20"/>
      <x:c r="N990" s="20"/>
      <x:c r="O990" s="20"/>
      <x:c r="P990" s="20"/>
      <x:c r="Q990" s="20"/>
      <x:c r="R990" s="20"/>
      <x:c r="S990" s="20"/>
      <x:c r="T990" s="20"/>
      <x:c r="U990" s="20"/>
      <x:c r="V990" s="20"/>
      <x:c r="W990" s="20"/>
      <x:c r="X990" s="20"/>
      <x:c r="Y990" s="21"/>
    </x:row>
    <x:row r="991">
      <x:c r="A991" s="19"/>
      <x:c r="B991" s="27"/>
      <x:c r="C991" s="20"/>
      <x:c r="D991" s="28"/>
      <x:c r="E991" s="20"/>
      <x:c r="F991" s="25"/>
      <x:c r="G991" s="20"/>
      <x:c r="H991" s="20"/>
      <x:c r="I991" s="20"/>
      <x:c r="J991" s="20"/>
      <x:c r="K991" s="20"/>
      <x:c r="L991" s="20"/>
      <x:c r="M991" s="20"/>
      <x:c r="N991" s="20"/>
      <x:c r="O991" s="20"/>
      <x:c r="P991" s="20"/>
      <x:c r="Q991" s="20"/>
      <x:c r="R991" s="20"/>
      <x:c r="S991" s="20"/>
      <x:c r="T991" s="20"/>
      <x:c r="U991" s="20"/>
      <x:c r="V991" s="20"/>
      <x:c r="W991" s="20"/>
      <x:c r="X991" s="20"/>
      <x:c r="Y991" s="21"/>
    </x:row>
    <x:row r="992">
      <x:c r="A992" s="19"/>
      <x:c r="B992" s="27"/>
      <x:c r="C992" s="20"/>
      <x:c r="D992" s="28"/>
      <x:c r="E992" s="20"/>
      <x:c r="F992" s="25"/>
      <x:c r="G992" s="20"/>
      <x:c r="H992" s="20"/>
      <x:c r="I992" s="20"/>
      <x:c r="J992" s="20"/>
      <x:c r="K992" s="20"/>
      <x:c r="L992" s="20"/>
      <x:c r="M992" s="20"/>
      <x:c r="N992" s="20"/>
      <x:c r="O992" s="20"/>
      <x:c r="P992" s="20"/>
      <x:c r="Q992" s="20"/>
      <x:c r="R992" s="20"/>
      <x:c r="S992" s="20"/>
      <x:c r="T992" s="20"/>
      <x:c r="U992" s="20"/>
      <x:c r="V992" s="20"/>
      <x:c r="W992" s="20"/>
      <x:c r="X992" s="20"/>
      <x:c r="Y992" s="21"/>
    </x:row>
    <x:row r="993">
      <x:c r="A993" s="19"/>
      <x:c r="B993" s="27"/>
      <x:c r="C993" s="20"/>
      <x:c r="D993" s="28"/>
      <x:c r="E993" s="20"/>
      <x:c r="F993" s="25"/>
      <x:c r="G993" s="20"/>
      <x:c r="H993" s="20"/>
      <x:c r="I993" s="20"/>
      <x:c r="J993" s="20"/>
      <x:c r="K993" s="20"/>
      <x:c r="L993" s="20"/>
      <x:c r="M993" s="20"/>
      <x:c r="N993" s="20"/>
      <x:c r="O993" s="20"/>
      <x:c r="P993" s="20"/>
      <x:c r="Q993" s="20"/>
      <x:c r="R993" s="20"/>
      <x:c r="S993" s="20"/>
      <x:c r="T993" s="20"/>
      <x:c r="U993" s="20"/>
      <x:c r="V993" s="20"/>
      <x:c r="W993" s="20"/>
      <x:c r="X993" s="20"/>
      <x:c r="Y993" s="21"/>
    </x:row>
    <x:row r="994">
      <x:c r="A994" s="19"/>
      <x:c r="B994" s="27"/>
      <x:c r="C994" s="20"/>
      <x:c r="D994" s="28"/>
      <x:c r="E994" s="20"/>
      <x:c r="F994" s="25"/>
      <x:c r="G994" s="20"/>
      <x:c r="H994" s="20"/>
      <x:c r="I994" s="20"/>
      <x:c r="J994" s="20"/>
      <x:c r="K994" s="20"/>
      <x:c r="L994" s="20"/>
      <x:c r="M994" s="20"/>
      <x:c r="N994" s="20"/>
      <x:c r="O994" s="20"/>
      <x:c r="P994" s="20"/>
      <x:c r="Q994" s="20"/>
      <x:c r="R994" s="20"/>
      <x:c r="S994" s="20"/>
      <x:c r="T994" s="20"/>
      <x:c r="U994" s="20"/>
      <x:c r="V994" s="20"/>
      <x:c r="W994" s="20"/>
      <x:c r="X994" s="20"/>
      <x:c r="Y994" s="21"/>
    </x:row>
    <x:row r="995">
      <x:c r="A995" s="19"/>
      <x:c r="B995" s="27"/>
      <x:c r="C995" s="20"/>
      <x:c r="D995" s="28"/>
      <x:c r="E995" s="20"/>
      <x:c r="F995" s="25"/>
      <x:c r="G995" s="20"/>
      <x:c r="H995" s="20"/>
      <x:c r="I995" s="20"/>
      <x:c r="J995" s="20"/>
      <x:c r="K995" s="20"/>
      <x:c r="L995" s="20"/>
      <x:c r="M995" s="20"/>
      <x:c r="N995" s="20"/>
      <x:c r="O995" s="20"/>
      <x:c r="P995" s="20"/>
      <x:c r="Q995" s="20"/>
      <x:c r="R995" s="20"/>
      <x:c r="S995" s="20"/>
      <x:c r="T995" s="20"/>
      <x:c r="U995" s="20"/>
      <x:c r="V995" s="20"/>
      <x:c r="W995" s="20"/>
      <x:c r="X995" s="20"/>
      <x:c r="Y995" s="21"/>
    </x:row>
    <x:row r="996">
      <x:c r="A996" s="19"/>
      <x:c r="B996" s="27"/>
      <x:c r="C996" s="20"/>
      <x:c r="D996" s="28"/>
      <x:c r="E996" s="20"/>
      <x:c r="F996" s="25"/>
      <x:c r="G996" s="20"/>
      <x:c r="H996" s="20"/>
      <x:c r="I996" s="20"/>
      <x:c r="J996" s="20"/>
      <x:c r="K996" s="20"/>
      <x:c r="L996" s="20"/>
      <x:c r="M996" s="20"/>
      <x:c r="N996" s="20"/>
      <x:c r="O996" s="20"/>
      <x:c r="P996" s="20"/>
      <x:c r="Q996" s="20"/>
      <x:c r="R996" s="20"/>
      <x:c r="S996" s="20"/>
      <x:c r="T996" s="20"/>
      <x:c r="U996" s="20"/>
      <x:c r="V996" s="20"/>
      <x:c r="W996" s="20"/>
      <x:c r="X996" s="20"/>
      <x:c r="Y996" s="21"/>
    </x:row>
    <x:row r="997">
      <x:c r="A997" s="19"/>
      <x:c r="B997" s="27"/>
      <x:c r="C997" s="20"/>
      <x:c r="D997" s="28"/>
      <x:c r="E997" s="20"/>
      <x:c r="F997" s="25"/>
      <x:c r="G997" s="20"/>
      <x:c r="H997" s="20"/>
      <x:c r="I997" s="20"/>
      <x:c r="J997" s="20"/>
      <x:c r="K997" s="20"/>
      <x:c r="L997" s="20"/>
      <x:c r="M997" s="20"/>
      <x:c r="N997" s="20"/>
      <x:c r="O997" s="20"/>
      <x:c r="P997" s="20"/>
      <x:c r="Q997" s="20"/>
      <x:c r="R997" s="20"/>
      <x:c r="S997" s="20"/>
      <x:c r="T997" s="20"/>
      <x:c r="U997" s="20"/>
      <x:c r="V997" s="20"/>
      <x:c r="W997" s="20"/>
      <x:c r="X997" s="20"/>
      <x:c r="Y997" s="21"/>
    </x:row>
    <x:row r="998">
      <x:c r="A998" s="19"/>
      <x:c r="B998" s="27"/>
      <x:c r="C998" s="20"/>
      <x:c r="D998" s="28"/>
      <x:c r="E998" s="20"/>
      <x:c r="F998" s="25"/>
      <x:c r="G998" s="20"/>
      <x:c r="H998" s="20"/>
      <x:c r="I998" s="20"/>
      <x:c r="J998" s="20"/>
      <x:c r="K998" s="20"/>
      <x:c r="L998" s="20"/>
      <x:c r="M998" s="20"/>
      <x:c r="N998" s="20"/>
      <x:c r="O998" s="20"/>
      <x:c r="P998" s="20"/>
      <x:c r="Q998" s="20"/>
      <x:c r="R998" s="20"/>
      <x:c r="S998" s="20"/>
      <x:c r="T998" s="20"/>
      <x:c r="U998" s="20"/>
      <x:c r="V998" s="20"/>
      <x:c r="W998" s="20"/>
      <x:c r="X998" s="20"/>
      <x:c r="Y998" s="21"/>
    </x:row>
    <x:row r="999">
      <x:c r="A999" s="19"/>
      <x:c r="B999" s="27"/>
      <x:c r="C999" s="20"/>
      <x:c r="D999" s="28"/>
      <x:c r="E999" s="20"/>
      <x:c r="F999" s="25"/>
      <x:c r="G999" s="20"/>
      <x:c r="H999" s="20"/>
      <x:c r="I999" s="20"/>
      <x:c r="J999" s="20"/>
      <x:c r="K999" s="20"/>
      <x:c r="L999" s="20"/>
      <x:c r="M999" s="20"/>
      <x:c r="N999" s="20"/>
      <x:c r="O999" s="20"/>
      <x:c r="P999" s="20"/>
      <x:c r="Q999" s="20"/>
      <x:c r="R999" s="20"/>
      <x:c r="S999" s="20"/>
      <x:c r="T999" s="20"/>
      <x:c r="U999" s="20"/>
      <x:c r="V999" s="20"/>
      <x:c r="W999" s="20"/>
      <x:c r="X999" s="20"/>
      <x:c r="Y999" s="21"/>
    </x:row>
    <x:row r="1000">
      <x:c r="A1000" s="19"/>
      <x:c r="B1000" s="27"/>
      <x:c r="C1000" s="20"/>
      <x:c r="D1000" s="28"/>
      <x:c r="E1000" s="20"/>
      <x:c r="F1000" s="25"/>
      <x:c r="G1000" s="20"/>
      <x:c r="H1000" s="20"/>
      <x:c r="I1000" s="20"/>
      <x:c r="J1000" s="20"/>
      <x:c r="K1000" s="20"/>
      <x:c r="L1000" s="20"/>
      <x:c r="M1000" s="20"/>
      <x:c r="N1000" s="20"/>
      <x:c r="O1000" s="20"/>
      <x:c r="P1000" s="20"/>
      <x:c r="Q1000" s="20"/>
      <x:c r="R1000" s="20"/>
      <x:c r="S1000" s="20"/>
      <x:c r="T1000" s="20"/>
      <x:c r="U1000" s="20"/>
      <x:c r="V1000" s="20"/>
      <x:c r="W1000" s="20"/>
      <x:c r="X1000" s="20"/>
      <x:c r="Y1000" s="21"/>
    </x:row>
    <x:row r="1001">
      <x:c r="A1001" s="19"/>
      <x:c r="B1001" s="27"/>
      <x:c r="C1001" s="20"/>
      <x:c r="D1001" s="28"/>
      <x:c r="E1001" s="20"/>
      <x:c r="F1001" s="25"/>
      <x:c r="G1001" s="20"/>
      <x:c r="H1001" s="20"/>
      <x:c r="I1001" s="20"/>
      <x:c r="J1001" s="20"/>
      <x:c r="K1001" s="20"/>
      <x:c r="L1001" s="20"/>
      <x:c r="M1001" s="20"/>
      <x:c r="N1001" s="20"/>
      <x:c r="O1001" s="20"/>
      <x:c r="P1001" s="20"/>
      <x:c r="Q1001" s="20"/>
      <x:c r="R1001" s="20"/>
      <x:c r="S1001" s="20"/>
      <x:c r="T1001" s="20"/>
      <x:c r="U1001" s="20"/>
      <x:c r="V1001" s="20"/>
      <x:c r="W1001" s="20"/>
      <x:c r="X1001" s="20"/>
      <x:c r="Y1001" s="21"/>
    </x:row>
    <x:row r="1002">
      <x:c r="A1002" s="19"/>
      <x:c r="B1002" s="27"/>
      <x:c r="C1002" s="20"/>
      <x:c r="D1002" s="28"/>
      <x:c r="E1002" s="20"/>
      <x:c r="F1002" s="25"/>
      <x:c r="G1002" s="20"/>
      <x:c r="H1002" s="20"/>
      <x:c r="I1002" s="20"/>
      <x:c r="J1002" s="20"/>
      <x:c r="K1002" s="20"/>
      <x:c r="L1002" s="20"/>
      <x:c r="M1002" s="20"/>
      <x:c r="N1002" s="20"/>
      <x:c r="O1002" s="20"/>
      <x:c r="P1002" s="20"/>
      <x:c r="Q1002" s="20"/>
      <x:c r="R1002" s="20"/>
      <x:c r="S1002" s="20"/>
      <x:c r="T1002" s="20"/>
      <x:c r="U1002" s="20"/>
      <x:c r="V1002" s="20"/>
      <x:c r="W1002" s="20"/>
      <x:c r="X1002" s="20"/>
      <x:c r="Y1002" s="21"/>
    </x:row>
    <x:row r="1003">
      <x:c r="A1003" s="19"/>
      <x:c r="B1003" s="27"/>
      <x:c r="C1003" s="20"/>
      <x:c r="D1003" s="28"/>
      <x:c r="E1003" s="20"/>
      <x:c r="F1003" s="25"/>
      <x:c r="G1003" s="20"/>
      <x:c r="H1003" s="20"/>
      <x:c r="I1003" s="20"/>
      <x:c r="J1003" s="20"/>
      <x:c r="K1003" s="20"/>
      <x:c r="L1003" s="20"/>
      <x:c r="M1003" s="20"/>
      <x:c r="N1003" s="20"/>
      <x:c r="O1003" s="20"/>
      <x:c r="P1003" s="20"/>
      <x:c r="Q1003" s="20"/>
      <x:c r="R1003" s="20"/>
      <x:c r="S1003" s="20"/>
      <x:c r="T1003" s="20"/>
      <x:c r="U1003" s="20"/>
      <x:c r="V1003" s="20"/>
      <x:c r="W1003" s="20"/>
      <x:c r="X1003" s="20"/>
      <x:c r="Y1003" s="21"/>
    </x:row>
    <x:row r="1004">
      <x:c r="A1004" s="19"/>
      <x:c r="B1004" s="27"/>
      <x:c r="C1004" s="20"/>
      <x:c r="D1004" s="28"/>
      <x:c r="E1004" s="20"/>
      <x:c r="F1004" s="25"/>
      <x:c r="G1004" s="20"/>
      <x:c r="H1004" s="20"/>
      <x:c r="I1004" s="20"/>
      <x:c r="J1004" s="20"/>
      <x:c r="K1004" s="20"/>
      <x:c r="L1004" s="20"/>
      <x:c r="M1004" s="20"/>
      <x:c r="N1004" s="20"/>
      <x:c r="O1004" s="20"/>
      <x:c r="P1004" s="20"/>
      <x:c r="Q1004" s="20"/>
      <x:c r="R1004" s="20"/>
      <x:c r="S1004" s="20"/>
      <x:c r="T1004" s="20"/>
      <x:c r="U1004" s="20"/>
      <x:c r="V1004" s="20"/>
      <x:c r="W1004" s="20"/>
      <x:c r="X1004" s="20"/>
      <x:c r="Y1004" s="21"/>
    </x:row>
    <x:row r="1005">
      <x:c r="A1005" s="19"/>
      <x:c r="B1005" s="27"/>
      <x:c r="C1005" s="20"/>
      <x:c r="D1005" s="28"/>
      <x:c r="E1005" s="20"/>
      <x:c r="F1005" s="25"/>
      <x:c r="G1005" s="20"/>
      <x:c r="H1005" s="20"/>
      <x:c r="I1005" s="20"/>
      <x:c r="J1005" s="20"/>
      <x:c r="K1005" s="20"/>
      <x:c r="L1005" s="20"/>
      <x:c r="M1005" s="20"/>
      <x:c r="N1005" s="20"/>
      <x:c r="O1005" s="20"/>
      <x:c r="P1005" s="20"/>
      <x:c r="Q1005" s="20"/>
      <x:c r="R1005" s="20"/>
      <x:c r="S1005" s="20"/>
      <x:c r="T1005" s="20"/>
      <x:c r="U1005" s="20"/>
      <x:c r="V1005" s="20"/>
      <x:c r="W1005" s="20"/>
      <x:c r="X1005" s="20"/>
      <x:c r="Y1005" s="21"/>
    </x:row>
    <x:row r="1006">
      <x:c r="A1006" s="19"/>
      <x:c r="B1006" s="27"/>
      <x:c r="C1006" s="20"/>
      <x:c r="D1006" s="28"/>
      <x:c r="E1006" s="20"/>
      <x:c r="F1006" s="25"/>
      <x:c r="G1006" s="20"/>
      <x:c r="H1006" s="20"/>
      <x:c r="I1006" s="20"/>
      <x:c r="J1006" s="20"/>
      <x:c r="K1006" s="20"/>
      <x:c r="L1006" s="20"/>
      <x:c r="M1006" s="20"/>
      <x:c r="N1006" s="20"/>
      <x:c r="O1006" s="20"/>
      <x:c r="P1006" s="20"/>
      <x:c r="Q1006" s="20"/>
      <x:c r="R1006" s="20"/>
      <x:c r="S1006" s="20"/>
      <x:c r="T1006" s="20"/>
      <x:c r="U1006" s="20"/>
      <x:c r="V1006" s="20"/>
      <x:c r="W1006" s="20"/>
      <x:c r="X1006" s="20"/>
      <x:c r="Y1006" s="21"/>
    </x:row>
    <x:row r="1007">
      <x:c r="A1007" s="19"/>
      <x:c r="B1007" s="27"/>
      <x:c r="C1007" s="20"/>
      <x:c r="D1007" s="28"/>
      <x:c r="E1007" s="20"/>
      <x:c r="F1007" s="25"/>
      <x:c r="G1007" s="20"/>
      <x:c r="H1007" s="20"/>
      <x:c r="I1007" s="20"/>
      <x:c r="J1007" s="20"/>
      <x:c r="K1007" s="20"/>
      <x:c r="L1007" s="20"/>
      <x:c r="M1007" s="20"/>
      <x:c r="N1007" s="20"/>
      <x:c r="O1007" s="20"/>
      <x:c r="P1007" s="20"/>
      <x:c r="Q1007" s="20"/>
      <x:c r="R1007" s="20"/>
      <x:c r="S1007" s="20"/>
      <x:c r="T1007" s="20"/>
      <x:c r="U1007" s="20"/>
      <x:c r="V1007" s="20"/>
      <x:c r="W1007" s="20"/>
      <x:c r="X1007" s="20"/>
      <x:c r="Y1007" s="21"/>
    </x:row>
    <x:row r="1008">
      <x:c r="A1008" s="19"/>
      <x:c r="B1008" s="27"/>
      <x:c r="C1008" s="20"/>
      <x:c r="D1008" s="28"/>
      <x:c r="E1008" s="20"/>
      <x:c r="F1008" s="25"/>
      <x:c r="G1008" s="20"/>
      <x:c r="H1008" s="20"/>
      <x:c r="I1008" s="20"/>
      <x:c r="J1008" s="20"/>
      <x:c r="K1008" s="20"/>
      <x:c r="L1008" s="20"/>
      <x:c r="M1008" s="20"/>
      <x:c r="N1008" s="20"/>
      <x:c r="O1008" s="20"/>
      <x:c r="P1008" s="20"/>
      <x:c r="Q1008" s="20"/>
      <x:c r="R1008" s="20"/>
      <x:c r="S1008" s="20"/>
      <x:c r="T1008" s="20"/>
      <x:c r="U1008" s="20"/>
      <x:c r="V1008" s="20"/>
      <x:c r="W1008" s="20"/>
      <x:c r="X1008" s="20"/>
      <x:c r="Y1008" s="21"/>
    </x:row>
    <x:row r="1009">
      <x:c r="A1009" s="19"/>
      <x:c r="B1009" s="27"/>
      <x:c r="C1009" s="20"/>
      <x:c r="D1009" s="28"/>
      <x:c r="E1009" s="20"/>
      <x:c r="F1009" s="25"/>
      <x:c r="G1009" s="20"/>
      <x:c r="H1009" s="20"/>
      <x:c r="I1009" s="20"/>
      <x:c r="J1009" s="20"/>
      <x:c r="K1009" s="20"/>
      <x:c r="L1009" s="20"/>
      <x:c r="M1009" s="20"/>
      <x:c r="N1009" s="20"/>
      <x:c r="O1009" s="20"/>
      <x:c r="P1009" s="20"/>
      <x:c r="Q1009" s="20"/>
      <x:c r="R1009" s="20"/>
      <x:c r="S1009" s="20"/>
      <x:c r="T1009" s="20"/>
      <x:c r="U1009" s="20"/>
      <x:c r="V1009" s="20"/>
      <x:c r="W1009" s="20"/>
      <x:c r="X1009" s="20"/>
      <x:c r="Y1009" s="21"/>
    </x:row>
    <x:row r="1010">
      <x:c r="A1010" s="19"/>
      <x:c r="B1010" s="27"/>
      <x:c r="C1010" s="20"/>
      <x:c r="D1010" s="28"/>
      <x:c r="E1010" s="20"/>
      <x:c r="F1010" s="25"/>
      <x:c r="G1010" s="20"/>
      <x:c r="H1010" s="20"/>
      <x:c r="I1010" s="20"/>
      <x:c r="J1010" s="20"/>
      <x:c r="K1010" s="20"/>
      <x:c r="L1010" s="20"/>
      <x:c r="M1010" s="20"/>
      <x:c r="N1010" s="20"/>
      <x:c r="O1010" s="20"/>
      <x:c r="P1010" s="20"/>
      <x:c r="Q1010" s="20"/>
      <x:c r="R1010" s="20"/>
      <x:c r="S1010" s="20"/>
      <x:c r="T1010" s="20"/>
      <x:c r="U1010" s="20"/>
      <x:c r="V1010" s="20"/>
      <x:c r="W1010" s="20"/>
      <x:c r="X1010" s="20"/>
      <x:c r="Y1010" s="21"/>
    </x:row>
    <x:row r="1011">
      <x:c r="A1011" s="19"/>
      <x:c r="B1011" s="27"/>
      <x:c r="C1011" s="20"/>
      <x:c r="D1011" s="28"/>
      <x:c r="E1011" s="20"/>
      <x:c r="F1011" s="25"/>
      <x:c r="G1011" s="20"/>
      <x:c r="H1011" s="20"/>
      <x:c r="I1011" s="20"/>
      <x:c r="J1011" s="20"/>
      <x:c r="K1011" s="20"/>
      <x:c r="L1011" s="20"/>
      <x:c r="M1011" s="20"/>
      <x:c r="N1011" s="20"/>
      <x:c r="O1011" s="20"/>
      <x:c r="P1011" s="20"/>
      <x:c r="Q1011" s="20"/>
      <x:c r="R1011" s="20"/>
      <x:c r="S1011" s="20"/>
      <x:c r="T1011" s="20"/>
      <x:c r="U1011" s="20"/>
      <x:c r="V1011" s="20"/>
      <x:c r="W1011" s="20"/>
      <x:c r="X1011" s="20"/>
      <x:c r="Y1011" s="21"/>
    </x:row>
    <x:row r="1012">
      <x:c r="A1012" s="19"/>
      <x:c r="B1012" s="27"/>
      <x:c r="C1012" s="20"/>
      <x:c r="D1012" s="28"/>
      <x:c r="E1012" s="20"/>
      <x:c r="F1012" s="25"/>
      <x:c r="G1012" s="20"/>
      <x:c r="H1012" s="20"/>
      <x:c r="I1012" s="20"/>
      <x:c r="J1012" s="20"/>
      <x:c r="K1012" s="20"/>
      <x:c r="L1012" s="20"/>
      <x:c r="M1012" s="20"/>
      <x:c r="N1012" s="20"/>
      <x:c r="O1012" s="20"/>
      <x:c r="P1012" s="20"/>
      <x:c r="Q1012" s="20"/>
      <x:c r="R1012" s="20"/>
      <x:c r="S1012" s="20"/>
      <x:c r="T1012" s="20"/>
      <x:c r="U1012" s="20"/>
      <x:c r="V1012" s="20"/>
      <x:c r="W1012" s="20"/>
      <x:c r="X1012" s="20"/>
      <x:c r="Y1012" s="21"/>
    </x:row>
    <x:row r="1013">
      <x:c r="A1013" s="19"/>
      <x:c r="B1013" s="27"/>
      <x:c r="C1013" s="20"/>
      <x:c r="D1013" s="28"/>
      <x:c r="E1013" s="20"/>
      <x:c r="F1013" s="25"/>
      <x:c r="G1013" s="20"/>
      <x:c r="H1013" s="20"/>
      <x:c r="I1013" s="20"/>
      <x:c r="J1013" s="20"/>
      <x:c r="K1013" s="20"/>
      <x:c r="L1013" s="20"/>
      <x:c r="M1013" s="20"/>
      <x:c r="N1013" s="20"/>
      <x:c r="O1013" s="20"/>
      <x:c r="P1013" s="20"/>
      <x:c r="Q1013" s="20"/>
      <x:c r="R1013" s="20"/>
      <x:c r="S1013" s="20"/>
      <x:c r="T1013" s="20"/>
      <x:c r="U1013" s="20"/>
      <x:c r="V1013" s="20"/>
      <x:c r="W1013" s="20"/>
      <x:c r="X1013" s="20"/>
      <x:c r="Y1013" s="21"/>
    </x:row>
    <x:row r="1014">
      <x:c r="A1014" s="19"/>
      <x:c r="B1014" s="27"/>
      <x:c r="C1014" s="20"/>
      <x:c r="D1014" s="28"/>
      <x:c r="E1014" s="20"/>
      <x:c r="F1014" s="25"/>
      <x:c r="G1014" s="20"/>
      <x:c r="H1014" s="20"/>
      <x:c r="I1014" s="20"/>
      <x:c r="J1014" s="20"/>
      <x:c r="K1014" s="20"/>
      <x:c r="L1014" s="20"/>
      <x:c r="M1014" s="20"/>
      <x:c r="N1014" s="20"/>
      <x:c r="O1014" s="20"/>
      <x:c r="P1014" s="20"/>
      <x:c r="Q1014" s="20"/>
      <x:c r="R1014" s="20"/>
      <x:c r="S1014" s="20"/>
      <x:c r="T1014" s="20"/>
      <x:c r="U1014" s="20"/>
      <x:c r="V1014" s="20"/>
      <x:c r="W1014" s="20"/>
      <x:c r="X1014" s="20"/>
      <x:c r="Y1014" s="21"/>
    </x:row>
    <x:row r="1015">
      <x:c r="A1015" s="19"/>
      <x:c r="B1015" s="27"/>
      <x:c r="C1015" s="20"/>
      <x:c r="D1015" s="28"/>
      <x:c r="E1015" s="20"/>
      <x:c r="F1015" s="25"/>
      <x:c r="G1015" s="20"/>
      <x:c r="H1015" s="20"/>
      <x:c r="I1015" s="20"/>
      <x:c r="J1015" s="20"/>
      <x:c r="K1015" s="20"/>
      <x:c r="L1015" s="20"/>
      <x:c r="M1015" s="20"/>
      <x:c r="N1015" s="20"/>
      <x:c r="O1015" s="20"/>
      <x:c r="P1015" s="20"/>
      <x:c r="Q1015" s="20"/>
      <x:c r="R1015" s="20"/>
      <x:c r="S1015" s="20"/>
      <x:c r="T1015" s="20"/>
      <x:c r="U1015" s="20"/>
      <x:c r="V1015" s="20"/>
      <x:c r="W1015" s="20"/>
      <x:c r="X1015" s="20"/>
      <x:c r="Y1015" s="21"/>
    </x:row>
    <x:row r="1016">
      <x:c r="A1016" s="19"/>
      <x:c r="B1016" s="27"/>
      <x:c r="C1016" s="20"/>
      <x:c r="D1016" s="28"/>
      <x:c r="E1016" s="20"/>
      <x:c r="F1016" s="25"/>
      <x:c r="G1016" s="20"/>
      <x:c r="H1016" s="20"/>
      <x:c r="I1016" s="20"/>
      <x:c r="J1016" s="20"/>
      <x:c r="K1016" s="20"/>
      <x:c r="L1016" s="20"/>
      <x:c r="M1016" s="20"/>
      <x:c r="N1016" s="20"/>
      <x:c r="O1016" s="20"/>
      <x:c r="P1016" s="20"/>
      <x:c r="Q1016" s="20"/>
      <x:c r="R1016" s="20"/>
      <x:c r="S1016" s="20"/>
      <x:c r="T1016" s="20"/>
      <x:c r="U1016" s="20"/>
      <x:c r="V1016" s="20"/>
      <x:c r="W1016" s="20"/>
      <x:c r="X1016" s="20"/>
      <x:c r="Y1016" s="21"/>
    </x:row>
    <x:row r="1017">
      <x:c r="A1017" s="19"/>
      <x:c r="B1017" s="27"/>
      <x:c r="C1017" s="20"/>
      <x:c r="D1017" s="28"/>
      <x:c r="E1017" s="20"/>
      <x:c r="F1017" s="25"/>
      <x:c r="G1017" s="20"/>
      <x:c r="H1017" s="20"/>
      <x:c r="I1017" s="20"/>
      <x:c r="J1017" s="20"/>
      <x:c r="K1017" s="20"/>
      <x:c r="L1017" s="20"/>
      <x:c r="M1017" s="20"/>
      <x:c r="N1017" s="20"/>
      <x:c r="O1017" s="20"/>
      <x:c r="P1017" s="20"/>
      <x:c r="Q1017" s="20"/>
      <x:c r="R1017" s="20"/>
      <x:c r="S1017" s="20"/>
      <x:c r="T1017" s="20"/>
      <x:c r="U1017" s="20"/>
      <x:c r="V1017" s="20"/>
      <x:c r="W1017" s="20"/>
      <x:c r="X1017" s="20"/>
      <x:c r="Y1017" s="21"/>
    </x:row>
    <x:row r="1018">
      <x:c r="A1018" s="19"/>
      <x:c r="B1018" s="27"/>
      <x:c r="C1018" s="20"/>
      <x:c r="D1018" s="28"/>
      <x:c r="E1018" s="20"/>
      <x:c r="F1018" s="25"/>
      <x:c r="G1018" s="20"/>
      <x:c r="H1018" s="20"/>
      <x:c r="I1018" s="20"/>
      <x:c r="J1018" s="20"/>
      <x:c r="K1018" s="20"/>
      <x:c r="L1018" s="20"/>
      <x:c r="M1018" s="20"/>
      <x:c r="N1018" s="20"/>
      <x:c r="O1018" s="20"/>
      <x:c r="P1018" s="20"/>
      <x:c r="Q1018" s="20"/>
      <x:c r="R1018" s="20"/>
      <x:c r="S1018" s="20"/>
      <x:c r="T1018" s="20"/>
      <x:c r="U1018" s="20"/>
      <x:c r="V1018" s="20"/>
      <x:c r="W1018" s="20"/>
      <x:c r="X1018" s="20"/>
      <x:c r="Y1018" s="21"/>
    </x:row>
    <x:row r="1019">
      <x:c r="A1019" s="19"/>
      <x:c r="B1019" s="27"/>
      <x:c r="C1019" s="20"/>
      <x:c r="D1019" s="28"/>
      <x:c r="E1019" s="20"/>
      <x:c r="F1019" s="25"/>
      <x:c r="G1019" s="20"/>
      <x:c r="H1019" s="20"/>
      <x:c r="I1019" s="20"/>
      <x:c r="J1019" s="20"/>
      <x:c r="K1019" s="20"/>
      <x:c r="L1019" s="20"/>
      <x:c r="M1019" s="20"/>
      <x:c r="N1019" s="20"/>
      <x:c r="O1019" s="20"/>
      <x:c r="P1019" s="20"/>
      <x:c r="Q1019" s="20"/>
      <x:c r="R1019" s="20"/>
      <x:c r="S1019" s="20"/>
      <x:c r="T1019" s="20"/>
      <x:c r="U1019" s="20"/>
      <x:c r="V1019" s="20"/>
      <x:c r="W1019" s="20"/>
      <x:c r="X1019" s="20"/>
      <x:c r="Y1019" s="21"/>
    </x:row>
    <x:row r="1020">
      <x:c r="A1020" s="19"/>
      <x:c r="B1020" s="27"/>
      <x:c r="C1020" s="20"/>
      <x:c r="D1020" s="28"/>
      <x:c r="E1020" s="20"/>
      <x:c r="F1020" s="25"/>
      <x:c r="G1020" s="20"/>
      <x:c r="H1020" s="20"/>
      <x:c r="I1020" s="20"/>
      <x:c r="J1020" s="20"/>
      <x:c r="K1020" s="20"/>
      <x:c r="L1020" s="20"/>
      <x:c r="M1020" s="20"/>
      <x:c r="N1020" s="20"/>
      <x:c r="O1020" s="20"/>
      <x:c r="P1020" s="20"/>
      <x:c r="Q1020" s="20"/>
      <x:c r="R1020" s="20"/>
      <x:c r="S1020" s="20"/>
      <x:c r="T1020" s="20"/>
      <x:c r="U1020" s="20"/>
      <x:c r="V1020" s="20"/>
      <x:c r="W1020" s="20"/>
      <x:c r="X1020" s="20"/>
      <x:c r="Y1020" s="21"/>
    </x:row>
    <x:row r="1021">
      <x:c r="A1021" s="19"/>
      <x:c r="B1021" s="27"/>
      <x:c r="C1021" s="20"/>
      <x:c r="D1021" s="28"/>
      <x:c r="E1021" s="20"/>
      <x:c r="F1021" s="25"/>
      <x:c r="G1021" s="20"/>
      <x:c r="H1021" s="20"/>
      <x:c r="I1021" s="20"/>
      <x:c r="J1021" s="20"/>
      <x:c r="K1021" s="20"/>
      <x:c r="L1021" s="20"/>
      <x:c r="M1021" s="20"/>
      <x:c r="N1021" s="20"/>
      <x:c r="O1021" s="20"/>
      <x:c r="P1021" s="20"/>
      <x:c r="Q1021" s="20"/>
      <x:c r="R1021" s="20"/>
      <x:c r="S1021" s="20"/>
      <x:c r="T1021" s="20"/>
      <x:c r="U1021" s="20"/>
      <x:c r="V1021" s="20"/>
      <x:c r="W1021" s="20"/>
      <x:c r="X1021" s="20"/>
      <x:c r="Y1021" s="21"/>
    </x:row>
    <x:row r="1022">
      <x:c r="A1022" s="19"/>
      <x:c r="B1022" s="27"/>
      <x:c r="C1022" s="20"/>
      <x:c r="D1022" s="28"/>
      <x:c r="E1022" s="20"/>
      <x:c r="F1022" s="25"/>
      <x:c r="G1022" s="20"/>
      <x:c r="H1022" s="20"/>
      <x:c r="I1022" s="20"/>
      <x:c r="J1022" s="20"/>
      <x:c r="K1022" s="20"/>
      <x:c r="L1022" s="20"/>
      <x:c r="M1022" s="20"/>
      <x:c r="N1022" s="20"/>
      <x:c r="O1022" s="20"/>
      <x:c r="P1022" s="20"/>
      <x:c r="Q1022" s="20"/>
      <x:c r="R1022" s="20"/>
      <x:c r="S1022" s="20"/>
      <x:c r="T1022" s="20"/>
      <x:c r="U1022" s="20"/>
      <x:c r="V1022" s="20"/>
      <x:c r="W1022" s="20"/>
      <x:c r="X1022" s="20"/>
      <x:c r="Y1022" s="21"/>
    </x:row>
    <x:row r="1023">
      <x:c r="A1023" s="19"/>
      <x:c r="B1023" s="27"/>
      <x:c r="C1023" s="20"/>
      <x:c r="D1023" s="28"/>
      <x:c r="E1023" s="20"/>
      <x:c r="F1023" s="25"/>
      <x:c r="G1023" s="20"/>
      <x:c r="H1023" s="20"/>
      <x:c r="I1023" s="20"/>
      <x:c r="J1023" s="20"/>
      <x:c r="K1023" s="20"/>
      <x:c r="L1023" s="20"/>
      <x:c r="M1023" s="20"/>
      <x:c r="N1023" s="20"/>
      <x:c r="O1023" s="20"/>
      <x:c r="P1023" s="20"/>
      <x:c r="Q1023" s="20"/>
      <x:c r="R1023" s="20"/>
      <x:c r="S1023" s="20"/>
      <x:c r="T1023" s="20"/>
      <x:c r="U1023" s="20"/>
      <x:c r="V1023" s="20"/>
      <x:c r="W1023" s="20"/>
      <x:c r="X1023" s="20"/>
      <x:c r="Y1023" s="21"/>
    </x:row>
    <x:row r="1024">
      <x:c r="A1024" s="19"/>
      <x:c r="B1024" s="27"/>
      <x:c r="C1024" s="20"/>
      <x:c r="D1024" s="28"/>
      <x:c r="E1024" s="20"/>
      <x:c r="F1024" s="25"/>
      <x:c r="G1024" s="20"/>
      <x:c r="H1024" s="20"/>
      <x:c r="I1024" s="20"/>
      <x:c r="J1024" s="20"/>
      <x:c r="K1024" s="20"/>
      <x:c r="L1024" s="20"/>
      <x:c r="M1024" s="20"/>
      <x:c r="N1024" s="20"/>
      <x:c r="O1024" s="20"/>
      <x:c r="P1024" s="20"/>
      <x:c r="Q1024" s="20"/>
      <x:c r="R1024" s="20"/>
      <x:c r="S1024" s="20"/>
      <x:c r="T1024" s="20"/>
      <x:c r="U1024" s="20"/>
      <x:c r="V1024" s="20"/>
      <x:c r="W1024" s="20"/>
      <x:c r="X1024" s="20"/>
      <x:c r="Y1024" s="21"/>
    </x:row>
    <x:row r="1025">
      <x:c r="A1025" s="19"/>
      <x:c r="B1025" s="27"/>
      <x:c r="C1025" s="20"/>
      <x:c r="D1025" s="28"/>
      <x:c r="E1025" s="20"/>
      <x:c r="F1025" s="25"/>
      <x:c r="G1025" s="20"/>
      <x:c r="H1025" s="20"/>
      <x:c r="I1025" s="20"/>
      <x:c r="J1025" s="20"/>
      <x:c r="K1025" s="20"/>
      <x:c r="L1025" s="20"/>
      <x:c r="M1025" s="20"/>
      <x:c r="N1025" s="20"/>
      <x:c r="O1025" s="20"/>
      <x:c r="P1025" s="20"/>
      <x:c r="Q1025" s="20"/>
      <x:c r="R1025" s="20"/>
      <x:c r="S1025" s="20"/>
      <x:c r="T1025" s="20"/>
      <x:c r="U1025" s="20"/>
      <x:c r="V1025" s="20"/>
      <x:c r="W1025" s="20"/>
      <x:c r="X1025" s="20"/>
      <x:c r="Y1025" s="21"/>
    </x:row>
    <x:row r="1026">
      <x:c r="A1026" s="19"/>
      <x:c r="B1026" s="27"/>
      <x:c r="C1026" s="20"/>
      <x:c r="D1026" s="28"/>
      <x:c r="E1026" s="20"/>
      <x:c r="F1026" s="25"/>
      <x:c r="G1026" s="20"/>
      <x:c r="H1026" s="20"/>
      <x:c r="I1026" s="20"/>
      <x:c r="J1026" s="20"/>
      <x:c r="K1026" s="20"/>
      <x:c r="L1026" s="20"/>
      <x:c r="M1026" s="20"/>
      <x:c r="N1026" s="20"/>
      <x:c r="O1026" s="20"/>
      <x:c r="P1026" s="20"/>
      <x:c r="Q1026" s="20"/>
      <x:c r="R1026" s="20"/>
      <x:c r="S1026" s="20"/>
      <x:c r="T1026" s="20"/>
      <x:c r="U1026" s="20"/>
      <x:c r="V1026" s="20"/>
      <x:c r="W1026" s="20"/>
      <x:c r="X1026" s="20"/>
      <x:c r="Y1026" s="21"/>
    </x:row>
    <x:row r="1027">
      <x:c r="A1027" s="19"/>
      <x:c r="B1027" s="27"/>
      <x:c r="C1027" s="20"/>
      <x:c r="D1027" s="28"/>
      <x:c r="E1027" s="20"/>
      <x:c r="F1027" s="25"/>
      <x:c r="G1027" s="20"/>
      <x:c r="H1027" s="20"/>
      <x:c r="I1027" s="20"/>
      <x:c r="J1027" s="20"/>
      <x:c r="K1027" s="20"/>
      <x:c r="L1027" s="20"/>
      <x:c r="M1027" s="20"/>
      <x:c r="N1027" s="20"/>
      <x:c r="O1027" s="20"/>
      <x:c r="P1027" s="20"/>
      <x:c r="Q1027" s="20"/>
      <x:c r="R1027" s="20"/>
      <x:c r="S1027" s="20"/>
      <x:c r="T1027" s="20"/>
      <x:c r="U1027" s="20"/>
      <x:c r="V1027" s="20"/>
      <x:c r="W1027" s="20"/>
      <x:c r="X1027" s="20"/>
      <x:c r="Y1027" s="21"/>
    </x:row>
    <x:row r="1028">
      <x:c r="A1028" s="19"/>
      <x:c r="B1028" s="27"/>
      <x:c r="C1028" s="20"/>
      <x:c r="D1028" s="28"/>
      <x:c r="E1028" s="20"/>
      <x:c r="F1028" s="25"/>
      <x:c r="G1028" s="20"/>
      <x:c r="H1028" s="20"/>
      <x:c r="I1028" s="20"/>
      <x:c r="J1028" s="20"/>
      <x:c r="K1028" s="20"/>
      <x:c r="L1028" s="20"/>
      <x:c r="M1028" s="20"/>
      <x:c r="N1028" s="20"/>
      <x:c r="O1028" s="20"/>
      <x:c r="P1028" s="20"/>
      <x:c r="Q1028" s="20"/>
      <x:c r="R1028" s="20"/>
      <x:c r="S1028" s="20"/>
      <x:c r="T1028" s="20"/>
      <x:c r="U1028" s="20"/>
      <x:c r="V1028" s="20"/>
      <x:c r="W1028" s="20"/>
      <x:c r="X1028" s="20"/>
      <x:c r="Y1028" s="21"/>
    </x:row>
    <x:row r="1029">
      <x:c r="A1029" s="19"/>
      <x:c r="B1029" s="27"/>
      <x:c r="C1029" s="20"/>
      <x:c r="D1029" s="28"/>
      <x:c r="E1029" s="20"/>
      <x:c r="F1029" s="25"/>
      <x:c r="G1029" s="20"/>
      <x:c r="H1029" s="20"/>
      <x:c r="I1029" s="20"/>
      <x:c r="J1029" s="20"/>
      <x:c r="K1029" s="20"/>
      <x:c r="L1029" s="20"/>
      <x:c r="M1029" s="20"/>
      <x:c r="N1029" s="20"/>
      <x:c r="O1029" s="20"/>
      <x:c r="P1029" s="20"/>
      <x:c r="Q1029" s="20"/>
      <x:c r="R1029" s="20"/>
      <x:c r="S1029" s="20"/>
      <x:c r="T1029" s="20"/>
      <x:c r="U1029" s="20"/>
      <x:c r="V1029" s="20"/>
      <x:c r="W1029" s="20"/>
      <x:c r="X1029" s="20"/>
      <x:c r="Y1029" s="21"/>
    </x:row>
    <x:row r="1030">
      <x:c r="A1030" s="19"/>
      <x:c r="B1030" s="27"/>
      <x:c r="C1030" s="20"/>
      <x:c r="D1030" s="28"/>
      <x:c r="E1030" s="20"/>
      <x:c r="F1030" s="25"/>
      <x:c r="G1030" s="20"/>
      <x:c r="H1030" s="20"/>
      <x:c r="I1030" s="20"/>
      <x:c r="J1030" s="20"/>
      <x:c r="K1030" s="20"/>
      <x:c r="L1030" s="20"/>
      <x:c r="M1030" s="20"/>
      <x:c r="N1030" s="20"/>
      <x:c r="O1030" s="20"/>
      <x:c r="P1030" s="20"/>
      <x:c r="Q1030" s="20"/>
      <x:c r="R1030" s="20"/>
      <x:c r="S1030" s="20"/>
      <x:c r="T1030" s="20"/>
      <x:c r="U1030" s="20"/>
      <x:c r="V1030" s="20"/>
      <x:c r="W1030" s="20"/>
      <x:c r="X1030" s="20"/>
      <x:c r="Y1030" s="21"/>
    </x:row>
    <x:row r="1031">
      <x:c r="A1031" s="19"/>
      <x:c r="B1031" s="27"/>
      <x:c r="C1031" s="20"/>
      <x:c r="D1031" s="28"/>
      <x:c r="E1031" s="20"/>
      <x:c r="F1031" s="25"/>
      <x:c r="G1031" s="20"/>
      <x:c r="H1031" s="20"/>
      <x:c r="I1031" s="20"/>
      <x:c r="J1031" s="20"/>
      <x:c r="K1031" s="20"/>
      <x:c r="L1031" s="20"/>
      <x:c r="M1031" s="20"/>
      <x:c r="N1031" s="20"/>
      <x:c r="O1031" s="20"/>
      <x:c r="P1031" s="20"/>
      <x:c r="Q1031" s="20"/>
      <x:c r="R1031" s="20"/>
      <x:c r="S1031" s="20"/>
      <x:c r="T1031" s="20"/>
      <x:c r="U1031" s="20"/>
      <x:c r="V1031" s="20"/>
      <x:c r="W1031" s="20"/>
      <x:c r="X1031" s="20"/>
      <x:c r="Y1031" s="21"/>
    </x:row>
    <x:row r="1032">
      <x:c r="A1032" s="19"/>
      <x:c r="B1032" s="27"/>
      <x:c r="C1032" s="20"/>
      <x:c r="D1032" s="28"/>
      <x:c r="E1032" s="20"/>
      <x:c r="F1032" s="25"/>
      <x:c r="G1032" s="20"/>
      <x:c r="H1032" s="20"/>
      <x:c r="I1032" s="20"/>
      <x:c r="J1032" s="20"/>
      <x:c r="K1032" s="20"/>
      <x:c r="L1032" s="20"/>
      <x:c r="M1032" s="20"/>
      <x:c r="N1032" s="20"/>
      <x:c r="O1032" s="20"/>
      <x:c r="P1032" s="20"/>
      <x:c r="Q1032" s="20"/>
      <x:c r="R1032" s="20"/>
      <x:c r="S1032" s="20"/>
      <x:c r="T1032" s="20"/>
      <x:c r="U1032" s="20"/>
      <x:c r="V1032" s="20"/>
      <x:c r="W1032" s="20"/>
      <x:c r="X1032" s="20"/>
      <x:c r="Y1032" s="21"/>
    </x:row>
    <x:row r="1033">
      <x:c r="A1033" s="19"/>
      <x:c r="B1033" s="27"/>
      <x:c r="C1033" s="20"/>
      <x:c r="D1033" s="28"/>
      <x:c r="E1033" s="20"/>
      <x:c r="F1033" s="25"/>
      <x:c r="G1033" s="20"/>
      <x:c r="H1033" s="20"/>
      <x:c r="I1033" s="20"/>
      <x:c r="J1033" s="20"/>
      <x:c r="K1033" s="20"/>
      <x:c r="L1033" s="20"/>
      <x:c r="M1033" s="20"/>
      <x:c r="N1033" s="20"/>
      <x:c r="O1033" s="20"/>
      <x:c r="P1033" s="20"/>
      <x:c r="Q1033" s="20"/>
      <x:c r="R1033" s="20"/>
      <x:c r="S1033" s="20"/>
      <x:c r="T1033" s="20"/>
      <x:c r="U1033" s="20"/>
      <x:c r="V1033" s="20"/>
      <x:c r="W1033" s="20"/>
      <x:c r="X1033" s="20"/>
      <x:c r="Y1033" s="21"/>
    </x:row>
    <x:row r="1034">
      <x:c r="A1034" s="19"/>
      <x:c r="B1034" s="27"/>
      <x:c r="C1034" s="20"/>
      <x:c r="D1034" s="28"/>
      <x:c r="E1034" s="20"/>
      <x:c r="F1034" s="25"/>
      <x:c r="G1034" s="20"/>
      <x:c r="H1034" s="20"/>
      <x:c r="I1034" s="20"/>
      <x:c r="J1034" s="20"/>
      <x:c r="K1034" s="20"/>
      <x:c r="L1034" s="20"/>
      <x:c r="M1034" s="20"/>
      <x:c r="N1034" s="20"/>
      <x:c r="O1034" s="20"/>
      <x:c r="P1034" s="20"/>
      <x:c r="Q1034" s="20"/>
      <x:c r="R1034" s="20"/>
      <x:c r="S1034" s="20"/>
      <x:c r="T1034" s="20"/>
      <x:c r="U1034" s="20"/>
      <x:c r="V1034" s="20"/>
      <x:c r="W1034" s="20"/>
      <x:c r="X1034" s="20"/>
      <x:c r="Y1034" s="21"/>
    </x:row>
    <x:row r="1035">
      <x:c r="A1035" s="19"/>
      <x:c r="B1035" s="27"/>
      <x:c r="C1035" s="20"/>
      <x:c r="D1035" s="28"/>
      <x:c r="E1035" s="20"/>
      <x:c r="F1035" s="25"/>
      <x:c r="G1035" s="20"/>
      <x:c r="H1035" s="20"/>
      <x:c r="I1035" s="20"/>
      <x:c r="J1035" s="20"/>
      <x:c r="K1035" s="20"/>
      <x:c r="L1035" s="20"/>
      <x:c r="M1035" s="20"/>
      <x:c r="N1035" s="20"/>
      <x:c r="O1035" s="20"/>
      <x:c r="P1035" s="20"/>
      <x:c r="Q1035" s="20"/>
      <x:c r="R1035" s="20"/>
      <x:c r="S1035" s="20"/>
      <x:c r="T1035" s="20"/>
      <x:c r="U1035" s="20"/>
      <x:c r="V1035" s="20"/>
      <x:c r="W1035" s="20"/>
      <x:c r="X1035" s="20"/>
      <x:c r="Y1035" s="21"/>
    </x:row>
    <x:row r="1036">
      <x:c r="A1036" s="19"/>
      <x:c r="B1036" s="27"/>
      <x:c r="C1036" s="20"/>
      <x:c r="D1036" s="28"/>
      <x:c r="E1036" s="20"/>
      <x:c r="F1036" s="25"/>
      <x:c r="G1036" s="20"/>
      <x:c r="H1036" s="20"/>
      <x:c r="I1036" s="20"/>
      <x:c r="J1036" s="20"/>
      <x:c r="K1036" s="20"/>
      <x:c r="L1036" s="20"/>
      <x:c r="M1036" s="20"/>
      <x:c r="N1036" s="20"/>
      <x:c r="O1036" s="20"/>
      <x:c r="P1036" s="20"/>
      <x:c r="Q1036" s="20"/>
      <x:c r="R1036" s="20"/>
      <x:c r="S1036" s="20"/>
      <x:c r="T1036" s="20"/>
      <x:c r="U1036" s="20"/>
      <x:c r="V1036" s="20"/>
      <x:c r="W1036" s="20"/>
      <x:c r="X1036" s="20"/>
      <x:c r="Y1036" s="21"/>
    </x:row>
    <x:row r="1037">
      <x:c r="A1037" s="19"/>
      <x:c r="B1037" s="27"/>
      <x:c r="C1037" s="20"/>
      <x:c r="D1037" s="28"/>
      <x:c r="E1037" s="20"/>
      <x:c r="F1037" s="25"/>
      <x:c r="G1037" s="20"/>
      <x:c r="H1037" s="20"/>
      <x:c r="I1037" s="20"/>
      <x:c r="J1037" s="20"/>
      <x:c r="K1037" s="20"/>
      <x:c r="L1037" s="20"/>
      <x:c r="M1037" s="20"/>
      <x:c r="N1037" s="20"/>
      <x:c r="O1037" s="20"/>
      <x:c r="P1037" s="20"/>
      <x:c r="Q1037" s="20"/>
      <x:c r="R1037" s="20"/>
      <x:c r="S1037" s="20"/>
      <x:c r="T1037" s="20"/>
      <x:c r="U1037" s="20"/>
      <x:c r="V1037" s="20"/>
      <x:c r="W1037" s="20"/>
      <x:c r="X1037" s="20"/>
      <x:c r="Y1037" s="21"/>
    </x:row>
    <x:row r="1038">
      <x:c r="A1038" s="19"/>
      <x:c r="B1038" s="27"/>
      <x:c r="C1038" s="20"/>
      <x:c r="D1038" s="28"/>
      <x:c r="E1038" s="20"/>
      <x:c r="F1038" s="25"/>
      <x:c r="G1038" s="20"/>
      <x:c r="H1038" s="20"/>
      <x:c r="I1038" s="20"/>
      <x:c r="J1038" s="20"/>
      <x:c r="K1038" s="20"/>
      <x:c r="L1038" s="20"/>
      <x:c r="M1038" s="20"/>
      <x:c r="N1038" s="20"/>
      <x:c r="O1038" s="20"/>
      <x:c r="P1038" s="20"/>
      <x:c r="Q1038" s="20"/>
      <x:c r="R1038" s="20"/>
      <x:c r="S1038" s="20"/>
      <x:c r="T1038" s="20"/>
      <x:c r="U1038" s="20"/>
      <x:c r="V1038" s="20"/>
      <x:c r="W1038" s="20"/>
      <x:c r="X1038" s="20"/>
      <x:c r="Y1038" s="21"/>
    </x:row>
    <x:row r="1039">
      <x:c r="A1039" s="19"/>
      <x:c r="B1039" s="27"/>
      <x:c r="C1039" s="20"/>
      <x:c r="D1039" s="28"/>
      <x:c r="E1039" s="20"/>
      <x:c r="F1039" s="25"/>
      <x:c r="G1039" s="20"/>
      <x:c r="H1039" s="20"/>
      <x:c r="I1039" s="20"/>
      <x:c r="J1039" s="20"/>
      <x:c r="K1039" s="20"/>
      <x:c r="L1039" s="20"/>
      <x:c r="M1039" s="20"/>
      <x:c r="N1039" s="20"/>
      <x:c r="O1039" s="20"/>
      <x:c r="P1039" s="20"/>
      <x:c r="Q1039" s="20"/>
      <x:c r="R1039" s="20"/>
      <x:c r="S1039" s="20"/>
      <x:c r="T1039" s="20"/>
      <x:c r="U1039" s="20"/>
      <x:c r="V1039" s="20"/>
      <x:c r="W1039" s="20"/>
      <x:c r="X1039" s="20"/>
      <x:c r="Y1039" s="21"/>
    </x:row>
    <x:row r="1040">
      <x:c r="A1040" s="19"/>
      <x:c r="B1040" s="27"/>
      <x:c r="C1040" s="20"/>
      <x:c r="D1040" s="28"/>
      <x:c r="E1040" s="20"/>
      <x:c r="F1040" s="25"/>
      <x:c r="G1040" s="20"/>
      <x:c r="H1040" s="20"/>
      <x:c r="I1040" s="20"/>
      <x:c r="J1040" s="20"/>
      <x:c r="K1040" s="20"/>
      <x:c r="L1040" s="20"/>
      <x:c r="M1040" s="20"/>
      <x:c r="N1040" s="20"/>
      <x:c r="O1040" s="20"/>
      <x:c r="P1040" s="20"/>
      <x:c r="Q1040" s="20"/>
      <x:c r="R1040" s="20"/>
      <x:c r="S1040" s="20"/>
      <x:c r="T1040" s="20"/>
      <x:c r="U1040" s="20"/>
      <x:c r="V1040" s="20"/>
      <x:c r="W1040" s="20"/>
      <x:c r="X1040" s="20"/>
      <x:c r="Y1040" s="21"/>
    </x:row>
    <x:row r="1041">
      <x:c r="A1041" s="19"/>
      <x:c r="B1041" s="27"/>
      <x:c r="C1041" s="20"/>
      <x:c r="D1041" s="28"/>
      <x:c r="E1041" s="20"/>
      <x:c r="F1041" s="25"/>
      <x:c r="G1041" s="20"/>
      <x:c r="H1041" s="20"/>
      <x:c r="I1041" s="20"/>
      <x:c r="J1041" s="20"/>
      <x:c r="K1041" s="20"/>
      <x:c r="L1041" s="20"/>
      <x:c r="M1041" s="20"/>
      <x:c r="N1041" s="20"/>
      <x:c r="O1041" s="20"/>
      <x:c r="P1041" s="20"/>
      <x:c r="Q1041" s="20"/>
      <x:c r="R1041" s="20"/>
      <x:c r="S1041" s="20"/>
      <x:c r="T1041" s="20"/>
      <x:c r="U1041" s="20"/>
      <x:c r="V1041" s="20"/>
      <x:c r="W1041" s="20"/>
      <x:c r="X1041" s="20"/>
      <x:c r="Y1041" s="21"/>
    </x:row>
    <x:row r="1042">
      <x:c r="A1042" s="19"/>
      <x:c r="B1042" s="27"/>
      <x:c r="C1042" s="20"/>
      <x:c r="D1042" s="28"/>
      <x:c r="E1042" s="20"/>
      <x:c r="F1042" s="25"/>
      <x:c r="G1042" s="20"/>
      <x:c r="H1042" s="20"/>
      <x:c r="I1042" s="20"/>
      <x:c r="J1042" s="20"/>
      <x:c r="K1042" s="20"/>
      <x:c r="L1042" s="20"/>
      <x:c r="M1042" s="20"/>
      <x:c r="N1042" s="20"/>
      <x:c r="O1042" s="20"/>
      <x:c r="P1042" s="20"/>
      <x:c r="Q1042" s="20"/>
      <x:c r="R1042" s="20"/>
      <x:c r="S1042" s="20"/>
      <x:c r="T1042" s="20"/>
      <x:c r="U1042" s="20"/>
      <x:c r="V1042" s="20"/>
      <x:c r="W1042" s="20"/>
      <x:c r="X1042" s="20"/>
      <x:c r="Y1042" s="21"/>
    </x:row>
    <x:row r="1043">
      <x:c r="A1043" s="19"/>
      <x:c r="B1043" s="27"/>
      <x:c r="C1043" s="20"/>
      <x:c r="D1043" s="28"/>
      <x:c r="E1043" s="20"/>
      <x:c r="F1043" s="25"/>
      <x:c r="G1043" s="20"/>
      <x:c r="H1043" s="20"/>
      <x:c r="I1043" s="20"/>
      <x:c r="J1043" s="20"/>
      <x:c r="K1043" s="20"/>
      <x:c r="L1043" s="20"/>
      <x:c r="M1043" s="20"/>
      <x:c r="N1043" s="20"/>
      <x:c r="O1043" s="20"/>
      <x:c r="P1043" s="20"/>
      <x:c r="Q1043" s="20"/>
      <x:c r="R1043" s="20"/>
      <x:c r="S1043" s="20"/>
      <x:c r="T1043" s="20"/>
      <x:c r="U1043" s="20"/>
      <x:c r="V1043" s="20"/>
      <x:c r="W1043" s="20"/>
      <x:c r="X1043" s="20"/>
      <x:c r="Y1043" s="21"/>
    </x:row>
    <x:row r="1044">
      <x:c r="A1044" s="19"/>
      <x:c r="B1044" s="27"/>
      <x:c r="C1044" s="20"/>
      <x:c r="D1044" s="28"/>
      <x:c r="E1044" s="20"/>
      <x:c r="F1044" s="25"/>
      <x:c r="G1044" s="20"/>
      <x:c r="H1044" s="20"/>
      <x:c r="I1044" s="20"/>
      <x:c r="J1044" s="20"/>
      <x:c r="K1044" s="20"/>
      <x:c r="L1044" s="20"/>
      <x:c r="M1044" s="20"/>
      <x:c r="N1044" s="20"/>
      <x:c r="O1044" s="20"/>
      <x:c r="P1044" s="20"/>
      <x:c r="Q1044" s="20"/>
      <x:c r="R1044" s="20"/>
      <x:c r="S1044" s="20"/>
      <x:c r="T1044" s="20"/>
      <x:c r="U1044" s="20"/>
      <x:c r="V1044" s="20"/>
      <x:c r="W1044" s="20"/>
      <x:c r="X1044" s="20"/>
      <x:c r="Y1044" s="21"/>
    </x:row>
    <x:row r="1045">
      <x:c r="A1045" s="19"/>
      <x:c r="B1045" s="27"/>
      <x:c r="C1045" s="20"/>
      <x:c r="D1045" s="28"/>
      <x:c r="E1045" s="20"/>
      <x:c r="F1045" s="25"/>
      <x:c r="G1045" s="20"/>
      <x:c r="H1045" s="20"/>
      <x:c r="I1045" s="20"/>
      <x:c r="J1045" s="20"/>
      <x:c r="K1045" s="20"/>
      <x:c r="L1045" s="20"/>
      <x:c r="M1045" s="20"/>
      <x:c r="N1045" s="20"/>
      <x:c r="O1045" s="20"/>
      <x:c r="P1045" s="20"/>
      <x:c r="Q1045" s="20"/>
      <x:c r="R1045" s="20"/>
      <x:c r="S1045" s="20"/>
      <x:c r="T1045" s="20"/>
      <x:c r="U1045" s="20"/>
      <x:c r="V1045" s="20"/>
      <x:c r="W1045" s="20"/>
      <x:c r="X1045" s="20"/>
      <x:c r="Y1045" s="21"/>
    </x:row>
    <x:row r="1046">
      <x:c r="A1046" s="19"/>
      <x:c r="B1046" s="27"/>
      <x:c r="C1046" s="20"/>
      <x:c r="D1046" s="28"/>
      <x:c r="E1046" s="20"/>
      <x:c r="F1046" s="25"/>
      <x:c r="G1046" s="20"/>
      <x:c r="H1046" s="20"/>
      <x:c r="I1046" s="20"/>
      <x:c r="J1046" s="20"/>
      <x:c r="K1046" s="20"/>
      <x:c r="L1046" s="20"/>
      <x:c r="M1046" s="20"/>
      <x:c r="N1046" s="20"/>
      <x:c r="O1046" s="20"/>
      <x:c r="P1046" s="20"/>
      <x:c r="Q1046" s="20"/>
      <x:c r="R1046" s="20"/>
      <x:c r="S1046" s="20"/>
      <x:c r="T1046" s="20"/>
      <x:c r="U1046" s="20"/>
      <x:c r="V1046" s="20"/>
      <x:c r="W1046" s="20"/>
      <x:c r="X1046" s="20"/>
      <x:c r="Y1046" s="21"/>
    </x:row>
    <x:row r="1047">
      <x:c r="A1047" s="19"/>
      <x:c r="B1047" s="27"/>
      <x:c r="C1047" s="20"/>
      <x:c r="D1047" s="28"/>
      <x:c r="E1047" s="20"/>
      <x:c r="F1047" s="25"/>
      <x:c r="G1047" s="20"/>
      <x:c r="H1047" s="20"/>
      <x:c r="I1047" s="20"/>
      <x:c r="J1047" s="20"/>
      <x:c r="K1047" s="20"/>
      <x:c r="L1047" s="20"/>
      <x:c r="M1047" s="20"/>
      <x:c r="N1047" s="20"/>
      <x:c r="O1047" s="20"/>
      <x:c r="P1047" s="20"/>
      <x:c r="Q1047" s="20"/>
      <x:c r="R1047" s="20"/>
      <x:c r="S1047" s="20"/>
      <x:c r="T1047" s="20"/>
      <x:c r="U1047" s="20"/>
      <x:c r="V1047" s="20"/>
      <x:c r="W1047" s="20"/>
      <x:c r="X1047" s="20"/>
      <x:c r="Y1047" s="21"/>
    </x:row>
    <x:row r="1048">
      <x:c r="A1048" s="19"/>
      <x:c r="B1048" s="27"/>
      <x:c r="C1048" s="20"/>
      <x:c r="D1048" s="28"/>
      <x:c r="E1048" s="20"/>
      <x:c r="F1048" s="25"/>
      <x:c r="G1048" s="20"/>
      <x:c r="H1048" s="20"/>
      <x:c r="I1048" s="20"/>
      <x:c r="J1048" s="20"/>
      <x:c r="K1048" s="20"/>
      <x:c r="L1048" s="20"/>
      <x:c r="M1048" s="20"/>
      <x:c r="N1048" s="20"/>
      <x:c r="O1048" s="20"/>
      <x:c r="P1048" s="20"/>
      <x:c r="Q1048" s="20"/>
      <x:c r="R1048" s="20"/>
      <x:c r="S1048" s="20"/>
      <x:c r="T1048" s="20"/>
      <x:c r="U1048" s="20"/>
      <x:c r="V1048" s="20"/>
      <x:c r="W1048" s="20"/>
      <x:c r="X1048" s="20"/>
      <x:c r="Y1048" s="21"/>
    </x:row>
    <x:row r="1049">
      <x:c r="A1049" s="19"/>
      <x:c r="B1049" s="27"/>
      <x:c r="C1049" s="20"/>
      <x:c r="D1049" s="28"/>
      <x:c r="E1049" s="20"/>
      <x:c r="F1049" s="25"/>
      <x:c r="G1049" s="20"/>
      <x:c r="H1049" s="20"/>
      <x:c r="I1049" s="20"/>
      <x:c r="J1049" s="20"/>
      <x:c r="K1049" s="20"/>
      <x:c r="L1049" s="20"/>
      <x:c r="M1049" s="20"/>
      <x:c r="N1049" s="20"/>
      <x:c r="O1049" s="20"/>
      <x:c r="P1049" s="20"/>
      <x:c r="Q1049" s="20"/>
      <x:c r="R1049" s="20"/>
      <x:c r="S1049" s="20"/>
      <x:c r="T1049" s="20"/>
      <x:c r="U1049" s="20"/>
      <x:c r="V1049" s="20"/>
      <x:c r="W1049" s="20"/>
      <x:c r="X1049" s="20"/>
      <x:c r="Y1049" s="21"/>
    </x:row>
    <x:row r="1050">
      <x:c r="A1050" s="19"/>
      <x:c r="B1050" s="27"/>
      <x:c r="C1050" s="20"/>
      <x:c r="D1050" s="28"/>
      <x:c r="E1050" s="20"/>
      <x:c r="F1050" s="25"/>
      <x:c r="G1050" s="20"/>
      <x:c r="H1050" s="20"/>
      <x:c r="I1050" s="20"/>
      <x:c r="J1050" s="20"/>
      <x:c r="K1050" s="20"/>
      <x:c r="L1050" s="20"/>
      <x:c r="M1050" s="20"/>
      <x:c r="N1050" s="20"/>
      <x:c r="O1050" s="20"/>
      <x:c r="P1050" s="20"/>
      <x:c r="Q1050" s="20"/>
      <x:c r="R1050" s="20"/>
      <x:c r="S1050" s="20"/>
      <x:c r="T1050" s="20"/>
      <x:c r="U1050" s="20"/>
      <x:c r="V1050" s="20"/>
      <x:c r="W1050" s="20"/>
      <x:c r="X1050" s="20"/>
      <x:c r="Y1050" s="21"/>
    </x:row>
    <x:row r="1051">
      <x:c r="A1051" s="19"/>
      <x:c r="B1051" s="27"/>
      <x:c r="C1051" s="20"/>
      <x:c r="D1051" s="28"/>
      <x:c r="E1051" s="20"/>
      <x:c r="F1051" s="25"/>
      <x:c r="G1051" s="20"/>
      <x:c r="H1051" s="20"/>
      <x:c r="I1051" s="20"/>
      <x:c r="J1051" s="20"/>
      <x:c r="K1051" s="20"/>
      <x:c r="L1051" s="20"/>
      <x:c r="M1051" s="20"/>
      <x:c r="N1051" s="20"/>
      <x:c r="O1051" s="20"/>
      <x:c r="P1051" s="20"/>
      <x:c r="Q1051" s="20"/>
      <x:c r="R1051" s="20"/>
      <x:c r="S1051" s="20"/>
      <x:c r="T1051" s="20"/>
      <x:c r="U1051" s="20"/>
      <x:c r="V1051" s="20"/>
      <x:c r="W1051" s="20"/>
      <x:c r="X1051" s="20"/>
      <x:c r="Y1051" s="21"/>
    </x:row>
    <x:row r="1052">
      <x:c r="A1052" s="19"/>
      <x:c r="B1052" s="27"/>
      <x:c r="C1052" s="20"/>
      <x:c r="D1052" s="28"/>
      <x:c r="E1052" s="20"/>
      <x:c r="F1052" s="25"/>
      <x:c r="G1052" s="20"/>
      <x:c r="H1052" s="20"/>
      <x:c r="I1052" s="20"/>
      <x:c r="J1052" s="20"/>
      <x:c r="K1052" s="20"/>
      <x:c r="L1052" s="20"/>
      <x:c r="M1052" s="20"/>
      <x:c r="N1052" s="20"/>
      <x:c r="O1052" s="20"/>
      <x:c r="P1052" s="20"/>
      <x:c r="Q1052" s="20"/>
      <x:c r="R1052" s="20"/>
      <x:c r="S1052" s="20"/>
      <x:c r="T1052" s="20"/>
      <x:c r="U1052" s="20"/>
      <x:c r="V1052" s="20"/>
      <x:c r="W1052" s="20"/>
      <x:c r="X1052" s="20"/>
      <x:c r="Y1052" s="21"/>
    </x:row>
    <x:row r="1053">
      <x:c r="A1053" s="19"/>
      <x:c r="B1053" s="27"/>
      <x:c r="C1053" s="20"/>
      <x:c r="D1053" s="28"/>
      <x:c r="E1053" s="20"/>
      <x:c r="F1053" s="25"/>
      <x:c r="G1053" s="20"/>
      <x:c r="H1053" s="20"/>
      <x:c r="I1053" s="20"/>
      <x:c r="J1053" s="20"/>
      <x:c r="K1053" s="20"/>
      <x:c r="L1053" s="20"/>
      <x:c r="M1053" s="20"/>
      <x:c r="N1053" s="20"/>
      <x:c r="O1053" s="20"/>
      <x:c r="P1053" s="20"/>
      <x:c r="Q1053" s="20"/>
      <x:c r="R1053" s="20"/>
      <x:c r="S1053" s="20"/>
      <x:c r="T1053" s="20"/>
      <x:c r="U1053" s="20"/>
      <x:c r="V1053" s="20"/>
      <x:c r="W1053" s="20"/>
      <x:c r="X1053" s="20"/>
      <x:c r="Y1053" s="21"/>
    </x:row>
    <x:row r="1054">
      <x:c r="A1054" s="19"/>
      <x:c r="B1054" s="27"/>
      <x:c r="C1054" s="20"/>
      <x:c r="D1054" s="28"/>
      <x:c r="E1054" s="20"/>
      <x:c r="F1054" s="25"/>
      <x:c r="G1054" s="20"/>
      <x:c r="H1054" s="20"/>
      <x:c r="I1054" s="20"/>
      <x:c r="J1054" s="20"/>
      <x:c r="K1054" s="20"/>
      <x:c r="L1054" s="20"/>
      <x:c r="M1054" s="20"/>
      <x:c r="N1054" s="20"/>
      <x:c r="O1054" s="20"/>
      <x:c r="P1054" s="20"/>
      <x:c r="Q1054" s="20"/>
      <x:c r="R1054" s="20"/>
      <x:c r="S1054" s="20"/>
      <x:c r="T1054" s="20"/>
      <x:c r="U1054" s="20"/>
      <x:c r="V1054" s="20"/>
      <x:c r="W1054" s="20"/>
      <x:c r="X1054" s="20"/>
      <x:c r="Y1054" s="21"/>
    </x:row>
    <x:row r="1055">
      <x:c r="A1055" s="19"/>
      <x:c r="B1055" s="27"/>
      <x:c r="C1055" s="20"/>
      <x:c r="D1055" s="28"/>
      <x:c r="E1055" s="20"/>
      <x:c r="F1055" s="25"/>
      <x:c r="G1055" s="20"/>
      <x:c r="H1055" s="20"/>
      <x:c r="I1055" s="20"/>
      <x:c r="J1055" s="20"/>
      <x:c r="K1055" s="20"/>
      <x:c r="L1055" s="20"/>
      <x:c r="M1055" s="20"/>
      <x:c r="N1055" s="20"/>
      <x:c r="O1055" s="20"/>
      <x:c r="P1055" s="20"/>
      <x:c r="Q1055" s="20"/>
      <x:c r="R1055" s="20"/>
      <x:c r="S1055" s="20"/>
      <x:c r="T1055" s="20"/>
      <x:c r="U1055" s="20"/>
      <x:c r="V1055" s="20"/>
      <x:c r="W1055" s="20"/>
      <x:c r="X1055" s="20"/>
      <x:c r="Y1055" s="21"/>
    </x:row>
    <x:row r="1056">
      <x:c r="A1056" s="19"/>
      <x:c r="B1056" s="27"/>
      <x:c r="C1056" s="20"/>
      <x:c r="D1056" s="28"/>
      <x:c r="E1056" s="20"/>
      <x:c r="F1056" s="25"/>
      <x:c r="G1056" s="20"/>
      <x:c r="H1056" s="20"/>
      <x:c r="I1056" s="20"/>
      <x:c r="J1056" s="20"/>
      <x:c r="K1056" s="20"/>
      <x:c r="L1056" s="20"/>
      <x:c r="M1056" s="20"/>
      <x:c r="N1056" s="20"/>
      <x:c r="O1056" s="20"/>
      <x:c r="P1056" s="20"/>
      <x:c r="Q1056" s="20"/>
      <x:c r="R1056" s="20"/>
      <x:c r="S1056" s="20"/>
      <x:c r="T1056" s="20"/>
      <x:c r="U1056" s="20"/>
      <x:c r="V1056" s="20"/>
      <x:c r="W1056" s="20"/>
      <x:c r="X1056" s="20"/>
      <x:c r="Y1056" s="21"/>
    </x:row>
    <x:row r="1057">
      <x:c r="A1057" s="19"/>
      <x:c r="B1057" s="27"/>
      <x:c r="C1057" s="20"/>
      <x:c r="D1057" s="28"/>
      <x:c r="E1057" s="20"/>
      <x:c r="F1057" s="25"/>
      <x:c r="G1057" s="20"/>
      <x:c r="H1057" s="20"/>
      <x:c r="I1057" s="20"/>
      <x:c r="J1057" s="20"/>
      <x:c r="K1057" s="20"/>
      <x:c r="L1057" s="20"/>
      <x:c r="M1057" s="20"/>
      <x:c r="N1057" s="20"/>
      <x:c r="O1057" s="20"/>
      <x:c r="P1057" s="20"/>
      <x:c r="Q1057" s="20"/>
      <x:c r="R1057" s="20"/>
      <x:c r="S1057" s="20"/>
      <x:c r="T1057" s="20"/>
      <x:c r="U1057" s="20"/>
      <x:c r="V1057" s="20"/>
      <x:c r="W1057" s="20"/>
      <x:c r="X1057" s="20"/>
      <x:c r="Y1057" s="21"/>
    </x:row>
    <x:row r="1058">
      <x:c r="A1058" s="19"/>
      <x:c r="B1058" s="27"/>
      <x:c r="C1058" s="20"/>
      <x:c r="D1058" s="28"/>
      <x:c r="E1058" s="20"/>
      <x:c r="F1058" s="25"/>
      <x:c r="G1058" s="20"/>
      <x:c r="H1058" s="20"/>
      <x:c r="I1058" s="20"/>
      <x:c r="J1058" s="20"/>
      <x:c r="K1058" s="20"/>
      <x:c r="L1058" s="20"/>
      <x:c r="M1058" s="20"/>
      <x:c r="N1058" s="20"/>
      <x:c r="O1058" s="20"/>
      <x:c r="P1058" s="20"/>
      <x:c r="Q1058" s="20"/>
      <x:c r="R1058" s="20"/>
      <x:c r="S1058" s="20"/>
      <x:c r="T1058" s="20"/>
      <x:c r="U1058" s="20"/>
      <x:c r="V1058" s="20"/>
      <x:c r="W1058" s="20"/>
      <x:c r="X1058" s="20"/>
      <x:c r="Y1058" s="21"/>
    </x:row>
    <x:row r="1059">
      <x:c r="A1059" s="19"/>
      <x:c r="B1059" s="27"/>
      <x:c r="C1059" s="20"/>
      <x:c r="D1059" s="28"/>
      <x:c r="E1059" s="20"/>
      <x:c r="F1059" s="25"/>
      <x:c r="G1059" s="20"/>
      <x:c r="H1059" s="20"/>
      <x:c r="I1059" s="20"/>
      <x:c r="J1059" s="20"/>
      <x:c r="K1059" s="20"/>
      <x:c r="L1059" s="20"/>
      <x:c r="M1059" s="20"/>
      <x:c r="N1059" s="20"/>
      <x:c r="O1059" s="20"/>
      <x:c r="P1059" s="20"/>
      <x:c r="Q1059" s="20"/>
      <x:c r="R1059" s="20"/>
      <x:c r="S1059" s="20"/>
      <x:c r="T1059" s="20"/>
      <x:c r="U1059" s="20"/>
      <x:c r="V1059" s="20"/>
      <x:c r="W1059" s="20"/>
      <x:c r="X1059" s="20"/>
      <x:c r="Y1059" s="21"/>
    </x:row>
    <x:row r="1060">
      <x:c r="A1060" s="19"/>
      <x:c r="B1060" s="27"/>
      <x:c r="C1060" s="20"/>
      <x:c r="D1060" s="28"/>
      <x:c r="E1060" s="20"/>
      <x:c r="F1060" s="25"/>
      <x:c r="G1060" s="20"/>
      <x:c r="H1060" s="20"/>
      <x:c r="I1060" s="20"/>
      <x:c r="J1060" s="20"/>
      <x:c r="K1060" s="20"/>
      <x:c r="L1060" s="20"/>
      <x:c r="M1060" s="20"/>
      <x:c r="N1060" s="20"/>
      <x:c r="O1060" s="20"/>
      <x:c r="P1060" s="20"/>
      <x:c r="Q1060" s="20"/>
      <x:c r="R1060" s="20"/>
      <x:c r="S1060" s="20"/>
      <x:c r="T1060" s="20"/>
      <x:c r="U1060" s="20"/>
      <x:c r="V1060" s="20"/>
      <x:c r="W1060" s="20"/>
      <x:c r="X1060" s="20"/>
      <x:c r="Y1060" s="21"/>
    </x:row>
    <x:row r="1061">
      <x:c r="A1061" s="19"/>
      <x:c r="B1061" s="27"/>
      <x:c r="C1061" s="20"/>
      <x:c r="D1061" s="28"/>
      <x:c r="E1061" s="20"/>
      <x:c r="F1061" s="25"/>
      <x:c r="G1061" s="20"/>
      <x:c r="H1061" s="20"/>
      <x:c r="I1061" s="20"/>
      <x:c r="J1061" s="20"/>
      <x:c r="K1061" s="20"/>
      <x:c r="L1061" s="20"/>
      <x:c r="M1061" s="20"/>
      <x:c r="N1061" s="20"/>
      <x:c r="O1061" s="20"/>
      <x:c r="P1061" s="20"/>
      <x:c r="Q1061" s="20"/>
      <x:c r="R1061" s="20"/>
      <x:c r="S1061" s="20"/>
      <x:c r="T1061" s="20"/>
      <x:c r="U1061" s="20"/>
      <x:c r="V1061" s="20"/>
      <x:c r="W1061" s="20"/>
      <x:c r="X1061" s="20"/>
      <x:c r="Y1061" s="21"/>
    </x:row>
    <x:row r="1062">
      <x:c r="A1062" s="19"/>
      <x:c r="B1062" s="27"/>
      <x:c r="C1062" s="20"/>
      <x:c r="D1062" s="28"/>
      <x:c r="E1062" s="20"/>
      <x:c r="F1062" s="25"/>
      <x:c r="G1062" s="20"/>
      <x:c r="H1062" s="20"/>
      <x:c r="I1062" s="20"/>
      <x:c r="J1062" s="20"/>
      <x:c r="K1062" s="20"/>
      <x:c r="L1062" s="20"/>
      <x:c r="M1062" s="20"/>
      <x:c r="N1062" s="20"/>
      <x:c r="O1062" s="20"/>
      <x:c r="P1062" s="20"/>
      <x:c r="Q1062" s="20"/>
      <x:c r="R1062" s="20"/>
      <x:c r="S1062" s="20"/>
      <x:c r="T1062" s="20"/>
      <x:c r="U1062" s="20"/>
      <x:c r="V1062" s="20"/>
      <x:c r="W1062" s="20"/>
      <x:c r="X1062" s="20"/>
      <x:c r="Y1062" s="21"/>
    </x:row>
    <x:row r="1063">
      <x:c r="A1063" s="19"/>
      <x:c r="B1063" s="27"/>
      <x:c r="C1063" s="20"/>
      <x:c r="D1063" s="28"/>
      <x:c r="E1063" s="20"/>
      <x:c r="F1063" s="25"/>
      <x:c r="G1063" s="20"/>
      <x:c r="H1063" s="20"/>
      <x:c r="I1063" s="20"/>
      <x:c r="J1063" s="20"/>
      <x:c r="K1063" s="20"/>
      <x:c r="L1063" s="20"/>
      <x:c r="M1063" s="20"/>
      <x:c r="N1063" s="20"/>
      <x:c r="O1063" s="20"/>
      <x:c r="P1063" s="20"/>
      <x:c r="Q1063" s="20"/>
      <x:c r="R1063" s="20"/>
      <x:c r="S1063" s="20"/>
      <x:c r="T1063" s="20"/>
      <x:c r="U1063" s="20"/>
      <x:c r="V1063" s="20"/>
      <x:c r="W1063" s="20"/>
      <x:c r="X1063" s="20"/>
      <x:c r="Y1063" s="21"/>
    </x:row>
    <x:row r="1064">
      <x:c r="A1064" s="19"/>
      <x:c r="B1064" s="27"/>
      <x:c r="C1064" s="20"/>
      <x:c r="D1064" s="28"/>
      <x:c r="E1064" s="20"/>
      <x:c r="F1064" s="25"/>
      <x:c r="G1064" s="20"/>
      <x:c r="H1064" s="20"/>
      <x:c r="I1064" s="20"/>
      <x:c r="J1064" s="20"/>
      <x:c r="K1064" s="20"/>
      <x:c r="L1064" s="20"/>
      <x:c r="M1064" s="20"/>
      <x:c r="N1064" s="20"/>
      <x:c r="O1064" s="20"/>
      <x:c r="P1064" s="20"/>
      <x:c r="Q1064" s="20"/>
      <x:c r="R1064" s="20"/>
      <x:c r="S1064" s="20"/>
      <x:c r="T1064" s="20"/>
      <x:c r="U1064" s="20"/>
      <x:c r="V1064" s="20"/>
      <x:c r="W1064" s="20"/>
      <x:c r="X1064" s="20"/>
      <x:c r="Y1064" s="21"/>
    </x:row>
    <x:row r="1065">
      <x:c r="A1065" s="19"/>
      <x:c r="B1065" s="27"/>
      <x:c r="C1065" s="20"/>
      <x:c r="D1065" s="28"/>
      <x:c r="E1065" s="20"/>
      <x:c r="F1065" s="25"/>
      <x:c r="G1065" s="20"/>
      <x:c r="H1065" s="20"/>
      <x:c r="I1065" s="20"/>
      <x:c r="J1065" s="20"/>
      <x:c r="K1065" s="20"/>
      <x:c r="L1065" s="20"/>
      <x:c r="M1065" s="20"/>
      <x:c r="N1065" s="20"/>
      <x:c r="O1065" s="20"/>
      <x:c r="P1065" s="20"/>
      <x:c r="Q1065" s="20"/>
      <x:c r="R1065" s="20"/>
      <x:c r="S1065" s="20"/>
      <x:c r="T1065" s="20"/>
      <x:c r="U1065" s="20"/>
      <x:c r="V1065" s="20"/>
      <x:c r="W1065" s="20"/>
      <x:c r="X1065" s="20"/>
      <x:c r="Y1065" s="21"/>
    </x:row>
    <x:row r="1066">
      <x:c r="A1066" s="19"/>
      <x:c r="B1066" s="27"/>
      <x:c r="C1066" s="20"/>
      <x:c r="D1066" s="28"/>
      <x:c r="E1066" s="20"/>
      <x:c r="F1066" s="25"/>
      <x:c r="G1066" s="20"/>
      <x:c r="H1066" s="20"/>
      <x:c r="I1066" s="20"/>
      <x:c r="J1066" s="20"/>
      <x:c r="K1066" s="20"/>
      <x:c r="L1066" s="20"/>
      <x:c r="M1066" s="20"/>
      <x:c r="N1066" s="20"/>
      <x:c r="O1066" s="20"/>
      <x:c r="P1066" s="20"/>
      <x:c r="Q1066" s="20"/>
      <x:c r="R1066" s="20"/>
      <x:c r="S1066" s="20"/>
      <x:c r="T1066" s="20"/>
      <x:c r="U1066" s="20"/>
      <x:c r="V1066" s="20"/>
      <x:c r="W1066" s="20"/>
      <x:c r="X1066" s="20"/>
      <x:c r="Y1066" s="21"/>
    </x:row>
    <x:row r="1067">
      <x:c r="A1067" s="19"/>
      <x:c r="B1067" s="27"/>
      <x:c r="C1067" s="20"/>
      <x:c r="D1067" s="28"/>
      <x:c r="E1067" s="20"/>
      <x:c r="F1067" s="25"/>
      <x:c r="G1067" s="20"/>
      <x:c r="H1067" s="20"/>
      <x:c r="I1067" s="20"/>
      <x:c r="J1067" s="20"/>
      <x:c r="K1067" s="20"/>
      <x:c r="L1067" s="20"/>
      <x:c r="M1067" s="20"/>
      <x:c r="N1067" s="20"/>
      <x:c r="O1067" s="20"/>
      <x:c r="P1067" s="20"/>
      <x:c r="Q1067" s="20"/>
      <x:c r="R1067" s="20"/>
      <x:c r="S1067" s="20"/>
      <x:c r="T1067" s="20"/>
      <x:c r="U1067" s="20"/>
      <x:c r="V1067" s="20"/>
      <x:c r="W1067" s="20"/>
      <x:c r="X1067" s="20"/>
      <x:c r="Y1067" s="21"/>
    </x:row>
    <x:row r="1068">
      <x:c r="A1068" s="19"/>
      <x:c r="B1068" s="27"/>
      <x:c r="C1068" s="20"/>
      <x:c r="D1068" s="28"/>
      <x:c r="E1068" s="20"/>
      <x:c r="F1068" s="25"/>
      <x:c r="G1068" s="20"/>
      <x:c r="H1068" s="20"/>
      <x:c r="I1068" s="20"/>
      <x:c r="J1068" s="20"/>
      <x:c r="K1068" s="20"/>
      <x:c r="L1068" s="20"/>
      <x:c r="M1068" s="20"/>
      <x:c r="N1068" s="20"/>
      <x:c r="O1068" s="20"/>
      <x:c r="P1068" s="20"/>
      <x:c r="Q1068" s="20"/>
      <x:c r="R1068" s="20"/>
      <x:c r="S1068" s="20"/>
      <x:c r="T1068" s="20"/>
      <x:c r="U1068" s="20"/>
      <x:c r="V1068" s="20"/>
      <x:c r="W1068" s="20"/>
      <x:c r="X1068" s="20"/>
      <x:c r="Y1068" s="21"/>
    </x:row>
    <x:row r="1069">
      <x:c r="A1069" s="19"/>
      <x:c r="B1069" s="27"/>
      <x:c r="C1069" s="20"/>
      <x:c r="D1069" s="28"/>
      <x:c r="E1069" s="20"/>
      <x:c r="F1069" s="25"/>
      <x:c r="G1069" s="20"/>
      <x:c r="H1069" s="20"/>
      <x:c r="I1069" s="20"/>
      <x:c r="J1069" s="20"/>
      <x:c r="K1069" s="20"/>
      <x:c r="L1069" s="20"/>
      <x:c r="M1069" s="20"/>
      <x:c r="N1069" s="20"/>
      <x:c r="O1069" s="20"/>
      <x:c r="P1069" s="20"/>
      <x:c r="Q1069" s="20"/>
      <x:c r="R1069" s="20"/>
      <x:c r="S1069" s="20"/>
      <x:c r="T1069" s="20"/>
      <x:c r="U1069" s="20"/>
      <x:c r="V1069" s="20"/>
      <x:c r="W1069" s="20"/>
      <x:c r="X1069" s="20"/>
      <x:c r="Y1069" s="21"/>
    </x:row>
    <x:row r="1070">
      <x:c r="A1070" s="19"/>
      <x:c r="B1070" s="27"/>
      <x:c r="C1070" s="20"/>
      <x:c r="D1070" s="28"/>
      <x:c r="E1070" s="20"/>
      <x:c r="F1070" s="25"/>
      <x:c r="G1070" s="20"/>
      <x:c r="H1070" s="20"/>
      <x:c r="I1070" s="20"/>
      <x:c r="J1070" s="20"/>
      <x:c r="K1070" s="20"/>
      <x:c r="L1070" s="20"/>
      <x:c r="M1070" s="20"/>
      <x:c r="N1070" s="20"/>
      <x:c r="O1070" s="20"/>
      <x:c r="P1070" s="20"/>
      <x:c r="Q1070" s="20"/>
      <x:c r="R1070" s="20"/>
      <x:c r="S1070" s="20"/>
      <x:c r="T1070" s="20"/>
      <x:c r="U1070" s="20"/>
      <x:c r="V1070" s="20"/>
      <x:c r="W1070" s="20"/>
      <x:c r="X1070" s="20"/>
      <x:c r="Y1070" s="21"/>
    </x:row>
    <x:row r="1071">
      <x:c r="A1071" s="19"/>
      <x:c r="B1071" s="27"/>
      <x:c r="C1071" s="20"/>
      <x:c r="D1071" s="28"/>
      <x:c r="E1071" s="20"/>
      <x:c r="F1071" s="25"/>
      <x:c r="G1071" s="20"/>
      <x:c r="H1071" s="20"/>
      <x:c r="I1071" s="20"/>
      <x:c r="J1071" s="20"/>
      <x:c r="K1071" s="20"/>
      <x:c r="L1071" s="20"/>
      <x:c r="M1071" s="20"/>
      <x:c r="N1071" s="20"/>
      <x:c r="O1071" s="20"/>
      <x:c r="P1071" s="20"/>
      <x:c r="Q1071" s="20"/>
      <x:c r="R1071" s="20"/>
      <x:c r="S1071" s="20"/>
      <x:c r="T1071" s="20"/>
      <x:c r="U1071" s="20"/>
      <x:c r="V1071" s="20"/>
      <x:c r="W1071" s="20"/>
      <x:c r="X1071" s="20"/>
      <x:c r="Y1071" s="21"/>
    </x:row>
    <x:row r="1072">
      <x:c r="A1072" s="19"/>
      <x:c r="B1072" s="27"/>
      <x:c r="C1072" s="20"/>
      <x:c r="D1072" s="28"/>
      <x:c r="E1072" s="20"/>
      <x:c r="F1072" s="25"/>
      <x:c r="G1072" s="20"/>
      <x:c r="H1072" s="20"/>
      <x:c r="I1072" s="20"/>
      <x:c r="J1072" s="20"/>
      <x:c r="K1072" s="20"/>
      <x:c r="L1072" s="20"/>
      <x:c r="M1072" s="20"/>
      <x:c r="N1072" s="20"/>
      <x:c r="O1072" s="20"/>
      <x:c r="P1072" s="20"/>
      <x:c r="Q1072" s="20"/>
      <x:c r="R1072" s="20"/>
      <x:c r="S1072" s="20"/>
      <x:c r="T1072" s="20"/>
      <x:c r="U1072" s="20"/>
      <x:c r="V1072" s="20"/>
      <x:c r="W1072" s="20"/>
      <x:c r="X1072" s="20"/>
      <x:c r="Y1072" s="21"/>
    </x:row>
    <x:row r="1073">
      <x:c r="A1073" s="19"/>
      <x:c r="B1073" s="27"/>
      <x:c r="C1073" s="20"/>
      <x:c r="D1073" s="28"/>
      <x:c r="E1073" s="20"/>
      <x:c r="F1073" s="25"/>
      <x:c r="G1073" s="20"/>
      <x:c r="H1073" s="20"/>
      <x:c r="I1073" s="20"/>
      <x:c r="J1073" s="20"/>
      <x:c r="K1073" s="20"/>
      <x:c r="L1073" s="20"/>
      <x:c r="M1073" s="20"/>
      <x:c r="N1073" s="20"/>
      <x:c r="O1073" s="20"/>
      <x:c r="P1073" s="20"/>
      <x:c r="Q1073" s="20"/>
      <x:c r="R1073" s="20"/>
      <x:c r="S1073" s="20"/>
      <x:c r="T1073" s="20"/>
      <x:c r="U1073" s="20"/>
      <x:c r="V1073" s="20"/>
      <x:c r="W1073" s="20"/>
      <x:c r="X1073" s="20"/>
      <x:c r="Y1073" s="21"/>
    </x:row>
    <x:row r="1074">
      <x:c r="A1074" s="19"/>
      <x:c r="B1074" s="27"/>
      <x:c r="C1074" s="20"/>
      <x:c r="D1074" s="28"/>
      <x:c r="E1074" s="20"/>
      <x:c r="F1074" s="25"/>
      <x:c r="G1074" s="20"/>
      <x:c r="H1074" s="20"/>
      <x:c r="I1074" s="20"/>
      <x:c r="J1074" s="20"/>
      <x:c r="K1074" s="20"/>
      <x:c r="L1074" s="20"/>
      <x:c r="M1074" s="20"/>
      <x:c r="N1074" s="20"/>
      <x:c r="O1074" s="20"/>
      <x:c r="P1074" s="20"/>
      <x:c r="Q1074" s="20"/>
      <x:c r="R1074" s="20"/>
      <x:c r="S1074" s="20"/>
      <x:c r="T1074" s="20"/>
      <x:c r="U1074" s="20"/>
      <x:c r="V1074" s="20"/>
      <x:c r="W1074" s="20"/>
      <x:c r="X1074" s="20"/>
      <x:c r="Y1074" s="21"/>
    </x:row>
    <x:row r="1075">
      <x:c r="A1075" s="19"/>
      <x:c r="B1075" s="27"/>
      <x:c r="C1075" s="20"/>
      <x:c r="D1075" s="28"/>
      <x:c r="E1075" s="20"/>
      <x:c r="F1075" s="25"/>
      <x:c r="G1075" s="20"/>
      <x:c r="H1075" s="20"/>
      <x:c r="I1075" s="20"/>
      <x:c r="J1075" s="20"/>
      <x:c r="K1075" s="20"/>
      <x:c r="L1075" s="20"/>
      <x:c r="M1075" s="20"/>
      <x:c r="N1075" s="20"/>
      <x:c r="O1075" s="20"/>
      <x:c r="P1075" s="20"/>
      <x:c r="Q1075" s="20"/>
      <x:c r="R1075" s="20"/>
      <x:c r="S1075" s="20"/>
      <x:c r="T1075" s="20"/>
      <x:c r="U1075" s="20"/>
      <x:c r="V1075" s="20"/>
      <x:c r="W1075" s="20"/>
      <x:c r="X1075" s="20"/>
      <x:c r="Y1075" s="21"/>
    </x:row>
    <x:row r="1076">
      <x:c r="A1076" s="19"/>
      <x:c r="B1076" s="27"/>
      <x:c r="C1076" s="20"/>
      <x:c r="D1076" s="28"/>
      <x:c r="E1076" s="20"/>
      <x:c r="F1076" s="25"/>
      <x:c r="G1076" s="20"/>
      <x:c r="H1076" s="20"/>
      <x:c r="I1076" s="20"/>
      <x:c r="J1076" s="20"/>
      <x:c r="K1076" s="20"/>
      <x:c r="L1076" s="20"/>
      <x:c r="M1076" s="20"/>
      <x:c r="N1076" s="20"/>
      <x:c r="O1076" s="20"/>
      <x:c r="P1076" s="20"/>
      <x:c r="Q1076" s="20"/>
      <x:c r="R1076" s="20"/>
      <x:c r="S1076" s="20"/>
      <x:c r="T1076" s="20"/>
      <x:c r="U1076" s="20"/>
      <x:c r="V1076" s="20"/>
      <x:c r="W1076" s="20"/>
      <x:c r="X1076" s="20"/>
      <x:c r="Y1076" s="21"/>
    </x:row>
    <x:row r="1077">
      <x:c r="A1077" s="19"/>
      <x:c r="B1077" s="27"/>
      <x:c r="C1077" s="20"/>
      <x:c r="D1077" s="28"/>
      <x:c r="E1077" s="20"/>
      <x:c r="F1077" s="25"/>
      <x:c r="G1077" s="20"/>
      <x:c r="H1077" s="20"/>
      <x:c r="I1077" s="20"/>
      <x:c r="J1077" s="20"/>
      <x:c r="K1077" s="20"/>
      <x:c r="L1077" s="20"/>
      <x:c r="M1077" s="20"/>
      <x:c r="N1077" s="20"/>
      <x:c r="O1077" s="20"/>
      <x:c r="P1077" s="20"/>
      <x:c r="Q1077" s="20"/>
      <x:c r="R1077" s="20"/>
      <x:c r="S1077" s="20"/>
      <x:c r="T1077" s="20"/>
      <x:c r="U1077" s="20"/>
      <x:c r="V1077" s="20"/>
      <x:c r="W1077" s="20"/>
      <x:c r="X1077" s="20"/>
      <x:c r="Y1077" s="21"/>
    </x:row>
    <x:row r="1078">
      <x:c r="A1078" s="19"/>
      <x:c r="B1078" s="27"/>
      <x:c r="C1078" s="20"/>
      <x:c r="D1078" s="28"/>
      <x:c r="E1078" s="20"/>
      <x:c r="F1078" s="25"/>
      <x:c r="G1078" s="20"/>
      <x:c r="H1078" s="20"/>
      <x:c r="I1078" s="20"/>
      <x:c r="J1078" s="20"/>
      <x:c r="K1078" s="20"/>
      <x:c r="L1078" s="20"/>
      <x:c r="M1078" s="20"/>
      <x:c r="N1078" s="20"/>
      <x:c r="O1078" s="20"/>
      <x:c r="P1078" s="20"/>
      <x:c r="Q1078" s="20"/>
      <x:c r="R1078" s="20"/>
      <x:c r="S1078" s="20"/>
      <x:c r="T1078" s="20"/>
      <x:c r="U1078" s="20"/>
      <x:c r="V1078" s="20"/>
      <x:c r="W1078" s="20"/>
      <x:c r="X1078" s="20"/>
      <x:c r="Y1078" s="21"/>
    </x:row>
    <x:row r="1079">
      <x:c r="A1079" s="19"/>
      <x:c r="B1079" s="27"/>
      <x:c r="C1079" s="20"/>
      <x:c r="D1079" s="28"/>
      <x:c r="E1079" s="20"/>
      <x:c r="F1079" s="25"/>
      <x:c r="G1079" s="20"/>
      <x:c r="H1079" s="20"/>
      <x:c r="I1079" s="20"/>
      <x:c r="J1079" s="20"/>
      <x:c r="K1079" s="20"/>
      <x:c r="L1079" s="20"/>
      <x:c r="M1079" s="20"/>
      <x:c r="N1079" s="20"/>
      <x:c r="O1079" s="20"/>
      <x:c r="P1079" s="20"/>
      <x:c r="Q1079" s="20"/>
      <x:c r="R1079" s="20"/>
      <x:c r="S1079" s="20"/>
      <x:c r="T1079" s="20"/>
      <x:c r="U1079" s="20"/>
      <x:c r="V1079" s="20"/>
      <x:c r="W1079" s="20"/>
      <x:c r="X1079" s="20"/>
      <x:c r="Y1079" s="21"/>
    </x:row>
    <x:row r="1080">
      <x:c r="A1080" s="19"/>
      <x:c r="B1080" s="27"/>
      <x:c r="C1080" s="20"/>
      <x:c r="D1080" s="28"/>
      <x:c r="E1080" s="20"/>
      <x:c r="F1080" s="25"/>
      <x:c r="G1080" s="20"/>
      <x:c r="H1080" s="20"/>
      <x:c r="I1080" s="20"/>
      <x:c r="J1080" s="20"/>
      <x:c r="K1080" s="20"/>
      <x:c r="L1080" s="20"/>
      <x:c r="M1080" s="20"/>
      <x:c r="N1080" s="20"/>
      <x:c r="O1080" s="20"/>
      <x:c r="P1080" s="20"/>
      <x:c r="Q1080" s="20"/>
      <x:c r="R1080" s="20"/>
      <x:c r="S1080" s="20"/>
      <x:c r="T1080" s="20"/>
      <x:c r="U1080" s="20"/>
      <x:c r="V1080" s="20"/>
      <x:c r="W1080" s="20"/>
      <x:c r="X1080" s="20"/>
      <x:c r="Y1080" s="21"/>
    </x:row>
    <x:row r="1081">
      <x:c r="A1081" s="19"/>
      <x:c r="B1081" s="27"/>
      <x:c r="C1081" s="20"/>
      <x:c r="D1081" s="28"/>
      <x:c r="E1081" s="20"/>
      <x:c r="F1081" s="25"/>
      <x:c r="G1081" s="20"/>
      <x:c r="H1081" s="20"/>
      <x:c r="I1081" s="20"/>
      <x:c r="J1081" s="20"/>
      <x:c r="K1081" s="20"/>
      <x:c r="L1081" s="20"/>
      <x:c r="M1081" s="20"/>
      <x:c r="N1081" s="20"/>
      <x:c r="O1081" s="20"/>
      <x:c r="P1081" s="20"/>
      <x:c r="Q1081" s="20"/>
      <x:c r="R1081" s="20"/>
      <x:c r="S1081" s="20"/>
      <x:c r="T1081" s="20"/>
      <x:c r="U1081" s="20"/>
      <x:c r="V1081" s="20"/>
      <x:c r="W1081" s="20"/>
      <x:c r="X1081" s="20"/>
      <x:c r="Y1081" s="21"/>
    </x:row>
    <x:row r="1082">
      <x:c r="A1082" s="19"/>
      <x:c r="B1082" s="27"/>
      <x:c r="C1082" s="20"/>
      <x:c r="D1082" s="28"/>
      <x:c r="E1082" s="20"/>
      <x:c r="F1082" s="25"/>
      <x:c r="G1082" s="20"/>
      <x:c r="H1082" s="20"/>
      <x:c r="I1082" s="20"/>
      <x:c r="J1082" s="20"/>
      <x:c r="K1082" s="20"/>
      <x:c r="L1082" s="20"/>
      <x:c r="M1082" s="20"/>
      <x:c r="N1082" s="20"/>
      <x:c r="O1082" s="20"/>
      <x:c r="P1082" s="20"/>
      <x:c r="Q1082" s="20"/>
      <x:c r="R1082" s="20"/>
      <x:c r="S1082" s="20"/>
      <x:c r="T1082" s="20"/>
      <x:c r="U1082" s="20"/>
      <x:c r="V1082" s="20"/>
      <x:c r="W1082" s="20"/>
      <x:c r="X1082" s="20"/>
      <x:c r="Y1082" s="21"/>
    </x:row>
    <x:row r="1083">
      <x:c r="A1083" s="19"/>
      <x:c r="B1083" s="27"/>
      <x:c r="C1083" s="20"/>
      <x:c r="D1083" s="28"/>
      <x:c r="E1083" s="20"/>
      <x:c r="F1083" s="25"/>
      <x:c r="G1083" s="20"/>
      <x:c r="H1083" s="20"/>
      <x:c r="I1083" s="20"/>
      <x:c r="J1083" s="20"/>
      <x:c r="K1083" s="20"/>
      <x:c r="L1083" s="20"/>
      <x:c r="M1083" s="20"/>
      <x:c r="N1083" s="20"/>
      <x:c r="O1083" s="20"/>
      <x:c r="P1083" s="20"/>
      <x:c r="Q1083" s="20"/>
      <x:c r="R1083" s="20"/>
      <x:c r="S1083" s="20"/>
      <x:c r="T1083" s="20"/>
      <x:c r="U1083" s="20"/>
      <x:c r="V1083" s="20"/>
      <x:c r="W1083" s="20"/>
      <x:c r="X1083" s="20"/>
      <x:c r="Y1083" s="21"/>
    </x:row>
    <x:row r="1084">
      <x:c r="A1084" s="19"/>
      <x:c r="B1084" s="27"/>
      <x:c r="C1084" s="20"/>
      <x:c r="D1084" s="28"/>
      <x:c r="E1084" s="20"/>
      <x:c r="F1084" s="25"/>
      <x:c r="G1084" s="20"/>
      <x:c r="H1084" s="20"/>
      <x:c r="I1084" s="20"/>
      <x:c r="J1084" s="20"/>
      <x:c r="K1084" s="20"/>
      <x:c r="L1084" s="20"/>
      <x:c r="M1084" s="20"/>
      <x:c r="N1084" s="20"/>
      <x:c r="O1084" s="20"/>
      <x:c r="P1084" s="20"/>
      <x:c r="Q1084" s="20"/>
      <x:c r="R1084" s="20"/>
      <x:c r="S1084" s="20"/>
      <x:c r="T1084" s="20"/>
      <x:c r="U1084" s="20"/>
      <x:c r="V1084" s="20"/>
      <x:c r="W1084" s="20"/>
      <x:c r="X1084" s="20"/>
      <x:c r="Y1084" s="21"/>
    </x:row>
    <x:row r="1085">
      <x:c r="A1085" s="19"/>
      <x:c r="B1085" s="27"/>
      <x:c r="C1085" s="20"/>
      <x:c r="D1085" s="28"/>
      <x:c r="E1085" s="20"/>
      <x:c r="F1085" s="25"/>
      <x:c r="G1085" s="20"/>
      <x:c r="H1085" s="20"/>
      <x:c r="I1085" s="20"/>
      <x:c r="J1085" s="20"/>
      <x:c r="K1085" s="20"/>
      <x:c r="L1085" s="20"/>
      <x:c r="M1085" s="20"/>
      <x:c r="N1085" s="20"/>
      <x:c r="O1085" s="20"/>
      <x:c r="P1085" s="20"/>
      <x:c r="Q1085" s="20"/>
      <x:c r="R1085" s="20"/>
      <x:c r="S1085" s="20"/>
      <x:c r="T1085" s="20"/>
      <x:c r="U1085" s="20"/>
      <x:c r="V1085" s="20"/>
      <x:c r="W1085" s="20"/>
      <x:c r="X1085" s="20"/>
      <x:c r="Y1085" s="21"/>
    </x:row>
    <x:row r="1086">
      <x:c r="A1086" s="19"/>
      <x:c r="B1086" s="27"/>
      <x:c r="C1086" s="20"/>
      <x:c r="D1086" s="28"/>
      <x:c r="E1086" s="20"/>
      <x:c r="F1086" s="25"/>
      <x:c r="G1086" s="20"/>
      <x:c r="H1086" s="20"/>
      <x:c r="I1086" s="20"/>
      <x:c r="J1086" s="20"/>
      <x:c r="K1086" s="20"/>
      <x:c r="L1086" s="20"/>
      <x:c r="M1086" s="20"/>
      <x:c r="N1086" s="20"/>
      <x:c r="O1086" s="20"/>
      <x:c r="P1086" s="20"/>
      <x:c r="Q1086" s="20"/>
      <x:c r="R1086" s="20"/>
      <x:c r="S1086" s="20"/>
      <x:c r="T1086" s="20"/>
      <x:c r="U1086" s="20"/>
      <x:c r="V1086" s="20"/>
      <x:c r="W1086" s="20"/>
      <x:c r="X1086" s="20"/>
      <x:c r="Y1086" s="21"/>
    </x:row>
    <x:row r="1087">
      <x:c r="A1087" s="19"/>
      <x:c r="B1087" s="27"/>
      <x:c r="C1087" s="20"/>
      <x:c r="D1087" s="28"/>
      <x:c r="E1087" s="20"/>
      <x:c r="F1087" s="25"/>
      <x:c r="G1087" s="20"/>
      <x:c r="H1087" s="20"/>
      <x:c r="I1087" s="20"/>
      <x:c r="J1087" s="20"/>
      <x:c r="K1087" s="20"/>
      <x:c r="L1087" s="20"/>
      <x:c r="M1087" s="20"/>
      <x:c r="N1087" s="20"/>
      <x:c r="O1087" s="20"/>
      <x:c r="P1087" s="20"/>
      <x:c r="Q1087" s="20"/>
      <x:c r="R1087" s="20"/>
      <x:c r="S1087" s="20"/>
      <x:c r="T1087" s="20"/>
      <x:c r="U1087" s="20"/>
      <x:c r="V1087" s="20"/>
      <x:c r="W1087" s="20"/>
      <x:c r="X1087" s="20"/>
      <x:c r="Y1087" s="21"/>
    </x:row>
    <x:row r="1088">
      <x:c r="A1088" s="19"/>
      <x:c r="B1088" s="27"/>
      <x:c r="C1088" s="20"/>
      <x:c r="D1088" s="28"/>
      <x:c r="E1088" s="20"/>
      <x:c r="F1088" s="25"/>
      <x:c r="G1088" s="20"/>
      <x:c r="H1088" s="20"/>
      <x:c r="I1088" s="20"/>
      <x:c r="J1088" s="20"/>
      <x:c r="K1088" s="20"/>
      <x:c r="L1088" s="20"/>
      <x:c r="M1088" s="20"/>
      <x:c r="N1088" s="20"/>
      <x:c r="O1088" s="20"/>
      <x:c r="P1088" s="20"/>
      <x:c r="Q1088" s="20"/>
      <x:c r="R1088" s="20"/>
      <x:c r="S1088" s="20"/>
      <x:c r="T1088" s="20"/>
      <x:c r="U1088" s="20"/>
      <x:c r="V1088" s="20"/>
      <x:c r="W1088" s="20"/>
      <x:c r="X1088" s="20"/>
      <x:c r="Y1088" s="21"/>
    </x:row>
    <x:row r="1089">
      <x:c r="A1089" s="19"/>
      <x:c r="B1089" s="27"/>
      <x:c r="C1089" s="20"/>
      <x:c r="D1089" s="28"/>
      <x:c r="E1089" s="20"/>
      <x:c r="F1089" s="25"/>
      <x:c r="G1089" s="20"/>
      <x:c r="H1089" s="20"/>
      <x:c r="I1089" s="20"/>
      <x:c r="J1089" s="20"/>
      <x:c r="K1089" s="20"/>
      <x:c r="L1089" s="20"/>
      <x:c r="M1089" s="20"/>
      <x:c r="N1089" s="20"/>
      <x:c r="O1089" s="20"/>
      <x:c r="P1089" s="20"/>
      <x:c r="Q1089" s="20"/>
      <x:c r="R1089" s="20"/>
      <x:c r="S1089" s="20"/>
      <x:c r="T1089" s="20"/>
      <x:c r="U1089" s="20"/>
      <x:c r="V1089" s="20"/>
      <x:c r="W1089" s="20"/>
      <x:c r="X1089" s="20"/>
      <x:c r="Y1089" s="21"/>
    </x:row>
    <x:row r="1090">
      <x:c r="A1090" s="19"/>
      <x:c r="B1090" s="27"/>
      <x:c r="C1090" s="20"/>
      <x:c r="D1090" s="28"/>
      <x:c r="E1090" s="20"/>
      <x:c r="F1090" s="25"/>
      <x:c r="G1090" s="20"/>
      <x:c r="H1090" s="20"/>
      <x:c r="I1090" s="20"/>
      <x:c r="J1090" s="20"/>
      <x:c r="K1090" s="20"/>
      <x:c r="L1090" s="20"/>
      <x:c r="M1090" s="20"/>
      <x:c r="N1090" s="20"/>
      <x:c r="O1090" s="20"/>
      <x:c r="P1090" s="20"/>
      <x:c r="Q1090" s="20"/>
      <x:c r="R1090" s="20"/>
      <x:c r="S1090" s="20"/>
      <x:c r="T1090" s="20"/>
      <x:c r="U1090" s="20"/>
      <x:c r="V1090" s="20"/>
      <x:c r="W1090" s="20"/>
      <x:c r="X1090" s="20"/>
      <x:c r="Y1090" s="21"/>
    </x:row>
    <x:row r="1091">
      <x:c r="A1091" s="19"/>
      <x:c r="B1091" s="27"/>
      <x:c r="C1091" s="20"/>
      <x:c r="D1091" s="28"/>
      <x:c r="E1091" s="20"/>
      <x:c r="F1091" s="25"/>
      <x:c r="G1091" s="20"/>
      <x:c r="H1091" s="20"/>
      <x:c r="I1091" s="20"/>
      <x:c r="J1091" s="20"/>
      <x:c r="K1091" s="20"/>
      <x:c r="L1091" s="20"/>
      <x:c r="M1091" s="20"/>
      <x:c r="N1091" s="20"/>
      <x:c r="O1091" s="20"/>
      <x:c r="P1091" s="20"/>
      <x:c r="Q1091" s="20"/>
      <x:c r="R1091" s="20"/>
      <x:c r="S1091" s="20"/>
      <x:c r="T1091" s="20"/>
      <x:c r="U1091" s="20"/>
      <x:c r="V1091" s="20"/>
      <x:c r="W1091" s="20"/>
      <x:c r="X1091" s="20"/>
      <x:c r="Y1091" s="21"/>
    </x:row>
    <x:row r="1092">
      <x:c r="A1092" s="19"/>
      <x:c r="B1092" s="27"/>
      <x:c r="C1092" s="20"/>
      <x:c r="D1092" s="28"/>
      <x:c r="E1092" s="20"/>
      <x:c r="F1092" s="25"/>
      <x:c r="G1092" s="20"/>
      <x:c r="H1092" s="20"/>
      <x:c r="I1092" s="20"/>
      <x:c r="J1092" s="20"/>
      <x:c r="K1092" s="20"/>
      <x:c r="L1092" s="20"/>
      <x:c r="M1092" s="20"/>
      <x:c r="N1092" s="20"/>
      <x:c r="O1092" s="20"/>
      <x:c r="P1092" s="20"/>
      <x:c r="Q1092" s="20"/>
      <x:c r="R1092" s="20"/>
      <x:c r="S1092" s="20"/>
      <x:c r="T1092" s="20"/>
      <x:c r="U1092" s="20"/>
      <x:c r="V1092" s="20"/>
      <x:c r="W1092" s="20"/>
      <x:c r="X1092" s="20"/>
      <x:c r="Y1092" s="21"/>
    </x:row>
    <x:row r="1093">
      <x:c r="A1093" s="19"/>
      <x:c r="B1093" s="27"/>
      <x:c r="C1093" s="20"/>
      <x:c r="D1093" s="28"/>
      <x:c r="E1093" s="20"/>
      <x:c r="F1093" s="25"/>
      <x:c r="G1093" s="20"/>
      <x:c r="H1093" s="20"/>
      <x:c r="I1093" s="20"/>
      <x:c r="J1093" s="20"/>
      <x:c r="K1093" s="20"/>
      <x:c r="L1093" s="20"/>
      <x:c r="M1093" s="20"/>
      <x:c r="N1093" s="20"/>
      <x:c r="O1093" s="20"/>
      <x:c r="P1093" s="20"/>
      <x:c r="Q1093" s="20"/>
      <x:c r="R1093" s="20"/>
      <x:c r="S1093" s="20"/>
      <x:c r="T1093" s="20"/>
      <x:c r="U1093" s="20"/>
      <x:c r="V1093" s="20"/>
      <x:c r="W1093" s="20"/>
      <x:c r="X1093" s="20"/>
      <x:c r="Y1093" s="21"/>
    </x:row>
    <x:row r="1094">
      <x:c r="A1094" s="19"/>
      <x:c r="B1094" s="27"/>
      <x:c r="C1094" s="20"/>
      <x:c r="D1094" s="28"/>
      <x:c r="E1094" s="20"/>
      <x:c r="F1094" s="25"/>
      <x:c r="G1094" s="20"/>
      <x:c r="H1094" s="20"/>
      <x:c r="I1094" s="20"/>
      <x:c r="J1094" s="20"/>
      <x:c r="K1094" s="20"/>
      <x:c r="L1094" s="20"/>
      <x:c r="M1094" s="20"/>
      <x:c r="N1094" s="20"/>
      <x:c r="O1094" s="20"/>
      <x:c r="P1094" s="20"/>
      <x:c r="Q1094" s="20"/>
      <x:c r="R1094" s="20"/>
      <x:c r="S1094" s="20"/>
      <x:c r="T1094" s="20"/>
      <x:c r="U1094" s="20"/>
      <x:c r="V1094" s="20"/>
      <x:c r="W1094" s="20"/>
      <x:c r="X1094" s="20"/>
      <x:c r="Y1094" s="21"/>
    </x:row>
    <x:row r="1095">
      <x:c r="A1095" s="19"/>
      <x:c r="B1095" s="27"/>
      <x:c r="C1095" s="20"/>
      <x:c r="D1095" s="28"/>
      <x:c r="E1095" s="20"/>
      <x:c r="F1095" s="25"/>
      <x:c r="G1095" s="20"/>
      <x:c r="H1095" s="20"/>
      <x:c r="I1095" s="20"/>
      <x:c r="J1095" s="20"/>
      <x:c r="K1095" s="20"/>
      <x:c r="L1095" s="20"/>
      <x:c r="M1095" s="20"/>
      <x:c r="N1095" s="20"/>
      <x:c r="O1095" s="20"/>
      <x:c r="P1095" s="20"/>
      <x:c r="Q1095" s="20"/>
      <x:c r="R1095" s="20"/>
      <x:c r="S1095" s="20"/>
      <x:c r="T1095" s="20"/>
      <x:c r="U1095" s="20"/>
      <x:c r="V1095" s="20"/>
      <x:c r="W1095" s="20"/>
      <x:c r="X1095" s="20"/>
      <x:c r="Y1095" s="21"/>
    </x:row>
    <x:row r="1096">
      <x:c r="A1096" s="19"/>
      <x:c r="B1096" s="27"/>
      <x:c r="C1096" s="20"/>
      <x:c r="D1096" s="28"/>
      <x:c r="E1096" s="20"/>
      <x:c r="F1096" s="25"/>
      <x:c r="G1096" s="20"/>
      <x:c r="H1096" s="20"/>
      <x:c r="I1096" s="20"/>
      <x:c r="J1096" s="20"/>
      <x:c r="K1096" s="20"/>
      <x:c r="L1096" s="20"/>
      <x:c r="M1096" s="20"/>
      <x:c r="N1096" s="20"/>
      <x:c r="O1096" s="20"/>
      <x:c r="P1096" s="20"/>
      <x:c r="Q1096" s="20"/>
      <x:c r="R1096" s="20"/>
      <x:c r="S1096" s="20"/>
      <x:c r="T1096" s="20"/>
      <x:c r="U1096" s="20"/>
      <x:c r="V1096" s="20"/>
      <x:c r="W1096" s="20"/>
      <x:c r="X1096" s="20"/>
      <x:c r="Y1096" s="21"/>
    </x:row>
    <x:row r="1097">
      <x:c r="A1097" s="19"/>
      <x:c r="B1097" s="27"/>
      <x:c r="C1097" s="20"/>
      <x:c r="D1097" s="28"/>
      <x:c r="E1097" s="20"/>
      <x:c r="F1097" s="25"/>
      <x:c r="G1097" s="20"/>
      <x:c r="H1097" s="20"/>
      <x:c r="I1097" s="20"/>
      <x:c r="J1097" s="20"/>
      <x:c r="K1097" s="20"/>
      <x:c r="L1097" s="20"/>
      <x:c r="M1097" s="20"/>
      <x:c r="N1097" s="20"/>
      <x:c r="O1097" s="20"/>
      <x:c r="P1097" s="20"/>
      <x:c r="Q1097" s="20"/>
      <x:c r="R1097" s="20"/>
      <x:c r="S1097" s="20"/>
      <x:c r="T1097" s="20"/>
      <x:c r="U1097" s="20"/>
      <x:c r="V1097" s="20"/>
      <x:c r="W1097" s="20"/>
      <x:c r="X1097" s="20"/>
      <x:c r="Y1097" s="21"/>
    </x:row>
    <x:row r="1098">
      <x:c r="A1098" s="19"/>
      <x:c r="B1098" s="27"/>
      <x:c r="C1098" s="20"/>
      <x:c r="D1098" s="28"/>
      <x:c r="E1098" s="20"/>
      <x:c r="F1098" s="25"/>
      <x:c r="G1098" s="20"/>
      <x:c r="H1098" s="20"/>
      <x:c r="I1098" s="20"/>
      <x:c r="J1098" s="20"/>
      <x:c r="K1098" s="20"/>
      <x:c r="L1098" s="20"/>
      <x:c r="M1098" s="20"/>
      <x:c r="N1098" s="20"/>
      <x:c r="O1098" s="20"/>
      <x:c r="P1098" s="20"/>
      <x:c r="Q1098" s="20"/>
      <x:c r="R1098" s="20"/>
      <x:c r="S1098" s="20"/>
      <x:c r="T1098" s="20"/>
      <x:c r="U1098" s="20"/>
      <x:c r="V1098" s="20"/>
      <x:c r="W1098" s="20"/>
      <x:c r="X1098" s="20"/>
      <x:c r="Y1098" s="21"/>
    </x:row>
    <x:row r="1099">
      <x:c r="A1099" s="19"/>
      <x:c r="B1099" s="27"/>
      <x:c r="C1099" s="20"/>
      <x:c r="D1099" s="28"/>
      <x:c r="E1099" s="20"/>
      <x:c r="F1099" s="25"/>
      <x:c r="G1099" s="20"/>
      <x:c r="H1099" s="20"/>
      <x:c r="I1099" s="20"/>
      <x:c r="J1099" s="20"/>
      <x:c r="K1099" s="20"/>
      <x:c r="L1099" s="20"/>
      <x:c r="M1099" s="20"/>
      <x:c r="N1099" s="20"/>
      <x:c r="O1099" s="20"/>
      <x:c r="P1099" s="20"/>
      <x:c r="Q1099" s="20"/>
      <x:c r="R1099" s="20"/>
      <x:c r="S1099" s="20"/>
      <x:c r="T1099" s="20"/>
      <x:c r="U1099" s="20"/>
      <x:c r="V1099" s="20"/>
      <x:c r="W1099" s="20"/>
      <x:c r="X1099" s="20"/>
      <x:c r="Y1099" s="21"/>
    </x:row>
    <x:row r="1100">
      <x:c r="A1100" s="19"/>
      <x:c r="B1100" s="27"/>
      <x:c r="C1100" s="20"/>
      <x:c r="D1100" s="28"/>
      <x:c r="E1100" s="20"/>
      <x:c r="F1100" s="25"/>
      <x:c r="G1100" s="20"/>
      <x:c r="H1100" s="20"/>
      <x:c r="I1100" s="20"/>
      <x:c r="J1100" s="20"/>
      <x:c r="K1100" s="20"/>
      <x:c r="L1100" s="20"/>
      <x:c r="M1100" s="20"/>
      <x:c r="N1100" s="20"/>
      <x:c r="O1100" s="20"/>
      <x:c r="P1100" s="20"/>
      <x:c r="Q1100" s="20"/>
      <x:c r="R1100" s="20"/>
      <x:c r="S1100" s="20"/>
      <x:c r="T1100" s="20"/>
      <x:c r="U1100" s="20"/>
      <x:c r="V1100" s="20"/>
      <x:c r="W1100" s="20"/>
      <x:c r="X1100" s="20"/>
      <x:c r="Y1100" s="21"/>
    </x:row>
    <x:row r="1101">
      <x:c r="A1101" s="19"/>
      <x:c r="B1101" s="27"/>
      <x:c r="C1101" s="20"/>
      <x:c r="D1101" s="28"/>
      <x:c r="E1101" s="20"/>
      <x:c r="F1101" s="25"/>
      <x:c r="G1101" s="20"/>
      <x:c r="H1101" s="20"/>
      <x:c r="I1101" s="20"/>
      <x:c r="J1101" s="20"/>
      <x:c r="K1101" s="20"/>
      <x:c r="L1101" s="20"/>
      <x:c r="M1101" s="20"/>
      <x:c r="N1101" s="20"/>
      <x:c r="O1101" s="20"/>
      <x:c r="P1101" s="20"/>
      <x:c r="Q1101" s="20"/>
      <x:c r="R1101" s="20"/>
      <x:c r="S1101" s="20"/>
      <x:c r="T1101" s="20"/>
      <x:c r="U1101" s="20"/>
      <x:c r="V1101" s="20"/>
      <x:c r="W1101" s="20"/>
      <x:c r="X1101" s="20"/>
      <x:c r="Y1101" s="21"/>
    </x:row>
    <x:row r="1102">
      <x:c r="A1102" s="19"/>
      <x:c r="B1102" s="27"/>
      <x:c r="C1102" s="20"/>
      <x:c r="D1102" s="28"/>
      <x:c r="E1102" s="20"/>
      <x:c r="F1102" s="25"/>
      <x:c r="G1102" s="20"/>
      <x:c r="H1102" s="20"/>
      <x:c r="I1102" s="20"/>
      <x:c r="J1102" s="20"/>
      <x:c r="K1102" s="20"/>
      <x:c r="L1102" s="20"/>
      <x:c r="M1102" s="20"/>
      <x:c r="N1102" s="20"/>
      <x:c r="O1102" s="20"/>
      <x:c r="P1102" s="20"/>
      <x:c r="Q1102" s="20"/>
      <x:c r="R1102" s="20"/>
      <x:c r="S1102" s="20"/>
      <x:c r="T1102" s="20"/>
      <x:c r="U1102" s="20"/>
      <x:c r="V1102" s="20"/>
      <x:c r="W1102" s="20"/>
      <x:c r="X1102" s="20"/>
      <x:c r="Y1102" s="21"/>
    </x:row>
    <x:row r="1103">
      <x:c r="A1103" s="19"/>
      <x:c r="B1103" s="27"/>
      <x:c r="C1103" s="20"/>
      <x:c r="D1103" s="28"/>
      <x:c r="E1103" s="20"/>
      <x:c r="F1103" s="25"/>
      <x:c r="G1103" s="20"/>
      <x:c r="H1103" s="20"/>
      <x:c r="I1103" s="20"/>
      <x:c r="J1103" s="20"/>
      <x:c r="K1103" s="20"/>
      <x:c r="L1103" s="20"/>
      <x:c r="M1103" s="20"/>
      <x:c r="N1103" s="20"/>
      <x:c r="O1103" s="20"/>
      <x:c r="P1103" s="20"/>
      <x:c r="Q1103" s="20"/>
      <x:c r="R1103" s="20"/>
      <x:c r="S1103" s="20"/>
      <x:c r="T1103" s="20"/>
      <x:c r="U1103" s="20"/>
      <x:c r="V1103" s="20"/>
      <x:c r="W1103" s="20"/>
      <x:c r="X1103" s="20"/>
      <x:c r="Y1103" s="21"/>
    </x:row>
    <x:row r="1104">
      <x:c r="A1104" s="19"/>
      <x:c r="B1104" s="27"/>
      <x:c r="C1104" s="20"/>
      <x:c r="D1104" s="28"/>
      <x:c r="E1104" s="20"/>
      <x:c r="F1104" s="25"/>
      <x:c r="G1104" s="20"/>
      <x:c r="H1104" s="20"/>
      <x:c r="I1104" s="20"/>
      <x:c r="J1104" s="20"/>
      <x:c r="K1104" s="20"/>
      <x:c r="L1104" s="20"/>
      <x:c r="M1104" s="20"/>
      <x:c r="N1104" s="20"/>
      <x:c r="O1104" s="20"/>
      <x:c r="P1104" s="20"/>
      <x:c r="Q1104" s="20"/>
      <x:c r="R1104" s="20"/>
      <x:c r="S1104" s="20"/>
      <x:c r="T1104" s="20"/>
      <x:c r="U1104" s="20"/>
      <x:c r="V1104" s="20"/>
      <x:c r="W1104" s="20"/>
      <x:c r="X1104" s="20"/>
      <x:c r="Y1104" s="21"/>
    </x:row>
    <x:row r="1105">
      <x:c r="A1105" s="19"/>
      <x:c r="B1105" s="27"/>
      <x:c r="C1105" s="20"/>
      <x:c r="D1105" s="28"/>
      <x:c r="E1105" s="20"/>
      <x:c r="F1105" s="25"/>
      <x:c r="G1105" s="20"/>
      <x:c r="H1105" s="20"/>
      <x:c r="I1105" s="20"/>
      <x:c r="J1105" s="20"/>
      <x:c r="K1105" s="20"/>
      <x:c r="L1105" s="20"/>
      <x:c r="M1105" s="20"/>
      <x:c r="N1105" s="20"/>
      <x:c r="O1105" s="20"/>
      <x:c r="P1105" s="20"/>
      <x:c r="Q1105" s="20"/>
      <x:c r="R1105" s="20"/>
      <x:c r="S1105" s="20"/>
      <x:c r="T1105" s="20"/>
      <x:c r="U1105" s="20"/>
      <x:c r="V1105" s="20"/>
      <x:c r="W1105" s="20"/>
      <x:c r="X1105" s="20"/>
      <x:c r="Y1105" s="21"/>
    </x:row>
    <x:row r="1106">
      <x:c r="A1106" s="19"/>
      <x:c r="B1106" s="27"/>
      <x:c r="C1106" s="20"/>
      <x:c r="D1106" s="28"/>
      <x:c r="E1106" s="20"/>
      <x:c r="F1106" s="25"/>
      <x:c r="G1106" s="20"/>
      <x:c r="H1106" s="20"/>
      <x:c r="I1106" s="20"/>
      <x:c r="J1106" s="20"/>
      <x:c r="K1106" s="20"/>
      <x:c r="L1106" s="20"/>
      <x:c r="M1106" s="20"/>
      <x:c r="N1106" s="20"/>
      <x:c r="O1106" s="20"/>
      <x:c r="P1106" s="20"/>
      <x:c r="Q1106" s="20"/>
      <x:c r="R1106" s="20"/>
      <x:c r="S1106" s="20"/>
      <x:c r="T1106" s="20"/>
      <x:c r="U1106" s="20"/>
      <x:c r="V1106" s="20"/>
      <x:c r="W1106" s="20"/>
      <x:c r="X1106" s="20"/>
      <x:c r="Y1106" s="21"/>
    </x:row>
    <x:row r="1107">
      <x:c r="A1107" s="19"/>
      <x:c r="B1107" s="27"/>
      <x:c r="C1107" s="20"/>
      <x:c r="D1107" s="28"/>
      <x:c r="E1107" s="20"/>
      <x:c r="F1107" s="25"/>
      <x:c r="G1107" s="20"/>
      <x:c r="H1107" s="20"/>
      <x:c r="I1107" s="20"/>
      <x:c r="J1107" s="20"/>
      <x:c r="K1107" s="20"/>
      <x:c r="L1107" s="20"/>
      <x:c r="M1107" s="20"/>
      <x:c r="N1107" s="20"/>
      <x:c r="O1107" s="20"/>
      <x:c r="P1107" s="20"/>
      <x:c r="Q1107" s="20"/>
      <x:c r="R1107" s="20"/>
      <x:c r="S1107" s="20"/>
      <x:c r="T1107" s="20"/>
      <x:c r="U1107" s="20"/>
      <x:c r="V1107" s="20"/>
      <x:c r="W1107" s="20"/>
      <x:c r="X1107" s="20"/>
      <x:c r="Y1107" s="21"/>
    </x:row>
    <x:row r="1108">
      <x:c r="A1108" s="19"/>
      <x:c r="B1108" s="27"/>
      <x:c r="C1108" s="20"/>
      <x:c r="D1108" s="28"/>
      <x:c r="E1108" s="20"/>
      <x:c r="F1108" s="25"/>
      <x:c r="G1108" s="20"/>
      <x:c r="H1108" s="20"/>
      <x:c r="I1108" s="20"/>
      <x:c r="J1108" s="20"/>
      <x:c r="K1108" s="20"/>
      <x:c r="L1108" s="20"/>
      <x:c r="M1108" s="20"/>
      <x:c r="N1108" s="20"/>
      <x:c r="O1108" s="20"/>
      <x:c r="P1108" s="20"/>
      <x:c r="Q1108" s="20"/>
      <x:c r="R1108" s="20"/>
      <x:c r="S1108" s="20"/>
      <x:c r="T1108" s="20"/>
      <x:c r="U1108" s="20"/>
      <x:c r="V1108" s="20"/>
      <x:c r="W1108" s="20"/>
      <x:c r="X1108" s="20"/>
      <x:c r="Y1108" s="21"/>
    </x:row>
    <x:row r="1109">
      <x:c r="A1109" s="19"/>
      <x:c r="B1109" s="27"/>
      <x:c r="C1109" s="20"/>
      <x:c r="D1109" s="28"/>
      <x:c r="E1109" s="20"/>
      <x:c r="F1109" s="25"/>
      <x:c r="G1109" s="20"/>
      <x:c r="H1109" s="20"/>
      <x:c r="I1109" s="20"/>
      <x:c r="J1109" s="20"/>
      <x:c r="K1109" s="20"/>
      <x:c r="L1109" s="20"/>
      <x:c r="M1109" s="20"/>
      <x:c r="N1109" s="20"/>
      <x:c r="O1109" s="20"/>
      <x:c r="P1109" s="20"/>
      <x:c r="Q1109" s="20"/>
      <x:c r="R1109" s="20"/>
      <x:c r="S1109" s="20"/>
      <x:c r="T1109" s="20"/>
      <x:c r="U1109" s="20"/>
      <x:c r="V1109" s="20"/>
      <x:c r="W1109" s="20"/>
      <x:c r="X1109" s="20"/>
      <x:c r="Y1109" s="21"/>
    </x:row>
    <x:row r="1110">
      <x:c r="A1110" s="19"/>
      <x:c r="B1110" s="27"/>
      <x:c r="C1110" s="20"/>
      <x:c r="D1110" s="28"/>
      <x:c r="E1110" s="20"/>
      <x:c r="F1110" s="25"/>
      <x:c r="G1110" s="20"/>
      <x:c r="H1110" s="20"/>
      <x:c r="I1110" s="20"/>
      <x:c r="J1110" s="20"/>
      <x:c r="K1110" s="20"/>
      <x:c r="L1110" s="20"/>
      <x:c r="M1110" s="20"/>
      <x:c r="N1110" s="20"/>
      <x:c r="O1110" s="20"/>
      <x:c r="P1110" s="20"/>
      <x:c r="Q1110" s="20"/>
      <x:c r="R1110" s="20"/>
      <x:c r="S1110" s="20"/>
      <x:c r="T1110" s="20"/>
      <x:c r="U1110" s="20"/>
      <x:c r="V1110" s="20"/>
      <x:c r="W1110" s="20"/>
      <x:c r="X1110" s="20"/>
      <x:c r="Y1110" s="21"/>
    </x:row>
    <x:row r="1111">
      <x:c r="A1111" s="19"/>
      <x:c r="B1111" s="27"/>
      <x:c r="C1111" s="20"/>
      <x:c r="D1111" s="28"/>
      <x:c r="E1111" s="20"/>
      <x:c r="F1111" s="25"/>
      <x:c r="G1111" s="20"/>
      <x:c r="H1111" s="20"/>
      <x:c r="I1111" s="20"/>
      <x:c r="J1111" s="20"/>
      <x:c r="K1111" s="20"/>
      <x:c r="L1111" s="20"/>
      <x:c r="M1111" s="20"/>
      <x:c r="N1111" s="20"/>
      <x:c r="O1111" s="20"/>
      <x:c r="P1111" s="20"/>
      <x:c r="Q1111" s="20"/>
      <x:c r="R1111" s="20"/>
      <x:c r="S1111" s="20"/>
      <x:c r="T1111" s="20"/>
      <x:c r="U1111" s="20"/>
      <x:c r="V1111" s="20"/>
      <x:c r="W1111" s="20"/>
      <x:c r="X1111" s="20"/>
      <x:c r="Y1111" s="21"/>
    </x:row>
    <x:row r="1112">
      <x:c r="A1112" s="19"/>
      <x:c r="B1112" s="27"/>
      <x:c r="C1112" s="20"/>
      <x:c r="D1112" s="28"/>
      <x:c r="E1112" s="20"/>
      <x:c r="F1112" s="25"/>
      <x:c r="G1112" s="20"/>
      <x:c r="H1112" s="20"/>
      <x:c r="I1112" s="20"/>
      <x:c r="J1112" s="20"/>
      <x:c r="K1112" s="20"/>
      <x:c r="L1112" s="20"/>
      <x:c r="M1112" s="20"/>
      <x:c r="N1112" s="20"/>
      <x:c r="O1112" s="20"/>
      <x:c r="P1112" s="20"/>
      <x:c r="Q1112" s="20"/>
      <x:c r="R1112" s="20"/>
      <x:c r="S1112" s="20"/>
      <x:c r="T1112" s="20"/>
      <x:c r="U1112" s="20"/>
      <x:c r="V1112" s="20"/>
      <x:c r="W1112" s="20"/>
      <x:c r="X1112" s="20"/>
      <x:c r="Y1112" s="21"/>
    </x:row>
    <x:row r="1113">
      <x:c r="A1113" s="19"/>
      <x:c r="B1113" s="27"/>
      <x:c r="C1113" s="20"/>
      <x:c r="D1113" s="28"/>
      <x:c r="E1113" s="20"/>
      <x:c r="F1113" s="25"/>
      <x:c r="G1113" s="20"/>
      <x:c r="H1113" s="20"/>
      <x:c r="I1113" s="20"/>
      <x:c r="J1113" s="20"/>
      <x:c r="K1113" s="20"/>
      <x:c r="L1113" s="20"/>
      <x:c r="M1113" s="20"/>
      <x:c r="N1113" s="20"/>
      <x:c r="O1113" s="20"/>
      <x:c r="P1113" s="20"/>
      <x:c r="Q1113" s="20"/>
      <x:c r="R1113" s="20"/>
      <x:c r="S1113" s="20"/>
      <x:c r="T1113" s="20"/>
      <x:c r="U1113" s="20"/>
      <x:c r="V1113" s="20"/>
      <x:c r="W1113" s="20"/>
      <x:c r="X1113" s="20"/>
      <x:c r="Y1113" s="21"/>
    </x:row>
    <x:row r="1114">
      <x:c r="A1114" s="19"/>
      <x:c r="B1114" s="27"/>
      <x:c r="C1114" s="20"/>
      <x:c r="D1114" s="28"/>
      <x:c r="E1114" s="20"/>
      <x:c r="F1114" s="25"/>
      <x:c r="G1114" s="20"/>
      <x:c r="H1114" s="20"/>
      <x:c r="I1114" s="20"/>
      <x:c r="J1114" s="20"/>
      <x:c r="K1114" s="20"/>
      <x:c r="L1114" s="20"/>
      <x:c r="M1114" s="20"/>
      <x:c r="N1114" s="20"/>
      <x:c r="O1114" s="20"/>
      <x:c r="P1114" s="20"/>
      <x:c r="Q1114" s="20"/>
      <x:c r="R1114" s="20"/>
      <x:c r="S1114" s="20"/>
      <x:c r="T1114" s="20"/>
      <x:c r="U1114" s="20"/>
      <x:c r="V1114" s="20"/>
      <x:c r="W1114" s="20"/>
      <x:c r="X1114" s="20"/>
      <x:c r="Y1114" s="21"/>
    </x:row>
    <x:row r="1115">
      <x:c r="A1115" s="19"/>
      <x:c r="B1115" s="27"/>
      <x:c r="C1115" s="20"/>
      <x:c r="D1115" s="28"/>
      <x:c r="E1115" s="20"/>
      <x:c r="F1115" s="25"/>
      <x:c r="G1115" s="20"/>
      <x:c r="H1115" s="20"/>
      <x:c r="I1115" s="20"/>
      <x:c r="J1115" s="20"/>
      <x:c r="K1115" s="20"/>
      <x:c r="L1115" s="20"/>
      <x:c r="M1115" s="20"/>
      <x:c r="N1115" s="20"/>
      <x:c r="O1115" s="20"/>
      <x:c r="P1115" s="20"/>
      <x:c r="Q1115" s="20"/>
      <x:c r="R1115" s="20"/>
      <x:c r="S1115" s="20"/>
      <x:c r="T1115" s="20"/>
      <x:c r="U1115" s="20"/>
      <x:c r="V1115" s="20"/>
      <x:c r="W1115" s="20"/>
      <x:c r="X1115" s="20"/>
      <x:c r="Y1115" s="21"/>
    </x:row>
    <x:row r="1116">
      <x:c r="A1116" s="19"/>
      <x:c r="B1116" s="27"/>
      <x:c r="C1116" s="20"/>
      <x:c r="D1116" s="28"/>
      <x:c r="E1116" s="20"/>
      <x:c r="F1116" s="25"/>
      <x:c r="G1116" s="20"/>
      <x:c r="H1116" s="20"/>
      <x:c r="I1116" s="20"/>
      <x:c r="J1116" s="20"/>
      <x:c r="K1116" s="20"/>
      <x:c r="L1116" s="20"/>
      <x:c r="M1116" s="20"/>
      <x:c r="N1116" s="20"/>
      <x:c r="O1116" s="20"/>
      <x:c r="P1116" s="20"/>
      <x:c r="Q1116" s="20"/>
      <x:c r="R1116" s="20"/>
      <x:c r="S1116" s="20"/>
      <x:c r="T1116" s="20"/>
      <x:c r="U1116" s="20"/>
      <x:c r="V1116" s="20"/>
      <x:c r="W1116" s="20"/>
      <x:c r="X1116" s="20"/>
      <x:c r="Y1116" s="21"/>
    </x:row>
    <x:row r="1117">
      <x:c r="A1117" s="19"/>
      <x:c r="B1117" s="27"/>
      <x:c r="C1117" s="20"/>
      <x:c r="D1117" s="28"/>
      <x:c r="E1117" s="20"/>
      <x:c r="F1117" s="25"/>
      <x:c r="G1117" s="20"/>
      <x:c r="H1117" s="20"/>
      <x:c r="I1117" s="20"/>
      <x:c r="J1117" s="20"/>
      <x:c r="K1117" s="20"/>
      <x:c r="L1117" s="20"/>
      <x:c r="M1117" s="20"/>
      <x:c r="N1117" s="20"/>
      <x:c r="O1117" s="20"/>
      <x:c r="P1117" s="20"/>
      <x:c r="Q1117" s="20"/>
      <x:c r="R1117" s="20"/>
      <x:c r="S1117" s="20"/>
      <x:c r="T1117" s="20"/>
      <x:c r="U1117" s="20"/>
      <x:c r="V1117" s="20"/>
      <x:c r="W1117" s="20"/>
      <x:c r="X1117" s="20"/>
      <x:c r="Y1117" s="21"/>
    </x:row>
    <x:row r="1118">
      <x:c r="A1118" s="19"/>
      <x:c r="B1118" s="27"/>
      <x:c r="C1118" s="20"/>
      <x:c r="D1118" s="28"/>
      <x:c r="E1118" s="20"/>
      <x:c r="F1118" s="25"/>
      <x:c r="G1118" s="20"/>
      <x:c r="H1118" s="20"/>
      <x:c r="I1118" s="20"/>
      <x:c r="J1118" s="20"/>
      <x:c r="K1118" s="20"/>
      <x:c r="L1118" s="20"/>
      <x:c r="M1118" s="20"/>
      <x:c r="N1118" s="20"/>
      <x:c r="O1118" s="20"/>
      <x:c r="P1118" s="20"/>
      <x:c r="Q1118" s="20"/>
      <x:c r="R1118" s="20"/>
      <x:c r="S1118" s="20"/>
      <x:c r="T1118" s="20"/>
      <x:c r="U1118" s="20"/>
      <x:c r="V1118" s="20"/>
      <x:c r="W1118" s="20"/>
      <x:c r="X1118" s="20"/>
      <x:c r="Y1118" s="21"/>
    </x:row>
    <x:row r="1119">
      <x:c r="A1119" s="19"/>
      <x:c r="B1119" s="27"/>
      <x:c r="C1119" s="20"/>
      <x:c r="D1119" s="28"/>
      <x:c r="E1119" s="20"/>
      <x:c r="F1119" s="25"/>
      <x:c r="G1119" s="20"/>
      <x:c r="H1119" s="20"/>
      <x:c r="I1119" s="20"/>
      <x:c r="J1119" s="20"/>
      <x:c r="K1119" s="20"/>
      <x:c r="L1119" s="20"/>
      <x:c r="M1119" s="20"/>
      <x:c r="N1119" s="20"/>
      <x:c r="O1119" s="20"/>
      <x:c r="P1119" s="20"/>
      <x:c r="Q1119" s="20"/>
      <x:c r="R1119" s="20"/>
      <x:c r="S1119" s="20"/>
      <x:c r="T1119" s="20"/>
      <x:c r="U1119" s="20"/>
      <x:c r="V1119" s="20"/>
      <x:c r="W1119" s="20"/>
      <x:c r="X1119" s="20"/>
      <x:c r="Y1119" s="21"/>
    </x:row>
    <x:row r="1120">
      <x:c r="A1120" s="19"/>
      <x:c r="B1120" s="27"/>
      <x:c r="C1120" s="20"/>
      <x:c r="D1120" s="28"/>
      <x:c r="E1120" s="20"/>
      <x:c r="F1120" s="25"/>
      <x:c r="G1120" s="20"/>
      <x:c r="H1120" s="20"/>
      <x:c r="I1120" s="20"/>
      <x:c r="J1120" s="20"/>
      <x:c r="K1120" s="20"/>
      <x:c r="L1120" s="20"/>
      <x:c r="M1120" s="20"/>
      <x:c r="N1120" s="20"/>
      <x:c r="O1120" s="20"/>
      <x:c r="P1120" s="20"/>
      <x:c r="Q1120" s="20"/>
      <x:c r="R1120" s="20"/>
      <x:c r="S1120" s="20"/>
      <x:c r="T1120" s="20"/>
      <x:c r="U1120" s="20"/>
      <x:c r="V1120" s="20"/>
      <x:c r="W1120" s="20"/>
      <x:c r="X1120" s="20"/>
      <x:c r="Y1120" s="21"/>
    </x:row>
    <x:row r="1121">
      <x:c r="A1121" s="19"/>
      <x:c r="B1121" s="27"/>
      <x:c r="C1121" s="20"/>
      <x:c r="D1121" s="28"/>
      <x:c r="E1121" s="20"/>
      <x:c r="F1121" s="25"/>
      <x:c r="G1121" s="20"/>
      <x:c r="H1121" s="20"/>
      <x:c r="I1121" s="20"/>
      <x:c r="J1121" s="20"/>
      <x:c r="K1121" s="20"/>
      <x:c r="L1121" s="20"/>
      <x:c r="M1121" s="20"/>
      <x:c r="N1121" s="20"/>
      <x:c r="O1121" s="20"/>
      <x:c r="P1121" s="20"/>
      <x:c r="Q1121" s="20"/>
      <x:c r="R1121" s="20"/>
      <x:c r="S1121" s="20"/>
      <x:c r="T1121" s="20"/>
      <x:c r="U1121" s="20"/>
      <x:c r="V1121" s="20"/>
      <x:c r="W1121" s="20"/>
      <x:c r="X1121" s="20"/>
      <x:c r="Y1121" s="21"/>
    </x:row>
    <x:row r="1122">
      <x:c r="A1122" s="19"/>
      <x:c r="B1122" s="27"/>
      <x:c r="C1122" s="20"/>
      <x:c r="D1122" s="28"/>
      <x:c r="E1122" s="20"/>
      <x:c r="F1122" s="25"/>
      <x:c r="G1122" s="20"/>
      <x:c r="H1122" s="20"/>
      <x:c r="I1122" s="20"/>
      <x:c r="J1122" s="20"/>
      <x:c r="K1122" s="20"/>
      <x:c r="L1122" s="20"/>
      <x:c r="M1122" s="20"/>
      <x:c r="N1122" s="20"/>
      <x:c r="O1122" s="20"/>
      <x:c r="P1122" s="20"/>
      <x:c r="Q1122" s="20"/>
      <x:c r="R1122" s="20"/>
      <x:c r="S1122" s="20"/>
      <x:c r="T1122" s="20"/>
      <x:c r="U1122" s="20"/>
      <x:c r="V1122" s="20"/>
      <x:c r="W1122" s="20"/>
      <x:c r="X1122" s="20"/>
      <x:c r="Y1122" s="21"/>
    </x:row>
    <x:row r="1123">
      <x:c r="A1123" s="19"/>
      <x:c r="B1123" s="27"/>
      <x:c r="C1123" s="20"/>
      <x:c r="D1123" s="28"/>
      <x:c r="E1123" s="20"/>
      <x:c r="F1123" s="25"/>
      <x:c r="G1123" s="20"/>
      <x:c r="H1123" s="20"/>
      <x:c r="I1123" s="20"/>
      <x:c r="J1123" s="20"/>
      <x:c r="K1123" s="20"/>
      <x:c r="L1123" s="20"/>
      <x:c r="M1123" s="20"/>
      <x:c r="N1123" s="20"/>
      <x:c r="O1123" s="20"/>
      <x:c r="P1123" s="20"/>
      <x:c r="Q1123" s="20"/>
      <x:c r="R1123" s="20"/>
      <x:c r="S1123" s="20"/>
      <x:c r="T1123" s="20"/>
      <x:c r="U1123" s="20"/>
      <x:c r="V1123" s="20"/>
      <x:c r="W1123" s="20"/>
      <x:c r="X1123" s="20"/>
      <x:c r="Y1123" s="21"/>
    </x:row>
    <x:row r="1124">
      <x:c r="A1124" s="19"/>
      <x:c r="B1124" s="27"/>
      <x:c r="C1124" s="20"/>
      <x:c r="D1124" s="28"/>
      <x:c r="E1124" s="20"/>
      <x:c r="F1124" s="25"/>
      <x:c r="G1124" s="20"/>
      <x:c r="H1124" s="20"/>
      <x:c r="I1124" s="20"/>
      <x:c r="J1124" s="20"/>
      <x:c r="K1124" s="20"/>
      <x:c r="L1124" s="20"/>
      <x:c r="M1124" s="20"/>
      <x:c r="N1124" s="20"/>
      <x:c r="O1124" s="20"/>
      <x:c r="P1124" s="20"/>
      <x:c r="Q1124" s="20"/>
      <x:c r="R1124" s="20"/>
      <x:c r="S1124" s="20"/>
      <x:c r="T1124" s="20"/>
      <x:c r="U1124" s="20"/>
      <x:c r="V1124" s="20"/>
      <x:c r="W1124" s="20"/>
      <x:c r="X1124" s="20"/>
      <x:c r="Y1124" s="21"/>
    </x:row>
    <x:row r="1125">
      <x:c r="A1125" s="19"/>
      <x:c r="B1125" s="27"/>
      <x:c r="C1125" s="20"/>
      <x:c r="D1125" s="28"/>
      <x:c r="E1125" s="20"/>
      <x:c r="F1125" s="25"/>
      <x:c r="G1125" s="20"/>
      <x:c r="H1125" s="20"/>
      <x:c r="I1125" s="20"/>
      <x:c r="J1125" s="20"/>
      <x:c r="K1125" s="20"/>
      <x:c r="L1125" s="20"/>
      <x:c r="M1125" s="20"/>
      <x:c r="N1125" s="20"/>
      <x:c r="O1125" s="20"/>
      <x:c r="P1125" s="20"/>
      <x:c r="Q1125" s="20"/>
      <x:c r="R1125" s="20"/>
      <x:c r="S1125" s="20"/>
      <x:c r="T1125" s="20"/>
      <x:c r="U1125" s="20"/>
      <x:c r="V1125" s="20"/>
      <x:c r="W1125" s="20"/>
      <x:c r="X1125" s="20"/>
      <x:c r="Y1125" s="21"/>
    </x:row>
    <x:row r="1126">
      <x:c r="A1126" s="19"/>
      <x:c r="B1126" s="27"/>
      <x:c r="C1126" s="20"/>
      <x:c r="D1126" s="28"/>
      <x:c r="E1126" s="20"/>
      <x:c r="F1126" s="25"/>
      <x:c r="G1126" s="20"/>
      <x:c r="H1126" s="20"/>
      <x:c r="I1126" s="20"/>
      <x:c r="J1126" s="20"/>
      <x:c r="K1126" s="20"/>
      <x:c r="L1126" s="20"/>
      <x:c r="M1126" s="20"/>
      <x:c r="N1126" s="20"/>
      <x:c r="O1126" s="20"/>
      <x:c r="P1126" s="20"/>
      <x:c r="Q1126" s="20"/>
      <x:c r="R1126" s="20"/>
      <x:c r="S1126" s="20"/>
      <x:c r="T1126" s="20"/>
      <x:c r="U1126" s="20"/>
      <x:c r="V1126" s="20"/>
      <x:c r="W1126" s="20"/>
      <x:c r="X1126" s="20"/>
      <x:c r="Y1126" s="21"/>
    </x:row>
    <x:row r="1127">
      <x:c r="A1127" s="19"/>
      <x:c r="B1127" s="27"/>
      <x:c r="C1127" s="20"/>
      <x:c r="D1127" s="28"/>
      <x:c r="E1127" s="20"/>
      <x:c r="F1127" s="25"/>
      <x:c r="G1127" s="20"/>
      <x:c r="H1127" s="20"/>
      <x:c r="I1127" s="20"/>
      <x:c r="J1127" s="20"/>
      <x:c r="K1127" s="20"/>
      <x:c r="L1127" s="20"/>
      <x:c r="M1127" s="20"/>
      <x:c r="N1127" s="20"/>
      <x:c r="O1127" s="20"/>
      <x:c r="P1127" s="20"/>
      <x:c r="Q1127" s="20"/>
      <x:c r="R1127" s="20"/>
      <x:c r="S1127" s="20"/>
      <x:c r="T1127" s="20"/>
      <x:c r="U1127" s="20"/>
      <x:c r="V1127" s="20"/>
      <x:c r="W1127" s="20"/>
      <x:c r="X1127" s="20"/>
      <x:c r="Y1127" s="21"/>
    </x:row>
    <x:row r="1128">
      <x:c r="A1128" s="19"/>
      <x:c r="B1128" s="27"/>
      <x:c r="C1128" s="20"/>
      <x:c r="D1128" s="28"/>
      <x:c r="E1128" s="20"/>
      <x:c r="F1128" s="25"/>
      <x:c r="G1128" s="20"/>
      <x:c r="H1128" s="20"/>
      <x:c r="I1128" s="20"/>
      <x:c r="J1128" s="20"/>
      <x:c r="K1128" s="20"/>
      <x:c r="L1128" s="20"/>
      <x:c r="M1128" s="20"/>
      <x:c r="N1128" s="20"/>
      <x:c r="O1128" s="20"/>
      <x:c r="P1128" s="20"/>
      <x:c r="Q1128" s="20"/>
      <x:c r="R1128" s="20"/>
      <x:c r="S1128" s="20"/>
      <x:c r="T1128" s="20"/>
      <x:c r="U1128" s="20"/>
      <x:c r="V1128" s="20"/>
      <x:c r="W1128" s="20"/>
      <x:c r="X1128" s="20"/>
      <x:c r="Y1128" s="21"/>
    </x:row>
    <x:row r="1129">
      <x:c r="A1129" s="19"/>
      <x:c r="B1129" s="27"/>
      <x:c r="C1129" s="20"/>
      <x:c r="D1129" s="28"/>
      <x:c r="E1129" s="20"/>
      <x:c r="F1129" s="25"/>
      <x:c r="G1129" s="20"/>
      <x:c r="H1129" s="20"/>
      <x:c r="I1129" s="20"/>
      <x:c r="J1129" s="20"/>
      <x:c r="K1129" s="20"/>
      <x:c r="L1129" s="20"/>
      <x:c r="M1129" s="20"/>
      <x:c r="N1129" s="20"/>
      <x:c r="O1129" s="20"/>
      <x:c r="P1129" s="20"/>
      <x:c r="Q1129" s="20"/>
      <x:c r="R1129" s="20"/>
      <x:c r="S1129" s="20"/>
      <x:c r="T1129" s="20"/>
      <x:c r="U1129" s="20"/>
      <x:c r="V1129" s="20"/>
      <x:c r="W1129" s="20"/>
      <x:c r="X1129" s="20"/>
      <x:c r="Y1129" s="21"/>
    </x:row>
    <x:row r="1130">
      <x:c r="A1130" s="19"/>
      <x:c r="B1130" s="27"/>
      <x:c r="C1130" s="20"/>
      <x:c r="D1130" s="28"/>
      <x:c r="E1130" s="20"/>
      <x:c r="F1130" s="25"/>
      <x:c r="G1130" s="20"/>
      <x:c r="H1130" s="20"/>
      <x:c r="I1130" s="20"/>
      <x:c r="J1130" s="20"/>
      <x:c r="K1130" s="20"/>
      <x:c r="L1130" s="20"/>
      <x:c r="M1130" s="20"/>
      <x:c r="N1130" s="20"/>
      <x:c r="O1130" s="20"/>
      <x:c r="P1130" s="20"/>
      <x:c r="Q1130" s="20"/>
      <x:c r="R1130" s="20"/>
      <x:c r="S1130" s="20"/>
      <x:c r="T1130" s="20"/>
      <x:c r="U1130" s="20"/>
      <x:c r="V1130" s="20"/>
      <x:c r="W1130" s="20"/>
      <x:c r="X1130" s="20"/>
      <x:c r="Y1130" s="21"/>
    </x:row>
    <x:row r="1131">
      <x:c r="A1131" s="19"/>
      <x:c r="B1131" s="27"/>
      <x:c r="C1131" s="20"/>
      <x:c r="D1131" s="28"/>
      <x:c r="E1131" s="20"/>
      <x:c r="F1131" s="25"/>
      <x:c r="G1131" s="20"/>
      <x:c r="H1131" s="20"/>
      <x:c r="I1131" s="20"/>
      <x:c r="J1131" s="20"/>
      <x:c r="K1131" s="20"/>
      <x:c r="L1131" s="20"/>
      <x:c r="M1131" s="20"/>
      <x:c r="N1131" s="20"/>
      <x:c r="O1131" s="20"/>
      <x:c r="P1131" s="20"/>
      <x:c r="Q1131" s="20"/>
      <x:c r="R1131" s="20"/>
      <x:c r="S1131" s="20"/>
      <x:c r="T1131" s="20"/>
      <x:c r="U1131" s="20"/>
      <x:c r="V1131" s="20"/>
      <x:c r="W1131" s="20"/>
      <x:c r="X1131" s="20"/>
      <x:c r="Y1131" s="21"/>
    </x:row>
    <x:row r="1132">
      <x:c r="A1132" s="19"/>
      <x:c r="B1132" s="27"/>
      <x:c r="C1132" s="20"/>
      <x:c r="D1132" s="28"/>
      <x:c r="E1132" s="20"/>
      <x:c r="F1132" s="25"/>
      <x:c r="G1132" s="20"/>
      <x:c r="H1132" s="20"/>
      <x:c r="I1132" s="20"/>
      <x:c r="J1132" s="20"/>
      <x:c r="K1132" s="20"/>
      <x:c r="L1132" s="20"/>
      <x:c r="M1132" s="20"/>
      <x:c r="N1132" s="20"/>
      <x:c r="O1132" s="20"/>
      <x:c r="P1132" s="20"/>
      <x:c r="Q1132" s="20"/>
      <x:c r="R1132" s="20"/>
      <x:c r="S1132" s="20"/>
      <x:c r="T1132" s="20"/>
      <x:c r="U1132" s="20"/>
      <x:c r="V1132" s="20"/>
      <x:c r="W1132" s="20"/>
      <x:c r="X1132" s="20"/>
      <x:c r="Y1132" s="21"/>
    </x:row>
    <x:row r="1133">
      <x:c r="A1133" s="19"/>
      <x:c r="B1133" s="27"/>
      <x:c r="C1133" s="20"/>
      <x:c r="D1133" s="28"/>
      <x:c r="E1133" s="20"/>
      <x:c r="F1133" s="25"/>
      <x:c r="G1133" s="20"/>
      <x:c r="H1133" s="20"/>
      <x:c r="I1133" s="20"/>
      <x:c r="J1133" s="20"/>
      <x:c r="K1133" s="20"/>
      <x:c r="L1133" s="20"/>
      <x:c r="M1133" s="20"/>
      <x:c r="N1133" s="20"/>
      <x:c r="O1133" s="20"/>
      <x:c r="P1133" s="20"/>
      <x:c r="Q1133" s="20"/>
      <x:c r="R1133" s="20"/>
      <x:c r="S1133" s="20"/>
      <x:c r="T1133" s="20"/>
      <x:c r="U1133" s="20"/>
      <x:c r="V1133" s="20"/>
      <x:c r="W1133" s="20"/>
      <x:c r="X1133" s="20"/>
      <x:c r="Y1133" s="21"/>
    </x:row>
    <x:row r="1134">
      <x:c r="A1134" s="19"/>
      <x:c r="B1134" s="27"/>
      <x:c r="C1134" s="20"/>
      <x:c r="D1134" s="28"/>
      <x:c r="E1134" s="20"/>
      <x:c r="F1134" s="25"/>
      <x:c r="G1134" s="20"/>
      <x:c r="H1134" s="20"/>
      <x:c r="I1134" s="20"/>
      <x:c r="J1134" s="20"/>
      <x:c r="K1134" s="20"/>
      <x:c r="L1134" s="20"/>
      <x:c r="M1134" s="20"/>
      <x:c r="N1134" s="20"/>
      <x:c r="O1134" s="20"/>
      <x:c r="P1134" s="20"/>
      <x:c r="Q1134" s="20"/>
      <x:c r="R1134" s="20"/>
      <x:c r="S1134" s="20"/>
      <x:c r="T1134" s="20"/>
      <x:c r="U1134" s="20"/>
      <x:c r="V1134" s="20"/>
      <x:c r="W1134" s="20"/>
      <x:c r="X1134" s="20"/>
      <x:c r="Y1134" s="21"/>
    </x:row>
    <x:row r="1135">
      <x:c r="A1135" s="19"/>
      <x:c r="B1135" s="27"/>
      <x:c r="C1135" s="20"/>
      <x:c r="D1135" s="28"/>
      <x:c r="E1135" s="20"/>
      <x:c r="F1135" s="25"/>
      <x:c r="G1135" s="20"/>
      <x:c r="H1135" s="20"/>
      <x:c r="I1135" s="20"/>
      <x:c r="J1135" s="20"/>
      <x:c r="K1135" s="20"/>
      <x:c r="L1135" s="20"/>
      <x:c r="M1135" s="20"/>
      <x:c r="N1135" s="20"/>
      <x:c r="O1135" s="20"/>
      <x:c r="P1135" s="20"/>
      <x:c r="Q1135" s="20"/>
      <x:c r="R1135" s="20"/>
      <x:c r="S1135" s="20"/>
      <x:c r="T1135" s="20"/>
      <x:c r="U1135" s="20"/>
      <x:c r="V1135" s="20"/>
      <x:c r="W1135" s="20"/>
      <x:c r="X1135" s="20"/>
      <x:c r="Y1135" s="21"/>
    </x:row>
    <x:row r="1136">
      <x:c r="A1136" s="19"/>
      <x:c r="B1136" s="27"/>
      <x:c r="C1136" s="20"/>
      <x:c r="D1136" s="28"/>
      <x:c r="E1136" s="20"/>
      <x:c r="F1136" s="25"/>
      <x:c r="G1136" s="20"/>
      <x:c r="H1136" s="20"/>
      <x:c r="I1136" s="20"/>
      <x:c r="J1136" s="20"/>
      <x:c r="K1136" s="20"/>
      <x:c r="L1136" s="20"/>
      <x:c r="M1136" s="20"/>
      <x:c r="N1136" s="20"/>
      <x:c r="O1136" s="20"/>
      <x:c r="P1136" s="20"/>
      <x:c r="Q1136" s="20"/>
      <x:c r="R1136" s="20"/>
      <x:c r="S1136" s="20"/>
      <x:c r="T1136" s="20"/>
      <x:c r="U1136" s="20"/>
      <x:c r="V1136" s="20"/>
      <x:c r="W1136" s="20"/>
      <x:c r="X1136" s="20"/>
      <x:c r="Y1136" s="21"/>
    </x:row>
    <x:row r="1137">
      <x:c r="A1137" s="19"/>
      <x:c r="B1137" s="27"/>
      <x:c r="C1137" s="20"/>
      <x:c r="D1137" s="28"/>
      <x:c r="E1137" s="20"/>
      <x:c r="F1137" s="25"/>
      <x:c r="G1137" s="20"/>
      <x:c r="H1137" s="20"/>
      <x:c r="I1137" s="20"/>
      <x:c r="J1137" s="20"/>
      <x:c r="K1137" s="20"/>
      <x:c r="L1137" s="20"/>
      <x:c r="M1137" s="20"/>
      <x:c r="N1137" s="20"/>
      <x:c r="O1137" s="20"/>
      <x:c r="P1137" s="20"/>
      <x:c r="Q1137" s="20"/>
      <x:c r="R1137" s="20"/>
      <x:c r="S1137" s="20"/>
      <x:c r="T1137" s="20"/>
      <x:c r="U1137" s="20"/>
      <x:c r="V1137" s="20"/>
      <x:c r="W1137" s="20"/>
      <x:c r="X1137" s="20"/>
      <x:c r="Y1137" s="21"/>
    </x:row>
    <x:row r="1138">
      <x:c r="A1138" s="19"/>
      <x:c r="B1138" s="27"/>
      <x:c r="C1138" s="20"/>
      <x:c r="D1138" s="28"/>
      <x:c r="E1138" s="20"/>
      <x:c r="F1138" s="25"/>
      <x:c r="G1138" s="20"/>
      <x:c r="H1138" s="20"/>
      <x:c r="I1138" s="20"/>
      <x:c r="J1138" s="20"/>
      <x:c r="K1138" s="20"/>
      <x:c r="L1138" s="20"/>
      <x:c r="M1138" s="20"/>
      <x:c r="N1138" s="20"/>
      <x:c r="O1138" s="20"/>
      <x:c r="P1138" s="20"/>
      <x:c r="Q1138" s="20"/>
      <x:c r="R1138" s="20"/>
      <x:c r="S1138" s="20"/>
      <x:c r="T1138" s="20"/>
      <x:c r="U1138" s="20"/>
      <x:c r="V1138" s="20"/>
      <x:c r="W1138" s="20"/>
      <x:c r="X1138" s="20"/>
      <x:c r="Y1138" s="21"/>
    </x:row>
    <x:row r="1139">
      <x:c r="A1139" s="19"/>
      <x:c r="B1139" s="27"/>
      <x:c r="C1139" s="20"/>
      <x:c r="D1139" s="28"/>
      <x:c r="E1139" s="20"/>
      <x:c r="F1139" s="25"/>
      <x:c r="G1139" s="20"/>
      <x:c r="H1139" s="20"/>
      <x:c r="I1139" s="20"/>
      <x:c r="J1139" s="20"/>
      <x:c r="K1139" s="20"/>
      <x:c r="L1139" s="20"/>
      <x:c r="M1139" s="20"/>
      <x:c r="N1139" s="20"/>
      <x:c r="O1139" s="20"/>
      <x:c r="P1139" s="20"/>
      <x:c r="Q1139" s="20"/>
      <x:c r="R1139" s="20"/>
      <x:c r="S1139" s="20"/>
      <x:c r="T1139" s="20"/>
      <x:c r="U1139" s="20"/>
      <x:c r="V1139" s="20"/>
      <x:c r="W1139" s="20"/>
      <x:c r="X1139" s="20"/>
      <x:c r="Y1139" s="21"/>
    </x:row>
    <x:row r="1140">
      <x:c r="A1140" s="19"/>
      <x:c r="B1140" s="27"/>
      <x:c r="C1140" s="20"/>
      <x:c r="D1140" s="28"/>
      <x:c r="E1140" s="20"/>
      <x:c r="F1140" s="25"/>
      <x:c r="G1140" s="20"/>
      <x:c r="H1140" s="20"/>
      <x:c r="I1140" s="20"/>
      <x:c r="J1140" s="20"/>
      <x:c r="K1140" s="20"/>
      <x:c r="L1140" s="20"/>
      <x:c r="M1140" s="20"/>
      <x:c r="N1140" s="20"/>
      <x:c r="O1140" s="20"/>
      <x:c r="P1140" s="20"/>
      <x:c r="Q1140" s="20"/>
      <x:c r="R1140" s="20"/>
      <x:c r="S1140" s="20"/>
      <x:c r="T1140" s="20"/>
      <x:c r="U1140" s="20"/>
      <x:c r="V1140" s="20"/>
      <x:c r="W1140" s="20"/>
      <x:c r="X1140" s="20"/>
      <x:c r="Y1140" s="21"/>
    </x:row>
    <x:row r="1141">
      <x:c r="A1141" s="19"/>
      <x:c r="B1141" s="27"/>
      <x:c r="C1141" s="20"/>
      <x:c r="D1141" s="28"/>
      <x:c r="E1141" s="20"/>
      <x:c r="F1141" s="25"/>
      <x:c r="G1141" s="20"/>
      <x:c r="H1141" s="20"/>
      <x:c r="I1141" s="20"/>
      <x:c r="J1141" s="20"/>
      <x:c r="K1141" s="20"/>
      <x:c r="L1141" s="20"/>
      <x:c r="M1141" s="20"/>
      <x:c r="N1141" s="20"/>
      <x:c r="O1141" s="20"/>
      <x:c r="P1141" s="20"/>
      <x:c r="Q1141" s="20"/>
      <x:c r="R1141" s="20"/>
      <x:c r="S1141" s="20"/>
      <x:c r="T1141" s="20"/>
      <x:c r="U1141" s="20"/>
      <x:c r="V1141" s="20"/>
      <x:c r="W1141" s="20"/>
      <x:c r="X1141" s="20"/>
      <x:c r="Y1141" s="21"/>
    </x:row>
    <x:row r="1142">
      <x:c r="A1142" s="19"/>
      <x:c r="B1142" s="27"/>
      <x:c r="C1142" s="20"/>
      <x:c r="D1142" s="28"/>
      <x:c r="E1142" s="20"/>
      <x:c r="F1142" s="25"/>
      <x:c r="G1142" s="20"/>
      <x:c r="H1142" s="20"/>
      <x:c r="I1142" s="20"/>
      <x:c r="J1142" s="20"/>
      <x:c r="K1142" s="20"/>
      <x:c r="L1142" s="20"/>
      <x:c r="M1142" s="20"/>
      <x:c r="N1142" s="20"/>
      <x:c r="O1142" s="20"/>
      <x:c r="P1142" s="20"/>
      <x:c r="Q1142" s="20"/>
      <x:c r="R1142" s="20"/>
      <x:c r="S1142" s="20"/>
      <x:c r="T1142" s="20"/>
      <x:c r="U1142" s="20"/>
      <x:c r="V1142" s="20"/>
      <x:c r="W1142" s="20"/>
      <x:c r="X1142" s="20"/>
      <x:c r="Y1142" s="21"/>
    </x:row>
    <x:row r="1143">
      <x:c r="A1143" s="19"/>
      <x:c r="B1143" s="27"/>
      <x:c r="C1143" s="20"/>
      <x:c r="D1143" s="28"/>
      <x:c r="E1143" s="20"/>
      <x:c r="F1143" s="25"/>
      <x:c r="G1143" s="20"/>
      <x:c r="H1143" s="20"/>
      <x:c r="I1143" s="20"/>
      <x:c r="J1143" s="20"/>
      <x:c r="K1143" s="20"/>
      <x:c r="L1143" s="20"/>
      <x:c r="M1143" s="20"/>
      <x:c r="N1143" s="20"/>
      <x:c r="O1143" s="20"/>
      <x:c r="P1143" s="20"/>
      <x:c r="Q1143" s="20"/>
      <x:c r="R1143" s="20"/>
      <x:c r="S1143" s="20"/>
      <x:c r="T1143" s="20"/>
      <x:c r="U1143" s="20"/>
      <x:c r="V1143" s="20"/>
      <x:c r="W1143" s="20"/>
      <x:c r="X1143" s="20"/>
      <x:c r="Y1143" s="21"/>
    </x:row>
    <x:row r="1144">
      <x:c r="A1144" s="19"/>
      <x:c r="B1144" s="27"/>
      <x:c r="C1144" s="20"/>
      <x:c r="D1144" s="28"/>
      <x:c r="E1144" s="20"/>
      <x:c r="F1144" s="25"/>
      <x:c r="G1144" s="20"/>
      <x:c r="H1144" s="20"/>
      <x:c r="I1144" s="20"/>
      <x:c r="J1144" s="20"/>
      <x:c r="K1144" s="20"/>
      <x:c r="L1144" s="20"/>
      <x:c r="M1144" s="20"/>
      <x:c r="N1144" s="20"/>
      <x:c r="O1144" s="20"/>
      <x:c r="P1144" s="20"/>
      <x:c r="Q1144" s="20"/>
      <x:c r="R1144" s="20"/>
      <x:c r="S1144" s="20"/>
      <x:c r="T1144" s="20"/>
      <x:c r="U1144" s="20"/>
      <x:c r="V1144" s="20"/>
      <x:c r="W1144" s="20"/>
      <x:c r="X1144" s="20"/>
      <x:c r="Y1144" s="21"/>
    </x:row>
    <x:row r="1145">
      <x:c r="A1145" s="19"/>
      <x:c r="B1145" s="27"/>
      <x:c r="C1145" s="20"/>
      <x:c r="D1145" s="28"/>
      <x:c r="E1145" s="20"/>
      <x:c r="F1145" s="25"/>
      <x:c r="G1145" s="20"/>
      <x:c r="H1145" s="20"/>
      <x:c r="I1145" s="20"/>
      <x:c r="J1145" s="20"/>
      <x:c r="K1145" s="20"/>
      <x:c r="L1145" s="20"/>
      <x:c r="M1145" s="20"/>
      <x:c r="N1145" s="20"/>
      <x:c r="O1145" s="20"/>
      <x:c r="P1145" s="20"/>
      <x:c r="Q1145" s="20"/>
      <x:c r="R1145" s="20"/>
      <x:c r="S1145" s="20"/>
      <x:c r="T1145" s="20"/>
      <x:c r="U1145" s="20"/>
      <x:c r="V1145" s="20"/>
      <x:c r="W1145" s="20"/>
      <x:c r="X1145" s="20"/>
      <x:c r="Y1145" s="21"/>
    </x:row>
    <x:row r="1146">
      <x:c r="A1146" s="19"/>
      <x:c r="B1146" s="27"/>
      <x:c r="C1146" s="20"/>
      <x:c r="D1146" s="28"/>
      <x:c r="E1146" s="20"/>
      <x:c r="F1146" s="25"/>
      <x:c r="G1146" s="20"/>
      <x:c r="H1146" s="20"/>
      <x:c r="I1146" s="20"/>
      <x:c r="J1146" s="20"/>
      <x:c r="K1146" s="20"/>
      <x:c r="L1146" s="20"/>
      <x:c r="M1146" s="20"/>
      <x:c r="N1146" s="20"/>
      <x:c r="O1146" s="20"/>
      <x:c r="P1146" s="20"/>
      <x:c r="Q1146" s="20"/>
      <x:c r="R1146" s="20"/>
      <x:c r="S1146" s="20"/>
      <x:c r="T1146" s="20"/>
      <x:c r="U1146" s="20"/>
      <x:c r="V1146" s="20"/>
      <x:c r="W1146" s="20"/>
      <x:c r="X1146" s="20"/>
      <x:c r="Y1146" s="21"/>
    </x:row>
    <x:row r="1147">
      <x:c r="A1147" s="19"/>
      <x:c r="B1147" s="27"/>
      <x:c r="C1147" s="20"/>
      <x:c r="D1147" s="28"/>
      <x:c r="E1147" s="20"/>
      <x:c r="F1147" s="25"/>
      <x:c r="G1147" s="20"/>
      <x:c r="H1147" s="20"/>
      <x:c r="I1147" s="20"/>
      <x:c r="J1147" s="20"/>
      <x:c r="K1147" s="20"/>
      <x:c r="L1147" s="20"/>
      <x:c r="M1147" s="20"/>
      <x:c r="N1147" s="20"/>
      <x:c r="O1147" s="20"/>
      <x:c r="P1147" s="20"/>
      <x:c r="Q1147" s="20"/>
      <x:c r="R1147" s="20"/>
      <x:c r="S1147" s="20"/>
      <x:c r="T1147" s="20"/>
      <x:c r="U1147" s="20"/>
      <x:c r="V1147" s="20"/>
      <x:c r="W1147" s="20"/>
      <x:c r="X1147" s="20"/>
      <x:c r="Y1147" s="21"/>
    </x:row>
    <x:row r="1148">
      <x:c r="A1148" s="19"/>
      <x:c r="B1148" s="27"/>
      <x:c r="C1148" s="20"/>
      <x:c r="D1148" s="28"/>
      <x:c r="E1148" s="20"/>
      <x:c r="F1148" s="25"/>
      <x:c r="G1148" s="20"/>
      <x:c r="H1148" s="20"/>
      <x:c r="I1148" s="20"/>
      <x:c r="J1148" s="20"/>
      <x:c r="K1148" s="20"/>
      <x:c r="L1148" s="20"/>
      <x:c r="M1148" s="20"/>
      <x:c r="N1148" s="20"/>
      <x:c r="O1148" s="20"/>
      <x:c r="P1148" s="20"/>
      <x:c r="Q1148" s="20"/>
      <x:c r="R1148" s="20"/>
      <x:c r="S1148" s="20"/>
      <x:c r="T1148" s="20"/>
      <x:c r="U1148" s="20"/>
      <x:c r="V1148" s="20"/>
      <x:c r="W1148" s="20"/>
      <x:c r="X1148" s="20"/>
      <x:c r="Y1148" s="21"/>
    </x:row>
    <x:row r="1149">
      <x:c r="A1149" s="19"/>
      <x:c r="B1149" s="27"/>
      <x:c r="C1149" s="20"/>
      <x:c r="D1149" s="28"/>
      <x:c r="E1149" s="20"/>
      <x:c r="F1149" s="25"/>
      <x:c r="G1149" s="20"/>
      <x:c r="H1149" s="20"/>
      <x:c r="I1149" s="20"/>
      <x:c r="J1149" s="20"/>
      <x:c r="K1149" s="20"/>
      <x:c r="L1149" s="20"/>
      <x:c r="M1149" s="20"/>
      <x:c r="N1149" s="20"/>
      <x:c r="O1149" s="20"/>
      <x:c r="P1149" s="20"/>
      <x:c r="Q1149" s="20"/>
      <x:c r="R1149" s="20"/>
      <x:c r="S1149" s="20"/>
      <x:c r="T1149" s="20"/>
      <x:c r="U1149" s="20"/>
      <x:c r="V1149" s="20"/>
      <x:c r="W1149" s="20"/>
      <x:c r="X1149" s="20"/>
      <x:c r="Y1149" s="21"/>
    </x:row>
    <x:row r="1150">
      <x:c r="A1150" s="19"/>
      <x:c r="B1150" s="27"/>
      <x:c r="C1150" s="20"/>
      <x:c r="D1150" s="28"/>
      <x:c r="E1150" s="20"/>
      <x:c r="F1150" s="25"/>
      <x:c r="G1150" s="20"/>
      <x:c r="H1150" s="20"/>
      <x:c r="I1150" s="20"/>
      <x:c r="J1150" s="20"/>
      <x:c r="K1150" s="20"/>
      <x:c r="L1150" s="20"/>
      <x:c r="M1150" s="20"/>
      <x:c r="N1150" s="20"/>
      <x:c r="O1150" s="20"/>
      <x:c r="P1150" s="20"/>
      <x:c r="Q1150" s="20"/>
      <x:c r="R1150" s="20"/>
      <x:c r="S1150" s="20"/>
      <x:c r="T1150" s="20"/>
      <x:c r="U1150" s="20"/>
      <x:c r="V1150" s="20"/>
      <x:c r="W1150" s="20"/>
      <x:c r="X1150" s="20"/>
      <x:c r="Y1150" s="21"/>
    </x:row>
    <x:row r="1151">
      <x:c r="A1151" s="19"/>
      <x:c r="B1151" s="27"/>
      <x:c r="C1151" s="20"/>
      <x:c r="D1151" s="28"/>
      <x:c r="E1151" s="20"/>
      <x:c r="F1151" s="25"/>
      <x:c r="G1151" s="20"/>
      <x:c r="H1151" s="20"/>
      <x:c r="I1151" s="20"/>
      <x:c r="J1151" s="20"/>
      <x:c r="K1151" s="20"/>
      <x:c r="L1151" s="20"/>
      <x:c r="M1151" s="20"/>
      <x:c r="N1151" s="20"/>
      <x:c r="O1151" s="20"/>
      <x:c r="P1151" s="20"/>
      <x:c r="Q1151" s="20"/>
      <x:c r="R1151" s="20"/>
      <x:c r="S1151" s="20"/>
      <x:c r="T1151" s="20"/>
      <x:c r="U1151" s="20"/>
      <x:c r="V1151" s="20"/>
      <x:c r="W1151" s="20"/>
      <x:c r="X1151" s="20"/>
      <x:c r="Y1151" s="21"/>
    </x:row>
    <x:row r="1152">
      <x:c r="A1152" s="19"/>
      <x:c r="B1152" s="27"/>
      <x:c r="C1152" s="20"/>
      <x:c r="D1152" s="28"/>
      <x:c r="E1152" s="20"/>
      <x:c r="F1152" s="25"/>
      <x:c r="G1152" s="20"/>
      <x:c r="H1152" s="20"/>
      <x:c r="I1152" s="20"/>
      <x:c r="J1152" s="20"/>
      <x:c r="K1152" s="20"/>
      <x:c r="L1152" s="20"/>
      <x:c r="M1152" s="20"/>
      <x:c r="N1152" s="20"/>
      <x:c r="O1152" s="20"/>
      <x:c r="P1152" s="20"/>
      <x:c r="Q1152" s="20"/>
      <x:c r="R1152" s="20"/>
      <x:c r="S1152" s="20"/>
      <x:c r="T1152" s="20"/>
      <x:c r="U1152" s="20"/>
      <x:c r="V1152" s="20"/>
      <x:c r="W1152" s="20"/>
      <x:c r="X1152" s="20"/>
      <x:c r="Y1152" s="21"/>
    </x:row>
    <x:row r="1153">
      <x:c r="A1153" s="19"/>
      <x:c r="B1153" s="27"/>
      <x:c r="C1153" s="20"/>
      <x:c r="D1153" s="28"/>
      <x:c r="E1153" s="20"/>
      <x:c r="F1153" s="25"/>
      <x:c r="G1153" s="20"/>
      <x:c r="H1153" s="20"/>
      <x:c r="I1153" s="20"/>
      <x:c r="J1153" s="20"/>
      <x:c r="K1153" s="20"/>
      <x:c r="L1153" s="20"/>
      <x:c r="M1153" s="20"/>
      <x:c r="N1153" s="20"/>
      <x:c r="O1153" s="20"/>
      <x:c r="P1153" s="20"/>
      <x:c r="Q1153" s="20"/>
      <x:c r="R1153" s="20"/>
      <x:c r="S1153" s="20"/>
      <x:c r="T1153" s="20"/>
      <x:c r="U1153" s="20"/>
      <x:c r="V1153" s="20"/>
      <x:c r="W1153" s="20"/>
      <x:c r="X1153" s="20"/>
      <x:c r="Y1153" s="21"/>
    </x:row>
    <x:row r="1154">
      <x:c r="A1154" s="19"/>
      <x:c r="B1154" s="27"/>
      <x:c r="C1154" s="20"/>
      <x:c r="D1154" s="28"/>
      <x:c r="E1154" s="20"/>
      <x:c r="F1154" s="25"/>
      <x:c r="G1154" s="20"/>
      <x:c r="H1154" s="20"/>
      <x:c r="I1154" s="20"/>
      <x:c r="J1154" s="20"/>
      <x:c r="K1154" s="20"/>
      <x:c r="L1154" s="20"/>
      <x:c r="M1154" s="20"/>
      <x:c r="N1154" s="20"/>
      <x:c r="O1154" s="20"/>
      <x:c r="P1154" s="20"/>
      <x:c r="Q1154" s="20"/>
      <x:c r="R1154" s="20"/>
      <x:c r="S1154" s="20"/>
      <x:c r="T1154" s="20"/>
      <x:c r="U1154" s="20"/>
      <x:c r="V1154" s="20"/>
      <x:c r="W1154" s="20"/>
      <x:c r="X1154" s="20"/>
      <x:c r="Y1154" s="21"/>
    </x:row>
    <x:row r="1155">
      <x:c r="A1155" s="19"/>
      <x:c r="B1155" s="27"/>
      <x:c r="C1155" s="20"/>
      <x:c r="D1155" s="28"/>
      <x:c r="E1155" s="20"/>
      <x:c r="F1155" s="25"/>
      <x:c r="G1155" s="20"/>
      <x:c r="H1155" s="20"/>
      <x:c r="I1155" s="20"/>
      <x:c r="J1155" s="20"/>
      <x:c r="K1155" s="20"/>
      <x:c r="L1155" s="20"/>
      <x:c r="M1155" s="20"/>
      <x:c r="N1155" s="20"/>
      <x:c r="O1155" s="20"/>
      <x:c r="P1155" s="20"/>
      <x:c r="Q1155" s="20"/>
      <x:c r="R1155" s="20"/>
      <x:c r="S1155" s="20"/>
      <x:c r="T1155" s="20"/>
      <x:c r="U1155" s="20"/>
      <x:c r="V1155" s="20"/>
      <x:c r="W1155" s="20"/>
      <x:c r="X1155" s="20"/>
      <x:c r="Y1155" s="21"/>
    </x:row>
    <x:row r="1156">
      <x:c r="A1156" s="19"/>
      <x:c r="B1156" s="27"/>
      <x:c r="C1156" s="20"/>
      <x:c r="D1156" s="28"/>
      <x:c r="E1156" s="20"/>
      <x:c r="F1156" s="25"/>
      <x:c r="G1156" s="20"/>
      <x:c r="H1156" s="20"/>
      <x:c r="I1156" s="20"/>
      <x:c r="J1156" s="20"/>
      <x:c r="K1156" s="20"/>
      <x:c r="L1156" s="20"/>
      <x:c r="M1156" s="20"/>
      <x:c r="N1156" s="20"/>
      <x:c r="O1156" s="20"/>
      <x:c r="P1156" s="20"/>
      <x:c r="Q1156" s="20"/>
      <x:c r="R1156" s="20"/>
      <x:c r="S1156" s="20"/>
      <x:c r="T1156" s="20"/>
      <x:c r="U1156" s="20"/>
      <x:c r="V1156" s="20"/>
      <x:c r="W1156" s="20"/>
      <x:c r="X1156" s="20"/>
      <x:c r="Y1156" s="21"/>
    </x:row>
    <x:row r="1157">
      <x:c r="A1157" s="19"/>
      <x:c r="B1157" s="27"/>
      <x:c r="C1157" s="20"/>
      <x:c r="D1157" s="28"/>
      <x:c r="E1157" s="20"/>
      <x:c r="F1157" s="25"/>
      <x:c r="G1157" s="20"/>
      <x:c r="H1157" s="20"/>
      <x:c r="I1157" s="20"/>
      <x:c r="J1157" s="20"/>
      <x:c r="K1157" s="20"/>
      <x:c r="L1157" s="20"/>
      <x:c r="M1157" s="20"/>
      <x:c r="N1157" s="20"/>
      <x:c r="O1157" s="20"/>
      <x:c r="P1157" s="20"/>
      <x:c r="Q1157" s="20"/>
      <x:c r="R1157" s="20"/>
      <x:c r="S1157" s="20"/>
      <x:c r="T1157" s="20"/>
      <x:c r="U1157" s="20"/>
      <x:c r="V1157" s="20"/>
      <x:c r="W1157" s="20"/>
      <x:c r="X1157" s="20"/>
      <x:c r="Y1157" s="21"/>
    </x:row>
    <x:row r="1158">
      <x:c r="A1158" s="19"/>
      <x:c r="B1158" s="27"/>
      <x:c r="C1158" s="20"/>
      <x:c r="D1158" s="28"/>
      <x:c r="E1158" s="20"/>
      <x:c r="F1158" s="25"/>
      <x:c r="G1158" s="20"/>
      <x:c r="H1158" s="20"/>
      <x:c r="I1158" s="20"/>
      <x:c r="J1158" s="20"/>
      <x:c r="K1158" s="20"/>
      <x:c r="L1158" s="20"/>
      <x:c r="M1158" s="20"/>
      <x:c r="N1158" s="20"/>
      <x:c r="O1158" s="20"/>
      <x:c r="P1158" s="20"/>
      <x:c r="Q1158" s="20"/>
      <x:c r="R1158" s="20"/>
      <x:c r="S1158" s="20"/>
      <x:c r="T1158" s="20"/>
      <x:c r="U1158" s="20"/>
      <x:c r="V1158" s="20"/>
      <x:c r="W1158" s="20"/>
      <x:c r="X1158" s="20"/>
      <x:c r="Y1158" s="21"/>
    </x:row>
    <x:row r="1159">
      <x:c r="A1159" s="19"/>
      <x:c r="B1159" s="27"/>
      <x:c r="C1159" s="20"/>
      <x:c r="D1159" s="28"/>
      <x:c r="E1159" s="20"/>
      <x:c r="F1159" s="25"/>
      <x:c r="G1159" s="20"/>
      <x:c r="H1159" s="20"/>
      <x:c r="I1159" s="20"/>
      <x:c r="J1159" s="20"/>
      <x:c r="K1159" s="20"/>
      <x:c r="L1159" s="20"/>
      <x:c r="M1159" s="20"/>
      <x:c r="N1159" s="20"/>
      <x:c r="O1159" s="20"/>
      <x:c r="P1159" s="20"/>
      <x:c r="Q1159" s="20"/>
      <x:c r="R1159" s="20"/>
      <x:c r="S1159" s="20"/>
      <x:c r="T1159" s="20"/>
      <x:c r="U1159" s="20"/>
      <x:c r="V1159" s="20"/>
      <x:c r="W1159" s="20"/>
      <x:c r="X1159" s="20"/>
      <x:c r="Y1159" s="21"/>
    </x:row>
    <x:row r="1160">
      <x:c r="A1160" s="19"/>
      <x:c r="B1160" s="27"/>
      <x:c r="C1160" s="20"/>
      <x:c r="D1160" s="28"/>
      <x:c r="E1160" s="20"/>
      <x:c r="F1160" s="25"/>
      <x:c r="G1160" s="20"/>
      <x:c r="H1160" s="20"/>
      <x:c r="I1160" s="20"/>
      <x:c r="J1160" s="20"/>
      <x:c r="K1160" s="20"/>
      <x:c r="L1160" s="20"/>
      <x:c r="M1160" s="20"/>
      <x:c r="N1160" s="20"/>
      <x:c r="O1160" s="20"/>
      <x:c r="P1160" s="20"/>
      <x:c r="Q1160" s="20"/>
      <x:c r="R1160" s="20"/>
      <x:c r="S1160" s="20"/>
      <x:c r="T1160" s="20"/>
      <x:c r="U1160" s="20"/>
      <x:c r="V1160" s="20"/>
      <x:c r="W1160" s="20"/>
      <x:c r="X1160" s="20"/>
      <x:c r="Y1160" s="21"/>
    </x:row>
    <x:row r="1161">
      <x:c r="A1161" s="19"/>
      <x:c r="B1161" s="27"/>
      <x:c r="C1161" s="20"/>
      <x:c r="D1161" s="28"/>
      <x:c r="E1161" s="20"/>
      <x:c r="F1161" s="25"/>
      <x:c r="G1161" s="20"/>
      <x:c r="H1161" s="20"/>
      <x:c r="I1161" s="20"/>
      <x:c r="J1161" s="20"/>
      <x:c r="K1161" s="20"/>
      <x:c r="L1161" s="20"/>
      <x:c r="M1161" s="20"/>
      <x:c r="N1161" s="20"/>
      <x:c r="O1161" s="20"/>
      <x:c r="P1161" s="20"/>
      <x:c r="Q1161" s="20"/>
      <x:c r="R1161" s="20"/>
      <x:c r="S1161" s="20"/>
      <x:c r="T1161" s="20"/>
      <x:c r="U1161" s="20"/>
      <x:c r="V1161" s="20"/>
      <x:c r="W1161" s="20"/>
      <x:c r="X1161" s="20"/>
      <x:c r="Y1161" s="21"/>
    </x:row>
    <x:row r="1162">
      <x:c r="A1162" s="19"/>
      <x:c r="B1162" s="27"/>
      <x:c r="C1162" s="20"/>
      <x:c r="D1162" s="28"/>
      <x:c r="E1162" s="20"/>
      <x:c r="F1162" s="25"/>
      <x:c r="G1162" s="20"/>
      <x:c r="H1162" s="20"/>
      <x:c r="I1162" s="20"/>
      <x:c r="J1162" s="20"/>
      <x:c r="K1162" s="20"/>
      <x:c r="L1162" s="20"/>
      <x:c r="M1162" s="20"/>
      <x:c r="N1162" s="20"/>
      <x:c r="O1162" s="20"/>
      <x:c r="P1162" s="20"/>
      <x:c r="Q1162" s="20"/>
      <x:c r="R1162" s="20"/>
      <x:c r="S1162" s="20"/>
      <x:c r="T1162" s="20"/>
      <x:c r="U1162" s="20"/>
      <x:c r="V1162" s="20"/>
      <x:c r="W1162" s="20"/>
      <x:c r="X1162" s="20"/>
      <x:c r="Y1162" s="21"/>
    </x:row>
    <x:row r="1163">
      <x:c r="A1163" s="19"/>
      <x:c r="B1163" s="27"/>
      <x:c r="C1163" s="20"/>
      <x:c r="D1163" s="28"/>
      <x:c r="E1163" s="20"/>
      <x:c r="F1163" s="25"/>
      <x:c r="G1163" s="20"/>
      <x:c r="H1163" s="20"/>
      <x:c r="I1163" s="20"/>
      <x:c r="J1163" s="20"/>
      <x:c r="K1163" s="20"/>
      <x:c r="L1163" s="20"/>
      <x:c r="M1163" s="20"/>
      <x:c r="N1163" s="20"/>
      <x:c r="O1163" s="20"/>
      <x:c r="P1163" s="20"/>
      <x:c r="Q1163" s="20"/>
      <x:c r="R1163" s="20"/>
      <x:c r="S1163" s="20"/>
      <x:c r="T1163" s="20"/>
      <x:c r="U1163" s="20"/>
      <x:c r="V1163" s="20"/>
      <x:c r="W1163" s="20"/>
      <x:c r="X1163" s="20"/>
      <x:c r="Y1163" s="21"/>
    </x:row>
    <x:row r="1164">
      <x:c r="A1164" s="19"/>
      <x:c r="B1164" s="27"/>
      <x:c r="C1164" s="20"/>
      <x:c r="D1164" s="28"/>
      <x:c r="E1164" s="20"/>
      <x:c r="F1164" s="25"/>
      <x:c r="G1164" s="20"/>
      <x:c r="H1164" s="20"/>
      <x:c r="I1164" s="20"/>
      <x:c r="J1164" s="20"/>
      <x:c r="K1164" s="20"/>
      <x:c r="L1164" s="20"/>
      <x:c r="M1164" s="20"/>
      <x:c r="N1164" s="20"/>
      <x:c r="O1164" s="20"/>
      <x:c r="P1164" s="20"/>
      <x:c r="Q1164" s="20"/>
      <x:c r="R1164" s="20"/>
      <x:c r="S1164" s="20"/>
      <x:c r="T1164" s="20"/>
      <x:c r="U1164" s="20"/>
      <x:c r="V1164" s="20"/>
      <x:c r="W1164" s="20"/>
      <x:c r="X1164" s="20"/>
      <x:c r="Y1164" s="21"/>
    </x:row>
    <x:row r="1165">
      <x:c r="A1165" s="19"/>
      <x:c r="B1165" s="27"/>
      <x:c r="C1165" s="20"/>
      <x:c r="D1165" s="28"/>
      <x:c r="E1165" s="20"/>
      <x:c r="F1165" s="25"/>
      <x:c r="G1165" s="20"/>
      <x:c r="H1165" s="20"/>
      <x:c r="I1165" s="20"/>
      <x:c r="J1165" s="20"/>
      <x:c r="K1165" s="20"/>
      <x:c r="L1165" s="20"/>
      <x:c r="M1165" s="20"/>
      <x:c r="N1165" s="20"/>
      <x:c r="O1165" s="20"/>
      <x:c r="P1165" s="20"/>
      <x:c r="Q1165" s="20"/>
      <x:c r="R1165" s="20"/>
      <x:c r="S1165" s="20"/>
      <x:c r="T1165" s="20"/>
      <x:c r="U1165" s="20"/>
      <x:c r="V1165" s="20"/>
      <x:c r="W1165" s="20"/>
      <x:c r="X1165" s="20"/>
      <x:c r="Y1165" s="21"/>
    </x:row>
    <x:row r="1166">
      <x:c r="A1166" s="19"/>
      <x:c r="B1166" s="27"/>
      <x:c r="C1166" s="20"/>
      <x:c r="D1166" s="28"/>
      <x:c r="E1166" s="20"/>
      <x:c r="F1166" s="25"/>
      <x:c r="G1166" s="20"/>
      <x:c r="H1166" s="20"/>
      <x:c r="I1166" s="20"/>
      <x:c r="J1166" s="20"/>
      <x:c r="K1166" s="20"/>
      <x:c r="L1166" s="20"/>
      <x:c r="M1166" s="20"/>
      <x:c r="N1166" s="20"/>
      <x:c r="O1166" s="20"/>
      <x:c r="P1166" s="20"/>
      <x:c r="Q1166" s="20"/>
      <x:c r="R1166" s="20"/>
      <x:c r="S1166" s="20"/>
      <x:c r="T1166" s="20"/>
      <x:c r="U1166" s="20"/>
      <x:c r="V1166" s="20"/>
      <x:c r="W1166" s="20"/>
      <x:c r="X1166" s="20"/>
      <x:c r="Y1166" s="21"/>
    </x:row>
    <x:row r="1167">
      <x:c r="A1167" s="19"/>
      <x:c r="B1167" s="27"/>
      <x:c r="C1167" s="20"/>
      <x:c r="D1167" s="28"/>
      <x:c r="E1167" s="20"/>
      <x:c r="F1167" s="25"/>
      <x:c r="G1167" s="20"/>
      <x:c r="H1167" s="20"/>
      <x:c r="I1167" s="20"/>
      <x:c r="J1167" s="20"/>
      <x:c r="K1167" s="20"/>
      <x:c r="L1167" s="20"/>
      <x:c r="M1167" s="20"/>
      <x:c r="N1167" s="20"/>
      <x:c r="O1167" s="20"/>
      <x:c r="P1167" s="20"/>
      <x:c r="Q1167" s="20"/>
      <x:c r="R1167" s="20"/>
      <x:c r="S1167" s="20"/>
      <x:c r="T1167" s="20"/>
      <x:c r="U1167" s="20"/>
      <x:c r="V1167" s="20"/>
      <x:c r="W1167" s="20"/>
      <x:c r="X1167" s="20"/>
      <x:c r="Y1167" s="21"/>
    </x:row>
    <x:row r="1168">
      <x:c r="A1168" s="19"/>
      <x:c r="B1168" s="27"/>
      <x:c r="C1168" s="20"/>
      <x:c r="D1168" s="28"/>
      <x:c r="E1168" s="20"/>
      <x:c r="F1168" s="25"/>
      <x:c r="G1168" s="20"/>
      <x:c r="H1168" s="20"/>
      <x:c r="I1168" s="20"/>
      <x:c r="J1168" s="20"/>
      <x:c r="K1168" s="20"/>
      <x:c r="L1168" s="20"/>
      <x:c r="M1168" s="20"/>
      <x:c r="N1168" s="20"/>
      <x:c r="O1168" s="20"/>
      <x:c r="P1168" s="20"/>
      <x:c r="Q1168" s="20"/>
      <x:c r="R1168" s="20"/>
      <x:c r="S1168" s="20"/>
      <x:c r="T1168" s="20"/>
      <x:c r="U1168" s="20"/>
      <x:c r="V1168" s="20"/>
      <x:c r="W1168" s="20"/>
      <x:c r="X1168" s="20"/>
      <x:c r="Y1168" s="21"/>
    </x:row>
    <x:row r="1169">
      <x:c r="A1169" s="19"/>
      <x:c r="B1169" s="27"/>
      <x:c r="C1169" s="20"/>
      <x:c r="D1169" s="28"/>
      <x:c r="E1169" s="20"/>
      <x:c r="F1169" s="25"/>
      <x:c r="G1169" s="20"/>
      <x:c r="H1169" s="20"/>
      <x:c r="I1169" s="20"/>
      <x:c r="J1169" s="20"/>
      <x:c r="K1169" s="20"/>
      <x:c r="L1169" s="20"/>
      <x:c r="M1169" s="20"/>
      <x:c r="N1169" s="20"/>
      <x:c r="O1169" s="20"/>
      <x:c r="P1169" s="20"/>
      <x:c r="Q1169" s="20"/>
      <x:c r="R1169" s="20"/>
      <x:c r="S1169" s="20"/>
      <x:c r="T1169" s="20"/>
      <x:c r="U1169" s="20"/>
      <x:c r="V1169" s="20"/>
      <x:c r="W1169" s="20"/>
      <x:c r="X1169" s="20"/>
      <x:c r="Y1169" s="21"/>
    </x:row>
    <x:row r="1170">
      <x:c r="A1170" s="19"/>
      <x:c r="B1170" s="27"/>
      <x:c r="C1170" s="20"/>
      <x:c r="D1170" s="28"/>
      <x:c r="E1170" s="20"/>
      <x:c r="F1170" s="25"/>
      <x:c r="G1170" s="20"/>
      <x:c r="H1170" s="20"/>
      <x:c r="I1170" s="20"/>
      <x:c r="J1170" s="20"/>
      <x:c r="K1170" s="20"/>
      <x:c r="L1170" s="20"/>
      <x:c r="M1170" s="20"/>
      <x:c r="N1170" s="20"/>
      <x:c r="O1170" s="20"/>
      <x:c r="P1170" s="20"/>
      <x:c r="Q1170" s="20"/>
      <x:c r="R1170" s="20"/>
      <x:c r="S1170" s="20"/>
      <x:c r="T1170" s="20"/>
      <x:c r="U1170" s="20"/>
      <x:c r="V1170" s="20"/>
      <x:c r="W1170" s="20"/>
      <x:c r="X1170" s="20"/>
      <x:c r="Y1170" s="21"/>
    </x:row>
    <x:row r="1171">
      <x:c r="A1171" s="19"/>
      <x:c r="B1171" s="27"/>
      <x:c r="C1171" s="20"/>
      <x:c r="D1171" s="28"/>
      <x:c r="E1171" s="20"/>
      <x:c r="F1171" s="25"/>
      <x:c r="G1171" s="20"/>
      <x:c r="H1171" s="20"/>
      <x:c r="I1171" s="20"/>
      <x:c r="J1171" s="20"/>
      <x:c r="K1171" s="20"/>
      <x:c r="L1171" s="20"/>
      <x:c r="M1171" s="20"/>
      <x:c r="N1171" s="20"/>
      <x:c r="O1171" s="20"/>
      <x:c r="P1171" s="20"/>
      <x:c r="Q1171" s="20"/>
      <x:c r="R1171" s="20"/>
      <x:c r="S1171" s="20"/>
      <x:c r="T1171" s="20"/>
      <x:c r="U1171" s="20"/>
      <x:c r="V1171" s="20"/>
      <x:c r="W1171" s="20"/>
      <x:c r="X1171" s="20"/>
      <x:c r="Y1171" s="21"/>
    </x:row>
    <x:row r="1172">
      <x:c r="A1172" s="19"/>
      <x:c r="B1172" s="27"/>
      <x:c r="C1172" s="20"/>
      <x:c r="D1172" s="28"/>
      <x:c r="E1172" s="20"/>
      <x:c r="F1172" s="25"/>
      <x:c r="G1172" s="20"/>
      <x:c r="H1172" s="20"/>
      <x:c r="I1172" s="20"/>
      <x:c r="J1172" s="20"/>
      <x:c r="K1172" s="20"/>
      <x:c r="L1172" s="20"/>
      <x:c r="M1172" s="20"/>
      <x:c r="N1172" s="20"/>
      <x:c r="O1172" s="20"/>
      <x:c r="P1172" s="20"/>
      <x:c r="Q1172" s="20"/>
      <x:c r="R1172" s="20"/>
      <x:c r="S1172" s="20"/>
      <x:c r="T1172" s="20"/>
      <x:c r="U1172" s="20"/>
      <x:c r="V1172" s="20"/>
      <x:c r="W1172" s="20"/>
      <x:c r="X1172" s="20"/>
      <x:c r="Y1172" s="21"/>
    </x:row>
    <x:row r="1173">
      <x:c r="A1173" s="19"/>
      <x:c r="B1173" s="27"/>
      <x:c r="C1173" s="20"/>
      <x:c r="D1173" s="28"/>
      <x:c r="E1173" s="20"/>
      <x:c r="F1173" s="25"/>
      <x:c r="G1173" s="20"/>
      <x:c r="H1173" s="20"/>
      <x:c r="I1173" s="20"/>
      <x:c r="J1173" s="20"/>
      <x:c r="K1173" s="20"/>
      <x:c r="L1173" s="20"/>
      <x:c r="M1173" s="20"/>
      <x:c r="N1173" s="20"/>
      <x:c r="O1173" s="20"/>
      <x:c r="P1173" s="20"/>
      <x:c r="Q1173" s="20"/>
      <x:c r="R1173" s="20"/>
      <x:c r="S1173" s="20"/>
      <x:c r="T1173" s="20"/>
      <x:c r="U1173" s="20"/>
      <x:c r="V1173" s="20"/>
      <x:c r="W1173" s="20"/>
      <x:c r="X1173" s="20"/>
      <x:c r="Y1173" s="21"/>
    </x:row>
    <x:row r="1174">
      <x:c r="A1174" s="19"/>
      <x:c r="B1174" s="27"/>
      <x:c r="C1174" s="20"/>
      <x:c r="D1174" s="28"/>
      <x:c r="E1174" s="20"/>
      <x:c r="F1174" s="25"/>
      <x:c r="G1174" s="20"/>
      <x:c r="H1174" s="20"/>
      <x:c r="I1174" s="20"/>
      <x:c r="J1174" s="20"/>
      <x:c r="K1174" s="20"/>
      <x:c r="L1174" s="20"/>
      <x:c r="M1174" s="20"/>
      <x:c r="N1174" s="20"/>
      <x:c r="O1174" s="20"/>
      <x:c r="P1174" s="20"/>
      <x:c r="Q1174" s="20"/>
      <x:c r="R1174" s="20"/>
      <x:c r="S1174" s="20"/>
      <x:c r="T1174" s="20"/>
      <x:c r="U1174" s="20"/>
      <x:c r="V1174" s="20"/>
      <x:c r="W1174" s="20"/>
      <x:c r="X1174" s="20"/>
      <x:c r="Y1174" s="21"/>
    </x:row>
    <x:row r="1175">
      <x:c r="A1175" s="19"/>
      <x:c r="B1175" s="27"/>
      <x:c r="C1175" s="20"/>
      <x:c r="D1175" s="28"/>
      <x:c r="E1175" s="20"/>
      <x:c r="F1175" s="25"/>
      <x:c r="G1175" s="20"/>
      <x:c r="H1175" s="20"/>
      <x:c r="I1175" s="20"/>
      <x:c r="J1175" s="20"/>
      <x:c r="K1175" s="20"/>
      <x:c r="L1175" s="20"/>
      <x:c r="M1175" s="20"/>
      <x:c r="N1175" s="20"/>
      <x:c r="O1175" s="20"/>
      <x:c r="P1175" s="20"/>
      <x:c r="Q1175" s="20"/>
      <x:c r="R1175" s="20"/>
      <x:c r="S1175" s="20"/>
      <x:c r="T1175" s="20"/>
      <x:c r="U1175" s="20"/>
      <x:c r="V1175" s="20"/>
      <x:c r="W1175" s="20"/>
      <x:c r="X1175" s="20"/>
      <x:c r="Y1175" s="21"/>
    </x:row>
    <x:row r="1176">
      <x:c r="A1176" s="19"/>
      <x:c r="B1176" s="27"/>
      <x:c r="C1176" s="20"/>
      <x:c r="D1176" s="28"/>
      <x:c r="E1176" s="20"/>
      <x:c r="F1176" s="25"/>
      <x:c r="G1176" s="20"/>
      <x:c r="H1176" s="20"/>
      <x:c r="I1176" s="20"/>
      <x:c r="J1176" s="20"/>
      <x:c r="K1176" s="20"/>
      <x:c r="L1176" s="20"/>
      <x:c r="M1176" s="20"/>
      <x:c r="N1176" s="20"/>
      <x:c r="O1176" s="20"/>
      <x:c r="P1176" s="20"/>
      <x:c r="Q1176" s="20"/>
      <x:c r="R1176" s="20"/>
      <x:c r="S1176" s="20"/>
      <x:c r="T1176" s="20"/>
      <x:c r="U1176" s="20"/>
      <x:c r="V1176" s="20"/>
      <x:c r="W1176" s="20"/>
      <x:c r="X1176" s="20"/>
      <x:c r="Y1176" s="21"/>
    </x:row>
    <x:row r="1177">
      <x:c r="A1177" s="19"/>
      <x:c r="B1177" s="27"/>
      <x:c r="C1177" s="20"/>
      <x:c r="D1177" s="28"/>
      <x:c r="E1177" s="20"/>
      <x:c r="F1177" s="25"/>
      <x:c r="G1177" s="20"/>
      <x:c r="H1177" s="20"/>
      <x:c r="I1177" s="20"/>
      <x:c r="J1177" s="20"/>
      <x:c r="K1177" s="20"/>
      <x:c r="L1177" s="20"/>
      <x:c r="M1177" s="20"/>
      <x:c r="N1177" s="20"/>
      <x:c r="O1177" s="20"/>
      <x:c r="P1177" s="20"/>
      <x:c r="Q1177" s="20"/>
      <x:c r="R1177" s="20"/>
      <x:c r="S1177" s="20"/>
      <x:c r="T1177" s="20"/>
      <x:c r="U1177" s="20"/>
      <x:c r="V1177" s="20"/>
      <x:c r="W1177" s="20"/>
      <x:c r="X1177" s="20"/>
      <x:c r="Y1177" s="21"/>
    </x:row>
    <x:row r="1178">
      <x:c r="A1178" s="19"/>
      <x:c r="B1178" s="27"/>
      <x:c r="C1178" s="20"/>
      <x:c r="D1178" s="28"/>
      <x:c r="E1178" s="20"/>
      <x:c r="F1178" s="25"/>
      <x:c r="G1178" s="20"/>
      <x:c r="H1178" s="20"/>
      <x:c r="I1178" s="20"/>
      <x:c r="J1178" s="20"/>
      <x:c r="K1178" s="20"/>
      <x:c r="L1178" s="20"/>
      <x:c r="M1178" s="20"/>
      <x:c r="N1178" s="20"/>
      <x:c r="O1178" s="20"/>
      <x:c r="P1178" s="20"/>
      <x:c r="Q1178" s="20"/>
      <x:c r="R1178" s="20"/>
      <x:c r="S1178" s="20"/>
      <x:c r="T1178" s="20"/>
      <x:c r="U1178" s="20"/>
      <x:c r="V1178" s="20"/>
      <x:c r="W1178" s="20"/>
      <x:c r="X1178" s="20"/>
      <x:c r="Y1178" s="21"/>
    </x:row>
    <x:row r="1179">
      <x:c r="A1179" s="19"/>
      <x:c r="B1179" s="27"/>
      <x:c r="C1179" s="20"/>
      <x:c r="D1179" s="28"/>
      <x:c r="E1179" s="20"/>
      <x:c r="F1179" s="25"/>
      <x:c r="G1179" s="20"/>
      <x:c r="H1179" s="20"/>
      <x:c r="I1179" s="20"/>
      <x:c r="J1179" s="20"/>
      <x:c r="K1179" s="20"/>
      <x:c r="L1179" s="20"/>
      <x:c r="M1179" s="20"/>
      <x:c r="N1179" s="20"/>
      <x:c r="O1179" s="20"/>
      <x:c r="P1179" s="20"/>
      <x:c r="Q1179" s="20"/>
      <x:c r="R1179" s="20"/>
      <x:c r="S1179" s="20"/>
      <x:c r="T1179" s="20"/>
      <x:c r="U1179" s="20"/>
      <x:c r="V1179" s="20"/>
      <x:c r="W1179" s="20"/>
      <x:c r="X1179" s="20"/>
      <x:c r="Y1179" s="21"/>
    </x:row>
    <x:row r="1180">
      <x:c r="A1180" s="19"/>
      <x:c r="B1180" s="27"/>
      <x:c r="C1180" s="20"/>
      <x:c r="D1180" s="28"/>
      <x:c r="E1180" s="20"/>
      <x:c r="F1180" s="25"/>
      <x:c r="G1180" s="20"/>
      <x:c r="H1180" s="20"/>
      <x:c r="I1180" s="20"/>
      <x:c r="J1180" s="20"/>
      <x:c r="K1180" s="20"/>
      <x:c r="L1180" s="20"/>
      <x:c r="M1180" s="20"/>
      <x:c r="N1180" s="20"/>
      <x:c r="O1180" s="20"/>
      <x:c r="P1180" s="20"/>
      <x:c r="Q1180" s="20"/>
      <x:c r="R1180" s="20"/>
      <x:c r="S1180" s="20"/>
      <x:c r="T1180" s="20"/>
      <x:c r="U1180" s="20"/>
      <x:c r="V1180" s="20"/>
      <x:c r="W1180" s="20"/>
      <x:c r="X1180" s="20"/>
      <x:c r="Y1180" s="21"/>
    </x:row>
    <x:row r="1181">
      <x:c r="A1181" s="19"/>
      <x:c r="B1181" s="27"/>
      <x:c r="C1181" s="20"/>
      <x:c r="D1181" s="28"/>
      <x:c r="E1181" s="20"/>
      <x:c r="F1181" s="25"/>
      <x:c r="G1181" s="20"/>
      <x:c r="H1181" s="20"/>
      <x:c r="I1181" s="20"/>
      <x:c r="J1181" s="20"/>
      <x:c r="K1181" s="20"/>
      <x:c r="L1181" s="20"/>
      <x:c r="M1181" s="20"/>
      <x:c r="N1181" s="20"/>
      <x:c r="O1181" s="20"/>
      <x:c r="P1181" s="20"/>
      <x:c r="Q1181" s="20"/>
      <x:c r="R1181" s="20"/>
      <x:c r="S1181" s="20"/>
      <x:c r="T1181" s="20"/>
      <x:c r="U1181" s="20"/>
      <x:c r="V1181" s="20"/>
      <x:c r="W1181" s="20"/>
      <x:c r="X1181" s="20"/>
      <x:c r="Y1181" s="21"/>
    </x:row>
    <x:row r="1182">
      <x:c r="A1182" s="19"/>
      <x:c r="B1182" s="27"/>
      <x:c r="C1182" s="20"/>
      <x:c r="D1182" s="28"/>
      <x:c r="E1182" s="20"/>
      <x:c r="F1182" s="25"/>
      <x:c r="G1182" s="20"/>
      <x:c r="H1182" s="20"/>
      <x:c r="I1182" s="20"/>
      <x:c r="J1182" s="20"/>
      <x:c r="K1182" s="20"/>
      <x:c r="L1182" s="20"/>
      <x:c r="M1182" s="20"/>
      <x:c r="N1182" s="20"/>
      <x:c r="O1182" s="20"/>
      <x:c r="P1182" s="20"/>
      <x:c r="Q1182" s="20"/>
      <x:c r="R1182" s="20"/>
      <x:c r="S1182" s="20"/>
      <x:c r="T1182" s="20"/>
      <x:c r="U1182" s="20"/>
      <x:c r="V1182" s="20"/>
      <x:c r="W1182" s="20"/>
      <x:c r="X1182" s="20"/>
      <x:c r="Y1182" s="21"/>
    </x:row>
    <x:row r="1183">
      <x:c r="A1183" s="19"/>
      <x:c r="B1183" s="27"/>
      <x:c r="C1183" s="20"/>
      <x:c r="D1183" s="28"/>
      <x:c r="E1183" s="20"/>
      <x:c r="F1183" s="25"/>
      <x:c r="G1183" s="20"/>
      <x:c r="H1183" s="20"/>
      <x:c r="I1183" s="20"/>
      <x:c r="J1183" s="20"/>
      <x:c r="K1183" s="20"/>
      <x:c r="L1183" s="20"/>
      <x:c r="M1183" s="20"/>
      <x:c r="N1183" s="20"/>
      <x:c r="O1183" s="20"/>
      <x:c r="P1183" s="20"/>
      <x:c r="Q1183" s="20"/>
      <x:c r="R1183" s="20"/>
      <x:c r="S1183" s="20"/>
      <x:c r="T1183" s="20"/>
      <x:c r="U1183" s="20"/>
      <x:c r="V1183" s="20"/>
      <x:c r="W1183" s="20"/>
      <x:c r="X1183" s="20"/>
      <x:c r="Y1183" s="21"/>
    </x:row>
    <x:row r="1184">
      <x:c r="A1184" s="19"/>
      <x:c r="B1184" s="27"/>
      <x:c r="C1184" s="20"/>
      <x:c r="D1184" s="28"/>
      <x:c r="E1184" s="20"/>
      <x:c r="F1184" s="25"/>
      <x:c r="G1184" s="20"/>
      <x:c r="H1184" s="20"/>
      <x:c r="I1184" s="20"/>
      <x:c r="J1184" s="20"/>
      <x:c r="K1184" s="20"/>
      <x:c r="L1184" s="20"/>
      <x:c r="M1184" s="20"/>
      <x:c r="N1184" s="20"/>
      <x:c r="O1184" s="20"/>
      <x:c r="P1184" s="20"/>
      <x:c r="Q1184" s="20"/>
      <x:c r="R1184" s="20"/>
      <x:c r="S1184" s="20"/>
      <x:c r="T1184" s="20"/>
      <x:c r="U1184" s="20"/>
      <x:c r="V1184" s="20"/>
      <x:c r="W1184" s="20"/>
      <x:c r="X1184" s="20"/>
      <x:c r="Y1184" s="21"/>
    </x:row>
    <x:row r="1185">
      <x:c r="A1185" s="19"/>
      <x:c r="B1185" s="27"/>
      <x:c r="C1185" s="20"/>
      <x:c r="D1185" s="28"/>
      <x:c r="E1185" s="20"/>
      <x:c r="F1185" s="25"/>
      <x:c r="G1185" s="20"/>
      <x:c r="H1185" s="20"/>
      <x:c r="I1185" s="20"/>
      <x:c r="J1185" s="20"/>
      <x:c r="K1185" s="20"/>
      <x:c r="L1185" s="20"/>
      <x:c r="M1185" s="20"/>
      <x:c r="N1185" s="20"/>
      <x:c r="O1185" s="20"/>
      <x:c r="P1185" s="20"/>
      <x:c r="Q1185" s="20"/>
      <x:c r="R1185" s="20"/>
      <x:c r="S1185" s="20"/>
      <x:c r="T1185" s="20"/>
      <x:c r="U1185" s="20"/>
      <x:c r="V1185" s="20"/>
      <x:c r="W1185" s="20"/>
      <x:c r="X1185" s="20"/>
      <x:c r="Y1185" s="21"/>
    </x:row>
    <x:row r="1186">
      <x:c r="A1186" s="19"/>
      <x:c r="B1186" s="27"/>
      <x:c r="C1186" s="20"/>
      <x:c r="D1186" s="28"/>
      <x:c r="E1186" s="20"/>
      <x:c r="F1186" s="25"/>
      <x:c r="G1186" s="20"/>
      <x:c r="H1186" s="20"/>
      <x:c r="I1186" s="20"/>
      <x:c r="J1186" s="20"/>
      <x:c r="K1186" s="20"/>
      <x:c r="L1186" s="20"/>
      <x:c r="M1186" s="20"/>
      <x:c r="N1186" s="20"/>
      <x:c r="O1186" s="20"/>
      <x:c r="P1186" s="20"/>
      <x:c r="Q1186" s="20"/>
      <x:c r="R1186" s="20"/>
      <x:c r="S1186" s="20"/>
      <x:c r="T1186" s="20"/>
      <x:c r="U1186" s="20"/>
      <x:c r="V1186" s="20"/>
      <x:c r="W1186" s="20"/>
      <x:c r="X1186" s="20"/>
      <x:c r="Y1186" s="21"/>
    </x:row>
    <x:row r="1187">
      <x:c r="A1187" s="19"/>
      <x:c r="B1187" s="27"/>
      <x:c r="C1187" s="20"/>
      <x:c r="D1187" s="28"/>
      <x:c r="E1187" s="20"/>
      <x:c r="F1187" s="25"/>
      <x:c r="G1187" s="20"/>
      <x:c r="H1187" s="20"/>
      <x:c r="I1187" s="20"/>
      <x:c r="J1187" s="20"/>
      <x:c r="K1187" s="20"/>
      <x:c r="L1187" s="20"/>
      <x:c r="M1187" s="20"/>
      <x:c r="N1187" s="20"/>
      <x:c r="O1187" s="20"/>
      <x:c r="P1187" s="20"/>
      <x:c r="Q1187" s="20"/>
      <x:c r="R1187" s="20"/>
      <x:c r="S1187" s="20"/>
      <x:c r="T1187" s="20"/>
      <x:c r="U1187" s="20"/>
      <x:c r="V1187" s="20"/>
      <x:c r="W1187" s="20"/>
      <x:c r="X1187" s="20"/>
      <x:c r="Y1187" s="21"/>
    </x:row>
    <x:row r="1188">
      <x:c r="A1188" s="19"/>
      <x:c r="B1188" s="27"/>
      <x:c r="C1188" s="20"/>
      <x:c r="D1188" s="28"/>
      <x:c r="E1188" s="20"/>
      <x:c r="F1188" s="25"/>
      <x:c r="G1188" s="20"/>
      <x:c r="H1188" s="20"/>
      <x:c r="I1188" s="20"/>
      <x:c r="J1188" s="20"/>
      <x:c r="K1188" s="20"/>
      <x:c r="L1188" s="20"/>
      <x:c r="M1188" s="20"/>
      <x:c r="N1188" s="20"/>
      <x:c r="O1188" s="20"/>
      <x:c r="P1188" s="20"/>
      <x:c r="Q1188" s="20"/>
      <x:c r="R1188" s="20"/>
      <x:c r="S1188" s="20"/>
      <x:c r="T1188" s="20"/>
      <x:c r="U1188" s="20"/>
      <x:c r="V1188" s="20"/>
      <x:c r="W1188" s="20"/>
      <x:c r="X1188" s="20"/>
      <x:c r="Y1188" s="21"/>
    </x:row>
    <x:row r="1189">
      <x:c r="A1189" s="19"/>
      <x:c r="B1189" s="27"/>
      <x:c r="C1189" s="20"/>
      <x:c r="D1189" s="28"/>
      <x:c r="E1189" s="20"/>
      <x:c r="F1189" s="25"/>
      <x:c r="G1189" s="20"/>
      <x:c r="H1189" s="20"/>
      <x:c r="I1189" s="20"/>
      <x:c r="J1189" s="20"/>
      <x:c r="K1189" s="20"/>
      <x:c r="L1189" s="20"/>
      <x:c r="M1189" s="20"/>
      <x:c r="N1189" s="20"/>
      <x:c r="O1189" s="20"/>
      <x:c r="P1189" s="20"/>
      <x:c r="Q1189" s="20"/>
      <x:c r="R1189" s="20"/>
      <x:c r="S1189" s="20"/>
      <x:c r="T1189" s="20"/>
      <x:c r="U1189" s="20"/>
      <x:c r="V1189" s="20"/>
      <x:c r="W1189" s="20"/>
      <x:c r="X1189" s="20"/>
      <x:c r="Y1189" s="21"/>
    </x:row>
    <x:row r="1190">
      <x:c r="A1190" s="19"/>
      <x:c r="B1190" s="27"/>
      <x:c r="C1190" s="20"/>
      <x:c r="D1190" s="28"/>
      <x:c r="E1190" s="20"/>
      <x:c r="F1190" s="25"/>
      <x:c r="G1190" s="20"/>
      <x:c r="H1190" s="20"/>
      <x:c r="I1190" s="20"/>
      <x:c r="J1190" s="20"/>
      <x:c r="K1190" s="20"/>
      <x:c r="L1190" s="20"/>
      <x:c r="M1190" s="20"/>
      <x:c r="N1190" s="20"/>
      <x:c r="O1190" s="20"/>
      <x:c r="P1190" s="20"/>
      <x:c r="Q1190" s="20"/>
      <x:c r="R1190" s="20"/>
      <x:c r="S1190" s="20"/>
      <x:c r="T1190" s="20"/>
      <x:c r="U1190" s="20"/>
      <x:c r="V1190" s="20"/>
      <x:c r="W1190" s="20"/>
      <x:c r="X1190" s="20"/>
      <x:c r="Y1190" s="21"/>
    </x:row>
    <x:row r="1191">
      <x:c r="A1191" s="19"/>
      <x:c r="B1191" s="27"/>
      <x:c r="C1191" s="20"/>
      <x:c r="D1191" s="28"/>
      <x:c r="E1191" s="20"/>
      <x:c r="F1191" s="25"/>
      <x:c r="G1191" s="20"/>
      <x:c r="H1191" s="20"/>
      <x:c r="I1191" s="20"/>
      <x:c r="J1191" s="20"/>
      <x:c r="K1191" s="20"/>
      <x:c r="L1191" s="20"/>
      <x:c r="M1191" s="20"/>
      <x:c r="N1191" s="20"/>
      <x:c r="O1191" s="20"/>
      <x:c r="P1191" s="20"/>
      <x:c r="Q1191" s="20"/>
      <x:c r="R1191" s="20"/>
      <x:c r="S1191" s="20"/>
      <x:c r="T1191" s="20"/>
      <x:c r="U1191" s="20"/>
      <x:c r="V1191" s="20"/>
      <x:c r="W1191" s="20"/>
      <x:c r="X1191" s="20"/>
      <x:c r="Y1191" s="21"/>
    </x:row>
    <x:row r="1192">
      <x:c r="A1192" s="19"/>
      <x:c r="B1192" s="27"/>
      <x:c r="C1192" s="20"/>
      <x:c r="D1192" s="28"/>
      <x:c r="E1192" s="20"/>
      <x:c r="F1192" s="25"/>
      <x:c r="G1192" s="20"/>
      <x:c r="H1192" s="20"/>
      <x:c r="I1192" s="20"/>
      <x:c r="J1192" s="20"/>
      <x:c r="K1192" s="20"/>
      <x:c r="L1192" s="20"/>
      <x:c r="M1192" s="20"/>
      <x:c r="N1192" s="20"/>
      <x:c r="O1192" s="20"/>
      <x:c r="P1192" s="20"/>
      <x:c r="Q1192" s="20"/>
      <x:c r="R1192" s="20"/>
      <x:c r="S1192" s="20"/>
      <x:c r="T1192" s="20"/>
      <x:c r="U1192" s="20"/>
      <x:c r="V1192" s="20"/>
      <x:c r="W1192" s="20"/>
      <x:c r="X1192" s="20"/>
      <x:c r="Y1192" s="21"/>
    </x:row>
    <x:row r="1193">
      <x:c r="A1193" s="19"/>
      <x:c r="B1193" s="27"/>
      <x:c r="C1193" s="20"/>
      <x:c r="D1193" s="28"/>
      <x:c r="E1193" s="20"/>
      <x:c r="F1193" s="25"/>
      <x:c r="G1193" s="20"/>
      <x:c r="H1193" s="20"/>
      <x:c r="I1193" s="20"/>
      <x:c r="J1193" s="20"/>
      <x:c r="K1193" s="20"/>
      <x:c r="L1193" s="20"/>
      <x:c r="M1193" s="20"/>
      <x:c r="N1193" s="20"/>
      <x:c r="O1193" s="20"/>
      <x:c r="P1193" s="20"/>
      <x:c r="Q1193" s="20"/>
      <x:c r="R1193" s="20"/>
      <x:c r="S1193" s="20"/>
      <x:c r="T1193" s="20"/>
      <x:c r="U1193" s="20"/>
      <x:c r="V1193" s="20"/>
      <x:c r="W1193" s="20"/>
      <x:c r="X1193" s="20"/>
      <x:c r="Y1193" s="21"/>
    </x:row>
    <x:row r="1194">
      <x:c r="A1194" s="19"/>
      <x:c r="B1194" s="27"/>
      <x:c r="C1194" s="20"/>
      <x:c r="D1194" s="28"/>
      <x:c r="E1194" s="20"/>
      <x:c r="F1194" s="25"/>
      <x:c r="G1194" s="20"/>
      <x:c r="H1194" s="20"/>
      <x:c r="I1194" s="20"/>
      <x:c r="J1194" s="20"/>
      <x:c r="K1194" s="20"/>
      <x:c r="L1194" s="20"/>
      <x:c r="M1194" s="20"/>
      <x:c r="N1194" s="20"/>
      <x:c r="O1194" s="20"/>
      <x:c r="P1194" s="20"/>
      <x:c r="Q1194" s="20"/>
      <x:c r="R1194" s="20"/>
      <x:c r="S1194" s="20"/>
      <x:c r="T1194" s="20"/>
      <x:c r="U1194" s="20"/>
      <x:c r="V1194" s="20"/>
      <x:c r="W1194" s="20"/>
      <x:c r="X1194" s="20"/>
      <x:c r="Y1194" s="21"/>
    </x:row>
    <x:row r="1195">
      <x:c r="A1195" s="19"/>
      <x:c r="B1195" s="27"/>
      <x:c r="C1195" s="20"/>
      <x:c r="D1195" s="28"/>
      <x:c r="E1195" s="20"/>
      <x:c r="F1195" s="25"/>
      <x:c r="G1195" s="20"/>
      <x:c r="H1195" s="20"/>
      <x:c r="I1195" s="20"/>
      <x:c r="J1195" s="20"/>
      <x:c r="K1195" s="20"/>
      <x:c r="L1195" s="20"/>
      <x:c r="M1195" s="20"/>
      <x:c r="N1195" s="20"/>
      <x:c r="O1195" s="20"/>
      <x:c r="P1195" s="20"/>
      <x:c r="Q1195" s="20"/>
      <x:c r="R1195" s="20"/>
      <x:c r="S1195" s="20"/>
      <x:c r="T1195" s="20"/>
      <x:c r="U1195" s="20"/>
      <x:c r="V1195" s="20"/>
      <x:c r="W1195" s="20"/>
      <x:c r="X1195" s="20"/>
      <x:c r="Y1195" s="21"/>
    </x:row>
    <x:row r="1196">
      <x:c r="A1196" s="19"/>
      <x:c r="B1196" s="27"/>
      <x:c r="C1196" s="20"/>
      <x:c r="D1196" s="28"/>
      <x:c r="E1196" s="20"/>
      <x:c r="F1196" s="25"/>
      <x:c r="G1196" s="20"/>
      <x:c r="H1196" s="20"/>
      <x:c r="I1196" s="20"/>
      <x:c r="J1196" s="20"/>
      <x:c r="K1196" s="20"/>
      <x:c r="L1196" s="20"/>
      <x:c r="M1196" s="20"/>
      <x:c r="N1196" s="20"/>
      <x:c r="O1196" s="20"/>
      <x:c r="P1196" s="20"/>
      <x:c r="Q1196" s="20"/>
      <x:c r="R1196" s="20"/>
      <x:c r="S1196" s="20"/>
      <x:c r="T1196" s="20"/>
      <x:c r="U1196" s="20"/>
      <x:c r="V1196" s="20"/>
      <x:c r="W1196" s="20"/>
      <x:c r="X1196" s="20"/>
      <x:c r="Y1196" s="21"/>
    </x:row>
    <x:row r="1197">
      <x:c r="A1197" s="19"/>
      <x:c r="B1197" s="27"/>
      <x:c r="C1197" s="20"/>
      <x:c r="D1197" s="28"/>
      <x:c r="E1197" s="20"/>
      <x:c r="F1197" s="25"/>
      <x:c r="G1197" s="20"/>
      <x:c r="H1197" s="20"/>
      <x:c r="I1197" s="20"/>
      <x:c r="J1197" s="20"/>
      <x:c r="K1197" s="20"/>
      <x:c r="L1197" s="20"/>
      <x:c r="M1197" s="20"/>
      <x:c r="N1197" s="20"/>
      <x:c r="O1197" s="20"/>
      <x:c r="P1197" s="20"/>
      <x:c r="Q1197" s="20"/>
      <x:c r="R1197" s="20"/>
      <x:c r="S1197" s="20"/>
      <x:c r="T1197" s="20"/>
      <x:c r="U1197" s="20"/>
      <x:c r="V1197" s="20"/>
      <x:c r="W1197" s="20"/>
      <x:c r="X1197" s="20"/>
      <x:c r="Y1197" s="21"/>
    </x:row>
    <x:row r="1198">
      <x:c r="A1198" s="19"/>
      <x:c r="B1198" s="27"/>
      <x:c r="C1198" s="20"/>
      <x:c r="D1198" s="28"/>
      <x:c r="E1198" s="20"/>
      <x:c r="F1198" s="25"/>
      <x:c r="G1198" s="20"/>
      <x:c r="H1198" s="20"/>
      <x:c r="I1198" s="20"/>
      <x:c r="J1198" s="20"/>
      <x:c r="K1198" s="20"/>
      <x:c r="L1198" s="20"/>
      <x:c r="M1198" s="20"/>
      <x:c r="N1198" s="20"/>
      <x:c r="O1198" s="20"/>
      <x:c r="P1198" s="20"/>
      <x:c r="Q1198" s="20"/>
      <x:c r="R1198" s="20"/>
      <x:c r="S1198" s="20"/>
      <x:c r="T1198" s="20"/>
      <x:c r="U1198" s="20"/>
      <x:c r="V1198" s="20"/>
      <x:c r="W1198" s="20"/>
      <x:c r="X1198" s="20"/>
      <x:c r="Y1198" s="21"/>
    </x:row>
    <x:row r="1199">
      <x:c r="A1199" s="19"/>
      <x:c r="B1199" s="27"/>
      <x:c r="C1199" s="20"/>
      <x:c r="D1199" s="28"/>
      <x:c r="E1199" s="20"/>
      <x:c r="F1199" s="25"/>
      <x:c r="G1199" s="20"/>
      <x:c r="H1199" s="20"/>
      <x:c r="I1199" s="20"/>
      <x:c r="J1199" s="20"/>
      <x:c r="K1199" s="20"/>
      <x:c r="L1199" s="20"/>
      <x:c r="M1199" s="20"/>
      <x:c r="N1199" s="20"/>
      <x:c r="O1199" s="20"/>
      <x:c r="P1199" s="20"/>
      <x:c r="Q1199" s="20"/>
      <x:c r="R1199" s="20"/>
      <x:c r="S1199" s="20"/>
      <x:c r="T1199" s="20"/>
      <x:c r="U1199" s="20"/>
      <x:c r="V1199" s="20"/>
      <x:c r="W1199" s="20"/>
      <x:c r="X1199" s="20"/>
      <x:c r="Y1199" s="21"/>
    </x:row>
    <x:row r="1200">
      <x:c r="A1200" s="19"/>
      <x:c r="B1200" s="27"/>
      <x:c r="C1200" s="20"/>
      <x:c r="D1200" s="28"/>
      <x:c r="E1200" s="20"/>
      <x:c r="F1200" s="25"/>
      <x:c r="G1200" s="20"/>
      <x:c r="H1200" s="20"/>
      <x:c r="I1200" s="20"/>
      <x:c r="J1200" s="20"/>
      <x:c r="K1200" s="20"/>
      <x:c r="L1200" s="20"/>
      <x:c r="M1200" s="20"/>
      <x:c r="N1200" s="20"/>
      <x:c r="O1200" s="20"/>
      <x:c r="P1200" s="20"/>
      <x:c r="Q1200" s="20"/>
      <x:c r="R1200" s="20"/>
      <x:c r="S1200" s="20"/>
      <x:c r="T1200" s="20"/>
      <x:c r="U1200" s="20"/>
      <x:c r="V1200" s="20"/>
      <x:c r="W1200" s="20"/>
      <x:c r="X1200" s="20"/>
      <x:c r="Y1200" s="21"/>
    </x:row>
    <x:row r="1201">
      <x:c r="A1201" s="19"/>
      <x:c r="B1201" s="27"/>
      <x:c r="C1201" s="20"/>
      <x:c r="D1201" s="28"/>
      <x:c r="E1201" s="20"/>
      <x:c r="F1201" s="25"/>
      <x:c r="G1201" s="20"/>
      <x:c r="H1201" s="20"/>
      <x:c r="I1201" s="20"/>
      <x:c r="J1201" s="20"/>
      <x:c r="K1201" s="20"/>
      <x:c r="L1201" s="20"/>
      <x:c r="M1201" s="20"/>
      <x:c r="N1201" s="20"/>
      <x:c r="O1201" s="20"/>
      <x:c r="P1201" s="20"/>
      <x:c r="Q1201" s="20"/>
      <x:c r="R1201" s="20"/>
      <x:c r="S1201" s="20"/>
      <x:c r="T1201" s="20"/>
      <x:c r="U1201" s="20"/>
      <x:c r="V1201" s="20"/>
      <x:c r="W1201" s="20"/>
      <x:c r="X1201" s="20"/>
      <x:c r="Y1201" s="21"/>
    </x:row>
    <x:row r="1202">
      <x:c r="A1202" s="19"/>
      <x:c r="B1202" s="27"/>
      <x:c r="C1202" s="20"/>
      <x:c r="D1202" s="28"/>
      <x:c r="E1202" s="20"/>
      <x:c r="F1202" s="25"/>
      <x:c r="G1202" s="20"/>
      <x:c r="H1202" s="20"/>
      <x:c r="I1202" s="20"/>
      <x:c r="J1202" s="20"/>
      <x:c r="K1202" s="20"/>
      <x:c r="L1202" s="20"/>
      <x:c r="M1202" s="20"/>
      <x:c r="N1202" s="20"/>
      <x:c r="O1202" s="20"/>
      <x:c r="P1202" s="20"/>
      <x:c r="Q1202" s="20"/>
      <x:c r="R1202" s="20"/>
      <x:c r="S1202" s="20"/>
      <x:c r="T1202" s="20"/>
      <x:c r="U1202" s="20"/>
      <x:c r="V1202" s="20"/>
      <x:c r="W1202" s="20"/>
      <x:c r="X1202" s="20"/>
      <x:c r="Y1202" s="21"/>
    </x:row>
    <x:row r="1203">
      <x:c r="A1203" s="19"/>
      <x:c r="B1203" s="27"/>
      <x:c r="C1203" s="20"/>
      <x:c r="D1203" s="28"/>
      <x:c r="E1203" s="20"/>
      <x:c r="F1203" s="25"/>
      <x:c r="G1203" s="20"/>
      <x:c r="H1203" s="20"/>
      <x:c r="I1203" s="20"/>
      <x:c r="J1203" s="20"/>
      <x:c r="K1203" s="20"/>
      <x:c r="L1203" s="20"/>
      <x:c r="M1203" s="20"/>
      <x:c r="N1203" s="20"/>
      <x:c r="O1203" s="20"/>
      <x:c r="P1203" s="20"/>
      <x:c r="Q1203" s="20"/>
      <x:c r="R1203" s="20"/>
      <x:c r="S1203" s="20"/>
      <x:c r="T1203" s="20"/>
      <x:c r="U1203" s="20"/>
      <x:c r="V1203" s="20"/>
      <x:c r="W1203" s="20"/>
      <x:c r="X1203" s="20"/>
      <x:c r="Y1203" s="21"/>
    </x:row>
    <x:row r="1204">
      <x:c r="A1204" s="19"/>
      <x:c r="B1204" s="27"/>
      <x:c r="C1204" s="20"/>
      <x:c r="D1204" s="28"/>
      <x:c r="E1204" s="20"/>
      <x:c r="F1204" s="25"/>
      <x:c r="G1204" s="20"/>
      <x:c r="H1204" s="20"/>
      <x:c r="I1204" s="20"/>
      <x:c r="J1204" s="20"/>
      <x:c r="K1204" s="20"/>
      <x:c r="L1204" s="20"/>
      <x:c r="M1204" s="20"/>
      <x:c r="N1204" s="20"/>
      <x:c r="O1204" s="20"/>
      <x:c r="P1204" s="20"/>
      <x:c r="Q1204" s="20"/>
      <x:c r="R1204" s="20"/>
      <x:c r="S1204" s="20"/>
      <x:c r="T1204" s="20"/>
      <x:c r="U1204" s="20"/>
      <x:c r="V1204" s="20"/>
      <x:c r="W1204" s="20"/>
      <x:c r="X1204" s="20"/>
      <x:c r="Y1204" s="21"/>
    </x:row>
    <x:row r="1205">
      <x:c r="A1205" s="19"/>
      <x:c r="B1205" s="27"/>
      <x:c r="C1205" s="20"/>
      <x:c r="D1205" s="28"/>
      <x:c r="E1205" s="20"/>
      <x:c r="F1205" s="25"/>
      <x:c r="G1205" s="20"/>
      <x:c r="H1205" s="20"/>
      <x:c r="I1205" s="20"/>
      <x:c r="J1205" s="20"/>
      <x:c r="K1205" s="20"/>
      <x:c r="L1205" s="20"/>
      <x:c r="M1205" s="20"/>
      <x:c r="N1205" s="20"/>
      <x:c r="O1205" s="20"/>
      <x:c r="P1205" s="20"/>
      <x:c r="Q1205" s="20"/>
      <x:c r="R1205" s="20"/>
      <x:c r="S1205" s="20"/>
      <x:c r="T1205" s="20"/>
      <x:c r="U1205" s="20"/>
      <x:c r="V1205" s="20"/>
      <x:c r="W1205" s="20"/>
      <x:c r="X1205" s="20"/>
      <x:c r="Y1205" s="21"/>
    </x:row>
    <x:row r="1206">
      <x:c r="A1206" s="19"/>
      <x:c r="B1206" s="27"/>
      <x:c r="C1206" s="20"/>
      <x:c r="D1206" s="28"/>
      <x:c r="E1206" s="20"/>
      <x:c r="F1206" s="25"/>
      <x:c r="G1206" s="20"/>
      <x:c r="H1206" s="20"/>
      <x:c r="I1206" s="20"/>
      <x:c r="J1206" s="20"/>
      <x:c r="K1206" s="20"/>
      <x:c r="L1206" s="20"/>
      <x:c r="M1206" s="20"/>
      <x:c r="N1206" s="20"/>
      <x:c r="O1206" s="20"/>
      <x:c r="P1206" s="20"/>
      <x:c r="Q1206" s="20"/>
      <x:c r="R1206" s="20"/>
      <x:c r="S1206" s="20"/>
      <x:c r="T1206" s="20"/>
      <x:c r="U1206" s="20"/>
      <x:c r="V1206" s="20"/>
      <x:c r="W1206" s="20"/>
      <x:c r="X1206" s="20"/>
      <x:c r="Y1206" s="21"/>
    </x:row>
    <x:row r="1207">
      <x:c r="A1207" s="19"/>
      <x:c r="B1207" s="27"/>
      <x:c r="C1207" s="20"/>
      <x:c r="D1207" s="28"/>
      <x:c r="E1207" s="20"/>
      <x:c r="F1207" s="25"/>
      <x:c r="G1207" s="20"/>
      <x:c r="H1207" s="20"/>
      <x:c r="I1207" s="20"/>
      <x:c r="J1207" s="20"/>
      <x:c r="K1207" s="20"/>
      <x:c r="L1207" s="20"/>
      <x:c r="M1207" s="20"/>
      <x:c r="N1207" s="20"/>
      <x:c r="O1207" s="20"/>
      <x:c r="P1207" s="20"/>
      <x:c r="Q1207" s="20"/>
      <x:c r="R1207" s="20"/>
      <x:c r="S1207" s="20"/>
      <x:c r="T1207" s="20"/>
      <x:c r="U1207" s="20"/>
      <x:c r="V1207" s="20"/>
      <x:c r="W1207" s="20"/>
      <x:c r="X1207" s="20"/>
      <x:c r="Y1207" s="21"/>
    </x:row>
    <x:row r="1208">
      <x:c r="A1208" s="19"/>
      <x:c r="B1208" s="27"/>
      <x:c r="C1208" s="20"/>
      <x:c r="D1208" s="28"/>
      <x:c r="E1208" s="20"/>
      <x:c r="F1208" s="25"/>
      <x:c r="G1208" s="20"/>
      <x:c r="H1208" s="20"/>
      <x:c r="I1208" s="20"/>
      <x:c r="J1208" s="20"/>
      <x:c r="K1208" s="20"/>
      <x:c r="L1208" s="20"/>
      <x:c r="M1208" s="20"/>
      <x:c r="N1208" s="20"/>
      <x:c r="O1208" s="20"/>
      <x:c r="P1208" s="20"/>
      <x:c r="Q1208" s="20"/>
      <x:c r="R1208" s="20"/>
      <x:c r="S1208" s="20"/>
      <x:c r="T1208" s="20"/>
      <x:c r="U1208" s="20"/>
      <x:c r="V1208" s="20"/>
      <x:c r="W1208" s="20"/>
      <x:c r="X1208" s="20"/>
      <x:c r="Y1208" s="21"/>
    </x:row>
    <x:row r="1209">
      <x:c r="A1209" s="19"/>
      <x:c r="B1209" s="27"/>
      <x:c r="C1209" s="20"/>
      <x:c r="D1209" s="28"/>
      <x:c r="E1209" s="20"/>
      <x:c r="F1209" s="25"/>
      <x:c r="G1209" s="20"/>
      <x:c r="H1209" s="20"/>
      <x:c r="I1209" s="20"/>
      <x:c r="J1209" s="20"/>
      <x:c r="K1209" s="20"/>
      <x:c r="L1209" s="20"/>
      <x:c r="M1209" s="20"/>
      <x:c r="N1209" s="20"/>
      <x:c r="O1209" s="20"/>
      <x:c r="P1209" s="20"/>
      <x:c r="Q1209" s="20"/>
      <x:c r="R1209" s="20"/>
      <x:c r="S1209" s="20"/>
      <x:c r="T1209" s="20"/>
      <x:c r="U1209" s="20"/>
      <x:c r="V1209" s="20"/>
      <x:c r="W1209" s="20"/>
      <x:c r="X1209" s="20"/>
      <x:c r="Y1209" s="21"/>
    </x:row>
    <x:row r="1210">
      <x:c r="A1210" s="19"/>
      <x:c r="B1210" s="27"/>
      <x:c r="C1210" s="20"/>
      <x:c r="D1210" s="28"/>
      <x:c r="E1210" s="20"/>
      <x:c r="F1210" s="25"/>
      <x:c r="G1210" s="20"/>
      <x:c r="H1210" s="20"/>
      <x:c r="I1210" s="20"/>
      <x:c r="J1210" s="20"/>
      <x:c r="K1210" s="20"/>
      <x:c r="L1210" s="20"/>
      <x:c r="M1210" s="20"/>
      <x:c r="N1210" s="20"/>
      <x:c r="O1210" s="20"/>
      <x:c r="P1210" s="20"/>
      <x:c r="Q1210" s="20"/>
      <x:c r="R1210" s="20"/>
      <x:c r="S1210" s="20"/>
      <x:c r="T1210" s="20"/>
      <x:c r="U1210" s="20"/>
      <x:c r="V1210" s="20"/>
      <x:c r="W1210" s="20"/>
      <x:c r="X1210" s="20"/>
      <x:c r="Y1210" s="21"/>
    </x:row>
    <x:row r="1211">
      <x:c r="A1211" s="19"/>
      <x:c r="B1211" s="27"/>
      <x:c r="C1211" s="20"/>
      <x:c r="D1211" s="28"/>
      <x:c r="E1211" s="20"/>
      <x:c r="F1211" s="25"/>
      <x:c r="G1211" s="20"/>
      <x:c r="H1211" s="20"/>
      <x:c r="I1211" s="20"/>
      <x:c r="J1211" s="20"/>
      <x:c r="K1211" s="20"/>
      <x:c r="L1211" s="20"/>
      <x:c r="M1211" s="20"/>
      <x:c r="N1211" s="20"/>
      <x:c r="O1211" s="20"/>
      <x:c r="P1211" s="20"/>
      <x:c r="Q1211" s="20"/>
      <x:c r="R1211" s="20"/>
      <x:c r="S1211" s="20"/>
      <x:c r="T1211" s="20"/>
      <x:c r="U1211" s="20"/>
      <x:c r="V1211" s="20"/>
      <x:c r="W1211" s="20"/>
      <x:c r="X1211" s="20"/>
      <x:c r="Y1211" s="21"/>
    </x:row>
    <x:row r="1212">
      <x:c r="A1212" s="19"/>
      <x:c r="B1212" s="27"/>
      <x:c r="C1212" s="20"/>
      <x:c r="D1212" s="28"/>
      <x:c r="E1212" s="20"/>
      <x:c r="F1212" s="25"/>
      <x:c r="G1212" s="20"/>
      <x:c r="H1212" s="20"/>
      <x:c r="I1212" s="20"/>
      <x:c r="J1212" s="20"/>
      <x:c r="K1212" s="20"/>
      <x:c r="L1212" s="20"/>
      <x:c r="M1212" s="20"/>
      <x:c r="N1212" s="20"/>
      <x:c r="O1212" s="20"/>
      <x:c r="P1212" s="20"/>
      <x:c r="Q1212" s="20"/>
      <x:c r="R1212" s="20"/>
      <x:c r="S1212" s="20"/>
      <x:c r="T1212" s="20"/>
      <x:c r="U1212" s="20"/>
      <x:c r="V1212" s="20"/>
      <x:c r="W1212" s="20"/>
      <x:c r="X1212" s="20"/>
      <x:c r="Y1212" s="21"/>
    </x:row>
    <x:row r="1213">
      <x:c r="A1213" s="19"/>
      <x:c r="B1213" s="27"/>
      <x:c r="C1213" s="20"/>
      <x:c r="D1213" s="28"/>
      <x:c r="E1213" s="20"/>
      <x:c r="F1213" s="25"/>
      <x:c r="G1213" s="20"/>
      <x:c r="H1213" s="20"/>
      <x:c r="I1213" s="20"/>
      <x:c r="J1213" s="20"/>
      <x:c r="K1213" s="20"/>
      <x:c r="L1213" s="20"/>
      <x:c r="M1213" s="20"/>
      <x:c r="N1213" s="20"/>
      <x:c r="O1213" s="20"/>
      <x:c r="P1213" s="20"/>
      <x:c r="Q1213" s="20"/>
      <x:c r="R1213" s="20"/>
      <x:c r="S1213" s="20"/>
      <x:c r="T1213" s="20"/>
      <x:c r="U1213" s="20"/>
      <x:c r="V1213" s="20"/>
      <x:c r="W1213" s="20"/>
      <x:c r="X1213" s="20"/>
      <x:c r="Y1213" s="21"/>
    </x:row>
    <x:row r="1214">
      <x:c r="A1214" s="19"/>
      <x:c r="B1214" s="27"/>
      <x:c r="C1214" s="20"/>
      <x:c r="D1214" s="28"/>
      <x:c r="E1214" s="20"/>
      <x:c r="F1214" s="25"/>
      <x:c r="G1214" s="20"/>
      <x:c r="H1214" s="20"/>
      <x:c r="I1214" s="20"/>
      <x:c r="J1214" s="20"/>
      <x:c r="K1214" s="20"/>
      <x:c r="L1214" s="20"/>
      <x:c r="M1214" s="20"/>
      <x:c r="N1214" s="20"/>
      <x:c r="O1214" s="20"/>
      <x:c r="P1214" s="20"/>
      <x:c r="Q1214" s="20"/>
      <x:c r="R1214" s="20"/>
      <x:c r="S1214" s="20"/>
      <x:c r="T1214" s="20"/>
      <x:c r="U1214" s="20"/>
      <x:c r="V1214" s="20"/>
      <x:c r="W1214" s="20"/>
      <x:c r="X1214" s="20"/>
      <x:c r="Y1214" s="21"/>
    </x:row>
    <x:row r="1215">
      <x:c r="A1215" s="19"/>
      <x:c r="B1215" s="27"/>
      <x:c r="C1215" s="20"/>
      <x:c r="D1215" s="28"/>
      <x:c r="E1215" s="20"/>
      <x:c r="F1215" s="25"/>
      <x:c r="G1215" s="20"/>
      <x:c r="H1215" s="20"/>
      <x:c r="I1215" s="20"/>
      <x:c r="J1215" s="20"/>
      <x:c r="K1215" s="20"/>
      <x:c r="L1215" s="20"/>
      <x:c r="M1215" s="20"/>
      <x:c r="N1215" s="20"/>
      <x:c r="O1215" s="20"/>
      <x:c r="P1215" s="20"/>
      <x:c r="Q1215" s="20"/>
      <x:c r="R1215" s="20"/>
      <x:c r="S1215" s="20"/>
      <x:c r="T1215" s="20"/>
      <x:c r="U1215" s="20"/>
      <x:c r="V1215" s="20"/>
      <x:c r="W1215" s="20"/>
      <x:c r="X1215" s="20"/>
      <x:c r="Y1215" s="21"/>
    </x:row>
    <x:row r="1216">
      <x:c r="A1216" s="19"/>
      <x:c r="B1216" s="27"/>
      <x:c r="C1216" s="20"/>
      <x:c r="D1216" s="28"/>
      <x:c r="E1216" s="20"/>
      <x:c r="F1216" s="25"/>
      <x:c r="G1216" s="20"/>
      <x:c r="H1216" s="20"/>
      <x:c r="I1216" s="20"/>
      <x:c r="J1216" s="20"/>
      <x:c r="K1216" s="20"/>
      <x:c r="L1216" s="20"/>
      <x:c r="M1216" s="20"/>
      <x:c r="N1216" s="20"/>
      <x:c r="O1216" s="20"/>
      <x:c r="P1216" s="20"/>
      <x:c r="Q1216" s="20"/>
      <x:c r="R1216" s="20"/>
      <x:c r="S1216" s="20"/>
      <x:c r="T1216" s="20"/>
      <x:c r="U1216" s="20"/>
      <x:c r="V1216" s="20"/>
      <x:c r="W1216" s="20"/>
      <x:c r="X1216" s="20"/>
      <x:c r="Y1216" s="21"/>
    </x:row>
    <x:row r="1217">
      <x:c r="A1217" s="19"/>
      <x:c r="B1217" s="27"/>
      <x:c r="C1217" s="20"/>
      <x:c r="D1217" s="28"/>
      <x:c r="E1217" s="20"/>
      <x:c r="F1217" s="25"/>
      <x:c r="G1217" s="20"/>
      <x:c r="H1217" s="20"/>
      <x:c r="I1217" s="20"/>
      <x:c r="J1217" s="20"/>
      <x:c r="K1217" s="20"/>
      <x:c r="L1217" s="20"/>
      <x:c r="M1217" s="20"/>
      <x:c r="N1217" s="20"/>
      <x:c r="O1217" s="20"/>
      <x:c r="P1217" s="20"/>
      <x:c r="Q1217" s="20"/>
      <x:c r="R1217" s="20"/>
      <x:c r="S1217" s="20"/>
      <x:c r="T1217" s="20"/>
      <x:c r="U1217" s="20"/>
      <x:c r="V1217" s="20"/>
      <x:c r="W1217" s="20"/>
      <x:c r="X1217" s="20"/>
      <x:c r="Y1217" s="21"/>
    </x:row>
    <x:row r="1218">
      <x:c r="A1218" s="19"/>
      <x:c r="B1218" s="27"/>
      <x:c r="C1218" s="20"/>
      <x:c r="D1218" s="28"/>
      <x:c r="E1218" s="20"/>
      <x:c r="F1218" s="25"/>
      <x:c r="G1218" s="20"/>
      <x:c r="H1218" s="20"/>
      <x:c r="I1218" s="20"/>
      <x:c r="J1218" s="20"/>
      <x:c r="K1218" s="20"/>
      <x:c r="L1218" s="20"/>
      <x:c r="M1218" s="20"/>
      <x:c r="N1218" s="20"/>
      <x:c r="O1218" s="20"/>
      <x:c r="P1218" s="20"/>
      <x:c r="Q1218" s="20"/>
      <x:c r="R1218" s="20"/>
      <x:c r="S1218" s="20"/>
      <x:c r="T1218" s="20"/>
      <x:c r="U1218" s="20"/>
      <x:c r="V1218" s="20"/>
      <x:c r="W1218" s="20"/>
      <x:c r="X1218" s="20"/>
      <x:c r="Y1218" s="21"/>
    </x:row>
    <x:row r="1219">
      <x:c r="A1219" s="19"/>
      <x:c r="B1219" s="27"/>
      <x:c r="C1219" s="20"/>
      <x:c r="D1219" s="28"/>
      <x:c r="E1219" s="20"/>
      <x:c r="F1219" s="25"/>
      <x:c r="G1219" s="20"/>
      <x:c r="H1219" s="20"/>
      <x:c r="I1219" s="20"/>
      <x:c r="J1219" s="20"/>
      <x:c r="K1219" s="20"/>
      <x:c r="L1219" s="20"/>
      <x:c r="M1219" s="20"/>
      <x:c r="N1219" s="20"/>
      <x:c r="O1219" s="20"/>
      <x:c r="P1219" s="20"/>
      <x:c r="Q1219" s="20"/>
      <x:c r="R1219" s="20"/>
      <x:c r="S1219" s="20"/>
      <x:c r="T1219" s="20"/>
      <x:c r="U1219" s="20"/>
      <x:c r="V1219" s="20"/>
      <x:c r="W1219" s="20"/>
      <x:c r="X1219" s="20"/>
      <x:c r="Y1219" s="21"/>
    </x:row>
    <x:row r="1220">
      <x:c r="A1220" s="19"/>
      <x:c r="B1220" s="27"/>
      <x:c r="C1220" s="20"/>
      <x:c r="D1220" s="28"/>
      <x:c r="E1220" s="20"/>
      <x:c r="F1220" s="25"/>
      <x:c r="G1220" s="20"/>
      <x:c r="H1220" s="20"/>
      <x:c r="I1220" s="20"/>
      <x:c r="J1220" s="20"/>
      <x:c r="K1220" s="20"/>
      <x:c r="L1220" s="20"/>
      <x:c r="M1220" s="20"/>
      <x:c r="N1220" s="20"/>
      <x:c r="O1220" s="20"/>
      <x:c r="P1220" s="20"/>
      <x:c r="Q1220" s="20"/>
      <x:c r="R1220" s="20"/>
      <x:c r="S1220" s="20"/>
      <x:c r="T1220" s="20"/>
      <x:c r="U1220" s="20"/>
      <x:c r="V1220" s="20"/>
      <x:c r="W1220" s="20"/>
      <x:c r="X1220" s="20"/>
      <x:c r="Y1220" s="21"/>
    </x:row>
    <x:row r="1221">
      <x:c r="A1221" s="19"/>
      <x:c r="B1221" s="27"/>
      <x:c r="C1221" s="20"/>
      <x:c r="D1221" s="28"/>
      <x:c r="E1221" s="20"/>
      <x:c r="F1221" s="25"/>
      <x:c r="G1221" s="20"/>
      <x:c r="H1221" s="20"/>
      <x:c r="I1221" s="20"/>
      <x:c r="J1221" s="20"/>
      <x:c r="K1221" s="20"/>
      <x:c r="L1221" s="20"/>
      <x:c r="M1221" s="20"/>
      <x:c r="N1221" s="20"/>
      <x:c r="O1221" s="20"/>
      <x:c r="P1221" s="20"/>
      <x:c r="Q1221" s="20"/>
      <x:c r="R1221" s="20"/>
      <x:c r="S1221" s="20"/>
      <x:c r="T1221" s="20"/>
      <x:c r="U1221" s="20"/>
      <x:c r="V1221" s="20"/>
      <x:c r="W1221" s="20"/>
      <x:c r="X1221" s="20"/>
      <x:c r="Y1221" s="21"/>
    </x:row>
    <x:row r="1222">
      <x:c r="A1222" s="19"/>
      <x:c r="B1222" s="27"/>
      <x:c r="C1222" s="20"/>
      <x:c r="D1222" s="28"/>
      <x:c r="E1222" s="20"/>
      <x:c r="F1222" s="25"/>
      <x:c r="G1222" s="20"/>
      <x:c r="H1222" s="20"/>
      <x:c r="I1222" s="20"/>
      <x:c r="J1222" s="20"/>
      <x:c r="K1222" s="20"/>
      <x:c r="L1222" s="20"/>
      <x:c r="M1222" s="20"/>
      <x:c r="N1222" s="20"/>
      <x:c r="O1222" s="20"/>
      <x:c r="P1222" s="20"/>
      <x:c r="Q1222" s="20"/>
      <x:c r="R1222" s="20"/>
      <x:c r="S1222" s="20"/>
      <x:c r="T1222" s="20"/>
      <x:c r="U1222" s="20"/>
      <x:c r="V1222" s="20"/>
      <x:c r="W1222" s="20"/>
      <x:c r="X1222" s="20"/>
      <x:c r="Y1222" s="21"/>
    </x:row>
    <x:row r="1223">
      <x:c r="A1223" s="19"/>
      <x:c r="B1223" s="27"/>
      <x:c r="C1223" s="20"/>
      <x:c r="D1223" s="28"/>
      <x:c r="E1223" s="20"/>
      <x:c r="F1223" s="25"/>
      <x:c r="G1223" s="20"/>
      <x:c r="H1223" s="20"/>
      <x:c r="I1223" s="20"/>
      <x:c r="J1223" s="20"/>
      <x:c r="K1223" s="20"/>
      <x:c r="L1223" s="20"/>
      <x:c r="M1223" s="20"/>
      <x:c r="N1223" s="20"/>
      <x:c r="O1223" s="20"/>
      <x:c r="P1223" s="20"/>
      <x:c r="Q1223" s="20"/>
      <x:c r="R1223" s="20"/>
      <x:c r="S1223" s="20"/>
      <x:c r="T1223" s="20"/>
      <x:c r="U1223" s="20"/>
      <x:c r="V1223" s="20"/>
      <x:c r="W1223" s="20"/>
      <x:c r="X1223" s="20"/>
      <x:c r="Y1223" s="21"/>
    </x:row>
    <x:row r="1224">
      <x:c r="A1224" s="19"/>
      <x:c r="B1224" s="27"/>
      <x:c r="C1224" s="20"/>
      <x:c r="D1224" s="28"/>
      <x:c r="E1224" s="20"/>
      <x:c r="F1224" s="25"/>
      <x:c r="G1224" s="20"/>
      <x:c r="H1224" s="20"/>
      <x:c r="I1224" s="20"/>
      <x:c r="J1224" s="20"/>
      <x:c r="K1224" s="20"/>
      <x:c r="L1224" s="20"/>
      <x:c r="M1224" s="20"/>
      <x:c r="N1224" s="20"/>
      <x:c r="O1224" s="20"/>
      <x:c r="P1224" s="20"/>
      <x:c r="Q1224" s="20"/>
      <x:c r="R1224" s="20"/>
      <x:c r="S1224" s="20"/>
      <x:c r="T1224" s="20"/>
      <x:c r="U1224" s="20"/>
      <x:c r="V1224" s="20"/>
      <x:c r="W1224" s="20"/>
      <x:c r="X1224" s="20"/>
      <x:c r="Y1224" s="21"/>
    </x:row>
    <x:row r="1225">
      <x:c r="A1225" s="19"/>
      <x:c r="B1225" s="27"/>
      <x:c r="C1225" s="20"/>
      <x:c r="D1225" s="28"/>
      <x:c r="E1225" s="20"/>
      <x:c r="F1225" s="25"/>
      <x:c r="G1225" s="20"/>
      <x:c r="H1225" s="20"/>
      <x:c r="I1225" s="20"/>
      <x:c r="J1225" s="20"/>
      <x:c r="K1225" s="20"/>
      <x:c r="L1225" s="20"/>
      <x:c r="M1225" s="20"/>
      <x:c r="N1225" s="20"/>
      <x:c r="O1225" s="20"/>
      <x:c r="P1225" s="20"/>
      <x:c r="Q1225" s="20"/>
      <x:c r="R1225" s="20"/>
      <x:c r="S1225" s="20"/>
      <x:c r="T1225" s="20"/>
      <x:c r="U1225" s="20"/>
      <x:c r="V1225" s="20"/>
      <x:c r="W1225" s="20"/>
      <x:c r="X1225" s="20"/>
      <x:c r="Y1225" s="21"/>
    </x:row>
    <x:row r="1226">
      <x:c r="A1226" s="19"/>
      <x:c r="B1226" s="27"/>
      <x:c r="C1226" s="20"/>
      <x:c r="D1226" s="28"/>
      <x:c r="E1226" s="20"/>
      <x:c r="F1226" s="25"/>
      <x:c r="G1226" s="20"/>
      <x:c r="H1226" s="20"/>
      <x:c r="I1226" s="20"/>
      <x:c r="J1226" s="20"/>
      <x:c r="K1226" s="20"/>
      <x:c r="L1226" s="20"/>
      <x:c r="M1226" s="20"/>
      <x:c r="N1226" s="20"/>
      <x:c r="O1226" s="20"/>
      <x:c r="P1226" s="20"/>
      <x:c r="Q1226" s="20"/>
      <x:c r="R1226" s="20"/>
      <x:c r="S1226" s="20"/>
      <x:c r="T1226" s="20"/>
      <x:c r="U1226" s="20"/>
      <x:c r="V1226" s="20"/>
      <x:c r="W1226" s="20"/>
      <x:c r="X1226" s="20"/>
      <x:c r="Y1226" s="21"/>
    </x:row>
    <x:row r="1227">
      <x:c r="A1227" s="19"/>
      <x:c r="B1227" s="27"/>
      <x:c r="C1227" s="20"/>
      <x:c r="D1227" s="28"/>
      <x:c r="E1227" s="20"/>
      <x:c r="F1227" s="25"/>
      <x:c r="G1227" s="20"/>
      <x:c r="H1227" s="20"/>
      <x:c r="I1227" s="20"/>
      <x:c r="J1227" s="20"/>
      <x:c r="K1227" s="20"/>
      <x:c r="L1227" s="20"/>
      <x:c r="M1227" s="20"/>
      <x:c r="N1227" s="20"/>
      <x:c r="O1227" s="20"/>
      <x:c r="P1227" s="20"/>
      <x:c r="Q1227" s="20"/>
      <x:c r="R1227" s="20"/>
      <x:c r="S1227" s="20"/>
      <x:c r="T1227" s="20"/>
      <x:c r="U1227" s="20"/>
      <x:c r="V1227" s="20"/>
      <x:c r="W1227" s="20"/>
      <x:c r="X1227" s="20"/>
      <x:c r="Y1227" s="21"/>
    </x:row>
    <x:row r="1228">
      <x:c r="A1228" s="19"/>
      <x:c r="B1228" s="27"/>
      <x:c r="C1228" s="20"/>
      <x:c r="D1228" s="28"/>
      <x:c r="E1228" s="20"/>
      <x:c r="F1228" s="25"/>
      <x:c r="G1228" s="20"/>
      <x:c r="H1228" s="20"/>
      <x:c r="I1228" s="20"/>
      <x:c r="J1228" s="20"/>
      <x:c r="K1228" s="20"/>
      <x:c r="L1228" s="20"/>
      <x:c r="M1228" s="20"/>
      <x:c r="N1228" s="20"/>
      <x:c r="O1228" s="20"/>
      <x:c r="P1228" s="20"/>
      <x:c r="Q1228" s="20"/>
      <x:c r="R1228" s="20"/>
      <x:c r="S1228" s="20"/>
      <x:c r="T1228" s="20"/>
      <x:c r="U1228" s="20"/>
      <x:c r="V1228" s="20"/>
      <x:c r="W1228" s="20"/>
      <x:c r="X1228" s="20"/>
      <x:c r="Y1228" s="21"/>
    </x:row>
    <x:row r="1229">
      <x:c r="A1229" s="19"/>
      <x:c r="B1229" s="27"/>
      <x:c r="C1229" s="20"/>
      <x:c r="D1229" s="28"/>
      <x:c r="E1229" s="20"/>
      <x:c r="F1229" s="25"/>
      <x:c r="G1229" s="20"/>
      <x:c r="H1229" s="20"/>
      <x:c r="I1229" s="20"/>
      <x:c r="J1229" s="20"/>
      <x:c r="K1229" s="20"/>
      <x:c r="L1229" s="20"/>
      <x:c r="M1229" s="20"/>
      <x:c r="N1229" s="20"/>
      <x:c r="O1229" s="20"/>
      <x:c r="P1229" s="20"/>
      <x:c r="Q1229" s="20"/>
      <x:c r="R1229" s="20"/>
      <x:c r="S1229" s="20"/>
      <x:c r="T1229" s="20"/>
      <x:c r="U1229" s="20"/>
      <x:c r="V1229" s="20"/>
      <x:c r="W1229" s="20"/>
      <x:c r="X1229" s="20"/>
      <x:c r="Y1229" s="21"/>
    </x:row>
    <x:row r="1230">
      <x:c r="A1230" s="19"/>
      <x:c r="B1230" s="27"/>
      <x:c r="C1230" s="20"/>
      <x:c r="D1230" s="28"/>
      <x:c r="E1230" s="20"/>
      <x:c r="F1230" s="25"/>
      <x:c r="G1230" s="20"/>
      <x:c r="H1230" s="20"/>
      <x:c r="I1230" s="20"/>
      <x:c r="J1230" s="20"/>
      <x:c r="K1230" s="20"/>
      <x:c r="L1230" s="20"/>
      <x:c r="M1230" s="20"/>
      <x:c r="N1230" s="20"/>
      <x:c r="O1230" s="20"/>
      <x:c r="P1230" s="20"/>
      <x:c r="Q1230" s="20"/>
      <x:c r="R1230" s="20"/>
      <x:c r="S1230" s="20"/>
      <x:c r="T1230" s="20"/>
      <x:c r="U1230" s="20"/>
      <x:c r="V1230" s="20"/>
      <x:c r="W1230" s="20"/>
      <x:c r="X1230" s="20"/>
      <x:c r="Y1230" s="21"/>
    </x:row>
    <x:row r="1231">
      <x:c r="A1231" s="19"/>
      <x:c r="B1231" s="27"/>
      <x:c r="C1231" s="20"/>
      <x:c r="D1231" s="28"/>
      <x:c r="E1231" s="20"/>
      <x:c r="F1231" s="25"/>
      <x:c r="G1231" s="20"/>
      <x:c r="H1231" s="20"/>
      <x:c r="I1231" s="20"/>
      <x:c r="J1231" s="20"/>
      <x:c r="K1231" s="20"/>
      <x:c r="L1231" s="20"/>
      <x:c r="M1231" s="20"/>
      <x:c r="N1231" s="20"/>
      <x:c r="O1231" s="20"/>
      <x:c r="P1231" s="20"/>
      <x:c r="Q1231" s="20"/>
      <x:c r="R1231" s="20"/>
      <x:c r="S1231" s="20"/>
      <x:c r="T1231" s="20"/>
      <x:c r="U1231" s="20"/>
      <x:c r="V1231" s="20"/>
      <x:c r="W1231" s="20"/>
      <x:c r="X1231" s="20"/>
      <x:c r="Y1231" s="21"/>
    </x:row>
    <x:row r="1232">
      <x:c r="A1232" s="19"/>
      <x:c r="B1232" s="27"/>
      <x:c r="C1232" s="20"/>
      <x:c r="D1232" s="28"/>
      <x:c r="E1232" s="20"/>
      <x:c r="F1232" s="25"/>
      <x:c r="G1232" s="20"/>
      <x:c r="H1232" s="20"/>
      <x:c r="I1232" s="20"/>
      <x:c r="J1232" s="20"/>
      <x:c r="K1232" s="20"/>
      <x:c r="L1232" s="20"/>
      <x:c r="M1232" s="20"/>
      <x:c r="N1232" s="20"/>
      <x:c r="O1232" s="20"/>
      <x:c r="P1232" s="20"/>
      <x:c r="Q1232" s="20"/>
      <x:c r="R1232" s="20"/>
      <x:c r="S1232" s="20"/>
      <x:c r="T1232" s="20"/>
      <x:c r="U1232" s="20"/>
      <x:c r="V1232" s="20"/>
      <x:c r="W1232" s="20"/>
      <x:c r="X1232" s="20"/>
      <x:c r="Y1232" s="21"/>
    </x:row>
    <x:row r="1233">
      <x:c r="A1233" s="19"/>
      <x:c r="B1233" s="27"/>
      <x:c r="C1233" s="20"/>
      <x:c r="D1233" s="28"/>
      <x:c r="E1233" s="20"/>
      <x:c r="F1233" s="25"/>
      <x:c r="G1233" s="20"/>
      <x:c r="H1233" s="20"/>
      <x:c r="I1233" s="20"/>
      <x:c r="J1233" s="20"/>
      <x:c r="K1233" s="20"/>
      <x:c r="L1233" s="20"/>
      <x:c r="M1233" s="20"/>
      <x:c r="N1233" s="20"/>
      <x:c r="O1233" s="20"/>
      <x:c r="P1233" s="20"/>
      <x:c r="Q1233" s="20"/>
      <x:c r="R1233" s="20"/>
      <x:c r="S1233" s="20"/>
      <x:c r="T1233" s="20"/>
      <x:c r="U1233" s="20"/>
      <x:c r="V1233" s="20"/>
      <x:c r="W1233" s="20"/>
      <x:c r="X1233" s="20"/>
      <x:c r="Y1233" s="21"/>
    </x:row>
    <x:row r="1234">
      <x:c r="A1234" s="19"/>
      <x:c r="B1234" s="27"/>
      <x:c r="C1234" s="20"/>
      <x:c r="D1234" s="28"/>
      <x:c r="E1234" s="20"/>
      <x:c r="F1234" s="25"/>
      <x:c r="G1234" s="20"/>
      <x:c r="H1234" s="20"/>
      <x:c r="I1234" s="20"/>
      <x:c r="J1234" s="20"/>
      <x:c r="K1234" s="20"/>
      <x:c r="L1234" s="20"/>
      <x:c r="M1234" s="20"/>
      <x:c r="N1234" s="20"/>
      <x:c r="O1234" s="20"/>
      <x:c r="P1234" s="20"/>
      <x:c r="Q1234" s="20"/>
      <x:c r="R1234" s="20"/>
      <x:c r="S1234" s="20"/>
      <x:c r="T1234" s="20"/>
      <x:c r="U1234" s="20"/>
      <x:c r="V1234" s="20"/>
      <x:c r="W1234" s="20"/>
      <x:c r="X1234" s="20"/>
      <x:c r="Y1234" s="21"/>
    </x:row>
    <x:row r="1235">
      <x:c r="A1235" s="19"/>
      <x:c r="B1235" s="27"/>
      <x:c r="C1235" s="20"/>
      <x:c r="D1235" s="28"/>
      <x:c r="E1235" s="20"/>
      <x:c r="F1235" s="25"/>
      <x:c r="G1235" s="20"/>
      <x:c r="H1235" s="20"/>
      <x:c r="I1235" s="20"/>
      <x:c r="J1235" s="20"/>
      <x:c r="K1235" s="20"/>
      <x:c r="L1235" s="20"/>
      <x:c r="M1235" s="20"/>
      <x:c r="N1235" s="20"/>
      <x:c r="O1235" s="20"/>
      <x:c r="P1235" s="20"/>
      <x:c r="Q1235" s="20"/>
      <x:c r="R1235" s="20"/>
      <x:c r="S1235" s="20"/>
      <x:c r="T1235" s="20"/>
      <x:c r="U1235" s="20"/>
      <x:c r="V1235" s="20"/>
      <x:c r="W1235" s="20"/>
      <x:c r="X1235" s="20"/>
      <x:c r="Y1235" s="21"/>
    </x:row>
    <x:row r="1236">
      <x:c r="A1236" s="19"/>
      <x:c r="B1236" s="27"/>
      <x:c r="C1236" s="20"/>
      <x:c r="D1236" s="28"/>
      <x:c r="E1236" s="20"/>
      <x:c r="F1236" s="25"/>
      <x:c r="G1236" s="20"/>
      <x:c r="H1236" s="20"/>
      <x:c r="I1236" s="20"/>
      <x:c r="J1236" s="20"/>
      <x:c r="K1236" s="20"/>
      <x:c r="L1236" s="20"/>
      <x:c r="M1236" s="20"/>
      <x:c r="N1236" s="20"/>
      <x:c r="O1236" s="20"/>
      <x:c r="P1236" s="20"/>
      <x:c r="Q1236" s="20"/>
      <x:c r="R1236" s="20"/>
      <x:c r="S1236" s="20"/>
      <x:c r="T1236" s="20"/>
      <x:c r="U1236" s="20"/>
      <x:c r="V1236" s="20"/>
      <x:c r="W1236" s="20"/>
      <x:c r="X1236" s="20"/>
      <x:c r="Y1236" s="21"/>
    </x:row>
    <x:row r="1237">
      <x:c r="A1237" s="19"/>
      <x:c r="B1237" s="27"/>
      <x:c r="C1237" s="20"/>
      <x:c r="D1237" s="28"/>
      <x:c r="E1237" s="20"/>
      <x:c r="F1237" s="25"/>
      <x:c r="G1237" s="20"/>
      <x:c r="H1237" s="20"/>
      <x:c r="I1237" s="20"/>
      <x:c r="J1237" s="20"/>
      <x:c r="K1237" s="20"/>
      <x:c r="L1237" s="20"/>
      <x:c r="M1237" s="20"/>
      <x:c r="N1237" s="20"/>
      <x:c r="O1237" s="20"/>
      <x:c r="P1237" s="20"/>
      <x:c r="Q1237" s="20"/>
      <x:c r="R1237" s="20"/>
      <x:c r="S1237" s="20"/>
      <x:c r="T1237" s="20"/>
      <x:c r="U1237" s="20"/>
      <x:c r="V1237" s="20"/>
      <x:c r="W1237" s="20"/>
      <x:c r="X1237" s="20"/>
      <x:c r="Y1237" s="21"/>
    </x:row>
    <x:row r="1238">
      <x:c r="A1238" s="19"/>
      <x:c r="B1238" s="27"/>
      <x:c r="C1238" s="20"/>
      <x:c r="D1238" s="28"/>
      <x:c r="E1238" s="20"/>
      <x:c r="F1238" s="25"/>
      <x:c r="G1238" s="20"/>
      <x:c r="H1238" s="20"/>
      <x:c r="I1238" s="20"/>
      <x:c r="J1238" s="20"/>
      <x:c r="K1238" s="20"/>
      <x:c r="L1238" s="20"/>
      <x:c r="M1238" s="20"/>
      <x:c r="N1238" s="20"/>
      <x:c r="O1238" s="20"/>
      <x:c r="P1238" s="20"/>
      <x:c r="Q1238" s="20"/>
      <x:c r="R1238" s="20"/>
      <x:c r="S1238" s="20"/>
      <x:c r="T1238" s="20"/>
      <x:c r="U1238" s="20"/>
      <x:c r="V1238" s="20"/>
      <x:c r="W1238" s="20"/>
      <x:c r="X1238" s="20"/>
      <x:c r="Y1238" s="21"/>
    </x:row>
    <x:row r="1239">
      <x:c r="A1239" s="19"/>
      <x:c r="B1239" s="27"/>
      <x:c r="C1239" s="20"/>
      <x:c r="D1239" s="28"/>
      <x:c r="E1239" s="20"/>
      <x:c r="F1239" s="25"/>
      <x:c r="G1239" s="20"/>
      <x:c r="H1239" s="20"/>
      <x:c r="I1239" s="20"/>
      <x:c r="J1239" s="20"/>
      <x:c r="K1239" s="20"/>
      <x:c r="L1239" s="20"/>
      <x:c r="M1239" s="20"/>
      <x:c r="N1239" s="20"/>
      <x:c r="O1239" s="20"/>
      <x:c r="P1239" s="20"/>
      <x:c r="Q1239" s="20"/>
      <x:c r="R1239" s="20"/>
      <x:c r="S1239" s="20"/>
      <x:c r="T1239" s="20"/>
      <x:c r="U1239" s="20"/>
      <x:c r="V1239" s="20"/>
      <x:c r="W1239" s="20"/>
      <x:c r="X1239" s="20"/>
      <x:c r="Y1239" s="21"/>
    </x:row>
    <x:row r="1240">
      <x:c r="A1240" s="19"/>
      <x:c r="B1240" s="27"/>
      <x:c r="C1240" s="20"/>
      <x:c r="D1240" s="28"/>
      <x:c r="E1240" s="20"/>
      <x:c r="F1240" s="25"/>
      <x:c r="G1240" s="20"/>
      <x:c r="H1240" s="20"/>
      <x:c r="I1240" s="20"/>
      <x:c r="J1240" s="20"/>
      <x:c r="K1240" s="20"/>
      <x:c r="L1240" s="20"/>
      <x:c r="M1240" s="20"/>
      <x:c r="N1240" s="20"/>
      <x:c r="O1240" s="20"/>
      <x:c r="P1240" s="20"/>
      <x:c r="Q1240" s="20"/>
      <x:c r="R1240" s="20"/>
      <x:c r="S1240" s="20"/>
      <x:c r="T1240" s="20"/>
      <x:c r="U1240" s="20"/>
      <x:c r="V1240" s="20"/>
      <x:c r="W1240" s="20"/>
      <x:c r="X1240" s="20"/>
      <x:c r="Y1240" s="21"/>
    </x:row>
    <x:row r="1241">
      <x:c r="A1241" s="19"/>
      <x:c r="B1241" s="27"/>
      <x:c r="C1241" s="20"/>
      <x:c r="D1241" s="28"/>
      <x:c r="E1241" s="20"/>
      <x:c r="F1241" s="25"/>
      <x:c r="G1241" s="20"/>
      <x:c r="H1241" s="20"/>
      <x:c r="I1241" s="20"/>
      <x:c r="J1241" s="20"/>
      <x:c r="K1241" s="20"/>
      <x:c r="L1241" s="20"/>
      <x:c r="M1241" s="20"/>
      <x:c r="N1241" s="20"/>
      <x:c r="O1241" s="20"/>
      <x:c r="P1241" s="20"/>
      <x:c r="Q1241" s="20"/>
      <x:c r="R1241" s="20"/>
      <x:c r="S1241" s="20"/>
      <x:c r="T1241" s="20"/>
      <x:c r="U1241" s="20"/>
      <x:c r="V1241" s="20"/>
      <x:c r="W1241" s="20"/>
      <x:c r="X1241" s="20"/>
      <x:c r="Y1241" s="21"/>
    </x:row>
    <x:row r="1242">
      <x:c r="A1242" s="19"/>
      <x:c r="B1242" s="27"/>
      <x:c r="C1242" s="20"/>
      <x:c r="D1242" s="28"/>
      <x:c r="E1242" s="20"/>
      <x:c r="F1242" s="25"/>
      <x:c r="G1242" s="20"/>
      <x:c r="H1242" s="20"/>
      <x:c r="I1242" s="20"/>
      <x:c r="J1242" s="20"/>
      <x:c r="K1242" s="20"/>
      <x:c r="L1242" s="20"/>
      <x:c r="M1242" s="20"/>
      <x:c r="N1242" s="20"/>
      <x:c r="O1242" s="20"/>
      <x:c r="P1242" s="20"/>
      <x:c r="Q1242" s="20"/>
      <x:c r="R1242" s="20"/>
      <x:c r="S1242" s="20"/>
      <x:c r="T1242" s="20"/>
      <x:c r="U1242" s="20"/>
      <x:c r="V1242" s="20"/>
      <x:c r="W1242" s="20"/>
      <x:c r="X1242" s="20"/>
      <x:c r="Y1242" s="21"/>
    </x:row>
    <x:row r="1243">
      <x:c r="A1243" s="19"/>
      <x:c r="B1243" s="27"/>
      <x:c r="C1243" s="20"/>
      <x:c r="D1243" s="28"/>
      <x:c r="E1243" s="20"/>
      <x:c r="F1243" s="25"/>
      <x:c r="G1243" s="20"/>
      <x:c r="H1243" s="20"/>
      <x:c r="I1243" s="20"/>
      <x:c r="J1243" s="20"/>
      <x:c r="K1243" s="20"/>
      <x:c r="L1243" s="20"/>
      <x:c r="M1243" s="20"/>
      <x:c r="N1243" s="20"/>
      <x:c r="O1243" s="20"/>
      <x:c r="P1243" s="20"/>
      <x:c r="Q1243" s="20"/>
      <x:c r="R1243" s="20"/>
      <x:c r="S1243" s="20"/>
      <x:c r="T1243" s="20"/>
      <x:c r="U1243" s="20"/>
      <x:c r="V1243" s="20"/>
      <x:c r="W1243" s="20"/>
      <x:c r="X1243" s="20"/>
      <x:c r="Y1243" s="21"/>
    </x:row>
    <x:row r="1244">
      <x:c r="A1244" s="19"/>
      <x:c r="B1244" s="27"/>
      <x:c r="C1244" s="20"/>
      <x:c r="D1244" s="28"/>
      <x:c r="E1244" s="20"/>
      <x:c r="F1244" s="25"/>
      <x:c r="G1244" s="20"/>
      <x:c r="H1244" s="20"/>
      <x:c r="I1244" s="20"/>
      <x:c r="J1244" s="20"/>
      <x:c r="K1244" s="20"/>
      <x:c r="L1244" s="20"/>
      <x:c r="M1244" s="20"/>
      <x:c r="N1244" s="20"/>
      <x:c r="O1244" s="20"/>
      <x:c r="P1244" s="20"/>
      <x:c r="Q1244" s="20"/>
      <x:c r="R1244" s="20"/>
      <x:c r="S1244" s="20"/>
      <x:c r="T1244" s="20"/>
      <x:c r="U1244" s="20"/>
      <x:c r="V1244" s="20"/>
      <x:c r="W1244" s="20"/>
      <x:c r="X1244" s="20"/>
      <x:c r="Y1244" s="21"/>
    </x:row>
    <x:row r="1245">
      <x:c r="A1245" s="19"/>
      <x:c r="B1245" s="27"/>
      <x:c r="C1245" s="20"/>
      <x:c r="D1245" s="28"/>
      <x:c r="E1245" s="20"/>
      <x:c r="F1245" s="25"/>
      <x:c r="G1245" s="20"/>
      <x:c r="H1245" s="20"/>
      <x:c r="I1245" s="20"/>
      <x:c r="J1245" s="20"/>
      <x:c r="K1245" s="20"/>
      <x:c r="L1245" s="20"/>
      <x:c r="M1245" s="20"/>
      <x:c r="N1245" s="20"/>
      <x:c r="O1245" s="20"/>
      <x:c r="P1245" s="20"/>
      <x:c r="Q1245" s="20"/>
      <x:c r="R1245" s="20"/>
      <x:c r="S1245" s="20"/>
      <x:c r="T1245" s="20"/>
      <x:c r="U1245" s="20"/>
      <x:c r="V1245" s="20"/>
      <x:c r="W1245" s="20"/>
      <x:c r="X1245" s="20"/>
      <x:c r="Y1245" s="21"/>
    </x:row>
    <x:row r="1246">
      <x:c r="A1246" s="19"/>
      <x:c r="B1246" s="27"/>
      <x:c r="C1246" s="20"/>
      <x:c r="D1246" s="28"/>
      <x:c r="E1246" s="20"/>
      <x:c r="F1246" s="25"/>
      <x:c r="G1246" s="20"/>
      <x:c r="H1246" s="20"/>
      <x:c r="I1246" s="20"/>
      <x:c r="J1246" s="20"/>
      <x:c r="K1246" s="20"/>
      <x:c r="L1246" s="20"/>
      <x:c r="M1246" s="20"/>
      <x:c r="N1246" s="20"/>
      <x:c r="O1246" s="20"/>
      <x:c r="P1246" s="20"/>
      <x:c r="Q1246" s="20"/>
      <x:c r="R1246" s="20"/>
      <x:c r="S1246" s="20"/>
      <x:c r="T1246" s="20"/>
      <x:c r="U1246" s="20"/>
      <x:c r="V1246" s="20"/>
      <x:c r="W1246" s="20"/>
      <x:c r="X1246" s="20"/>
      <x:c r="Y1246" s="21"/>
    </x:row>
    <x:row r="1247">
      <x:c r="A1247" s="19"/>
      <x:c r="B1247" s="27"/>
      <x:c r="C1247" s="20"/>
      <x:c r="D1247" s="28"/>
      <x:c r="E1247" s="20"/>
      <x:c r="F1247" s="25"/>
      <x:c r="G1247" s="20"/>
      <x:c r="H1247" s="20"/>
      <x:c r="I1247" s="20"/>
      <x:c r="J1247" s="20"/>
      <x:c r="K1247" s="20"/>
      <x:c r="L1247" s="20"/>
      <x:c r="M1247" s="20"/>
      <x:c r="N1247" s="20"/>
      <x:c r="O1247" s="20"/>
      <x:c r="P1247" s="20"/>
      <x:c r="Q1247" s="20"/>
      <x:c r="R1247" s="20"/>
      <x:c r="S1247" s="20"/>
      <x:c r="T1247" s="20"/>
      <x:c r="U1247" s="20"/>
      <x:c r="V1247" s="20"/>
      <x:c r="W1247" s="20"/>
      <x:c r="X1247" s="20"/>
      <x:c r="Y1247" s="21"/>
    </x:row>
    <x:row r="1248">
      <x:c r="A1248" s="19"/>
      <x:c r="B1248" s="27"/>
      <x:c r="C1248" s="20"/>
      <x:c r="D1248" s="28"/>
      <x:c r="E1248" s="20"/>
      <x:c r="F1248" s="25"/>
      <x:c r="G1248" s="20"/>
      <x:c r="H1248" s="20"/>
      <x:c r="I1248" s="20"/>
      <x:c r="J1248" s="20"/>
      <x:c r="K1248" s="20"/>
      <x:c r="L1248" s="20"/>
      <x:c r="M1248" s="20"/>
      <x:c r="N1248" s="20"/>
      <x:c r="O1248" s="20"/>
      <x:c r="P1248" s="20"/>
      <x:c r="Q1248" s="20"/>
      <x:c r="R1248" s="20"/>
      <x:c r="S1248" s="20"/>
      <x:c r="T1248" s="20"/>
      <x:c r="U1248" s="20"/>
      <x:c r="V1248" s="20"/>
      <x:c r="W1248" s="20"/>
      <x:c r="X1248" s="20"/>
      <x:c r="Y1248" s="21"/>
    </x:row>
    <x:row r="1249">
      <x:c r="A1249" s="19"/>
      <x:c r="B1249" s="27"/>
      <x:c r="C1249" s="20"/>
      <x:c r="D1249" s="28"/>
      <x:c r="E1249" s="20"/>
      <x:c r="F1249" s="25"/>
      <x:c r="G1249" s="20"/>
      <x:c r="H1249" s="20"/>
      <x:c r="I1249" s="20"/>
      <x:c r="J1249" s="20"/>
      <x:c r="K1249" s="20"/>
      <x:c r="L1249" s="20"/>
      <x:c r="M1249" s="20"/>
      <x:c r="N1249" s="20"/>
      <x:c r="O1249" s="20"/>
      <x:c r="P1249" s="20"/>
      <x:c r="Q1249" s="20"/>
      <x:c r="R1249" s="20"/>
      <x:c r="S1249" s="20"/>
      <x:c r="T1249" s="20"/>
      <x:c r="U1249" s="20"/>
      <x:c r="V1249" s="20"/>
      <x:c r="W1249" s="20"/>
      <x:c r="X1249" s="20"/>
      <x:c r="Y1249" s="21"/>
    </x:row>
    <x:row r="1250">
      <x:c r="A1250" s="19"/>
      <x:c r="B1250" s="27"/>
      <x:c r="C1250" s="20"/>
      <x:c r="D1250" s="28"/>
      <x:c r="E1250" s="20"/>
      <x:c r="F1250" s="25"/>
      <x:c r="G1250" s="20"/>
      <x:c r="H1250" s="20"/>
      <x:c r="I1250" s="20"/>
      <x:c r="J1250" s="20"/>
      <x:c r="K1250" s="20"/>
      <x:c r="L1250" s="20"/>
      <x:c r="M1250" s="20"/>
      <x:c r="N1250" s="20"/>
      <x:c r="O1250" s="20"/>
      <x:c r="P1250" s="20"/>
      <x:c r="Q1250" s="20"/>
      <x:c r="R1250" s="20"/>
      <x:c r="S1250" s="20"/>
      <x:c r="T1250" s="20"/>
      <x:c r="U1250" s="20"/>
      <x:c r="V1250" s="20"/>
      <x:c r="W1250" s="20"/>
      <x:c r="X1250" s="20"/>
      <x:c r="Y1250" s="21"/>
    </x:row>
    <x:row r="1251">
      <x:c r="A1251" s="19"/>
      <x:c r="B1251" s="27"/>
      <x:c r="C1251" s="20"/>
      <x:c r="D1251" s="28"/>
      <x:c r="E1251" s="20"/>
      <x:c r="F1251" s="25"/>
      <x:c r="G1251" s="20"/>
      <x:c r="H1251" s="20"/>
      <x:c r="I1251" s="20"/>
      <x:c r="J1251" s="20"/>
      <x:c r="K1251" s="20"/>
      <x:c r="L1251" s="20"/>
      <x:c r="M1251" s="20"/>
      <x:c r="N1251" s="20"/>
      <x:c r="O1251" s="20"/>
      <x:c r="P1251" s="20"/>
      <x:c r="Q1251" s="20"/>
      <x:c r="R1251" s="20"/>
      <x:c r="S1251" s="20"/>
      <x:c r="T1251" s="20"/>
      <x:c r="U1251" s="20"/>
      <x:c r="V1251" s="20"/>
      <x:c r="W1251" s="20"/>
      <x:c r="X1251" s="20"/>
      <x:c r="Y1251" s="21"/>
    </x:row>
    <x:row r="1252">
      <x:c r="A1252" s="19"/>
      <x:c r="B1252" s="27"/>
      <x:c r="C1252" s="20"/>
      <x:c r="D1252" s="28"/>
      <x:c r="E1252" s="20"/>
      <x:c r="F1252" s="25"/>
      <x:c r="G1252" s="20"/>
      <x:c r="H1252" s="20"/>
      <x:c r="I1252" s="20"/>
      <x:c r="J1252" s="20"/>
      <x:c r="K1252" s="20"/>
      <x:c r="L1252" s="20"/>
      <x:c r="M1252" s="20"/>
      <x:c r="N1252" s="20"/>
      <x:c r="O1252" s="20"/>
      <x:c r="P1252" s="20"/>
      <x:c r="Q1252" s="20"/>
      <x:c r="R1252" s="20"/>
      <x:c r="S1252" s="20"/>
      <x:c r="T1252" s="20"/>
      <x:c r="U1252" s="20"/>
      <x:c r="V1252" s="20"/>
      <x:c r="W1252" s="20"/>
      <x:c r="X1252" s="20"/>
      <x:c r="Y1252" s="21"/>
    </x:row>
    <x:row r="1253">
      <x:c r="A1253" s="19"/>
      <x:c r="B1253" s="27"/>
      <x:c r="C1253" s="20"/>
      <x:c r="D1253" s="28"/>
      <x:c r="E1253" s="20"/>
      <x:c r="F1253" s="25"/>
      <x:c r="G1253" s="20"/>
      <x:c r="H1253" s="20"/>
      <x:c r="I1253" s="20"/>
      <x:c r="J1253" s="20"/>
      <x:c r="K1253" s="20"/>
      <x:c r="L1253" s="20"/>
      <x:c r="M1253" s="20"/>
      <x:c r="N1253" s="20"/>
      <x:c r="O1253" s="20"/>
      <x:c r="P1253" s="20"/>
      <x:c r="Q1253" s="20"/>
      <x:c r="R1253" s="20"/>
      <x:c r="S1253" s="20"/>
      <x:c r="T1253" s="20"/>
      <x:c r="U1253" s="20"/>
      <x:c r="V1253" s="20"/>
      <x:c r="W1253" s="20"/>
      <x:c r="X1253" s="20"/>
      <x:c r="Y1253" s="21"/>
    </x:row>
    <x:row r="1254">
      <x:c r="A1254" s="19"/>
      <x:c r="B1254" s="27"/>
      <x:c r="C1254" s="20"/>
      <x:c r="D1254" s="28"/>
      <x:c r="E1254" s="20"/>
      <x:c r="F1254" s="25"/>
      <x:c r="G1254" s="20"/>
      <x:c r="H1254" s="20"/>
      <x:c r="I1254" s="20"/>
      <x:c r="J1254" s="20"/>
      <x:c r="K1254" s="20"/>
      <x:c r="L1254" s="20"/>
      <x:c r="M1254" s="20"/>
      <x:c r="N1254" s="20"/>
      <x:c r="O1254" s="20"/>
      <x:c r="P1254" s="20"/>
      <x:c r="Q1254" s="20"/>
      <x:c r="R1254" s="20"/>
      <x:c r="S1254" s="20"/>
      <x:c r="T1254" s="20"/>
      <x:c r="U1254" s="20"/>
      <x:c r="V1254" s="20"/>
      <x:c r="W1254" s="20"/>
      <x:c r="X1254" s="20"/>
      <x:c r="Y1254" s="21"/>
    </x:row>
    <x:row r="1255">
      <x:c r="A1255" s="19"/>
      <x:c r="B1255" s="27"/>
      <x:c r="C1255" s="20"/>
      <x:c r="D1255" s="28"/>
      <x:c r="E1255" s="20"/>
      <x:c r="F1255" s="25"/>
      <x:c r="G1255" s="20"/>
      <x:c r="H1255" s="20"/>
      <x:c r="I1255" s="20"/>
      <x:c r="J1255" s="20"/>
      <x:c r="K1255" s="20"/>
      <x:c r="L1255" s="20"/>
      <x:c r="M1255" s="20"/>
      <x:c r="N1255" s="20"/>
      <x:c r="O1255" s="20"/>
      <x:c r="P1255" s="20"/>
      <x:c r="Q1255" s="20"/>
      <x:c r="R1255" s="20"/>
      <x:c r="S1255" s="20"/>
      <x:c r="T1255" s="20"/>
      <x:c r="U1255" s="20"/>
      <x:c r="V1255" s="20"/>
      <x:c r="W1255" s="20"/>
      <x:c r="X1255" s="20"/>
      <x:c r="Y1255" s="21"/>
    </x:row>
    <x:row r="1256">
      <x:c r="A1256" s="19"/>
      <x:c r="B1256" s="27"/>
      <x:c r="C1256" s="20"/>
      <x:c r="D1256" s="28"/>
      <x:c r="E1256" s="20"/>
      <x:c r="F1256" s="25"/>
      <x:c r="G1256" s="20"/>
      <x:c r="H1256" s="20"/>
      <x:c r="I1256" s="20"/>
      <x:c r="J1256" s="20"/>
      <x:c r="K1256" s="20"/>
      <x:c r="L1256" s="20"/>
      <x:c r="M1256" s="20"/>
      <x:c r="N1256" s="20"/>
      <x:c r="O1256" s="20"/>
      <x:c r="P1256" s="20"/>
      <x:c r="Q1256" s="20"/>
      <x:c r="R1256" s="20"/>
      <x:c r="S1256" s="20"/>
      <x:c r="T1256" s="20"/>
      <x:c r="U1256" s="20"/>
      <x:c r="V1256" s="20"/>
      <x:c r="W1256" s="20"/>
      <x:c r="X1256" s="20"/>
      <x:c r="Y1256" s="21"/>
    </x:row>
    <x:row r="1257">
      <x:c r="A1257" s="19"/>
      <x:c r="B1257" s="27"/>
      <x:c r="C1257" s="20"/>
      <x:c r="D1257" s="28"/>
      <x:c r="E1257" s="20"/>
      <x:c r="F1257" s="25"/>
      <x:c r="G1257" s="20"/>
      <x:c r="H1257" s="20"/>
      <x:c r="I1257" s="20"/>
      <x:c r="J1257" s="20"/>
      <x:c r="K1257" s="20"/>
      <x:c r="L1257" s="20"/>
      <x:c r="M1257" s="20"/>
      <x:c r="N1257" s="20"/>
      <x:c r="O1257" s="20"/>
      <x:c r="P1257" s="20"/>
      <x:c r="Q1257" s="20"/>
      <x:c r="R1257" s="20"/>
      <x:c r="S1257" s="20"/>
      <x:c r="T1257" s="20"/>
      <x:c r="U1257" s="20"/>
      <x:c r="V1257" s="20"/>
      <x:c r="W1257" s="20"/>
      <x:c r="X1257" s="20"/>
      <x:c r="Y1257" s="21"/>
    </x:row>
    <x:row r="1258">
      <x:c r="A1258" s="19"/>
      <x:c r="B1258" s="27"/>
      <x:c r="C1258" s="20"/>
      <x:c r="D1258" s="28"/>
      <x:c r="E1258" s="20"/>
      <x:c r="F1258" s="25"/>
      <x:c r="G1258" s="20"/>
      <x:c r="H1258" s="20"/>
      <x:c r="I1258" s="20"/>
      <x:c r="J1258" s="20"/>
      <x:c r="K1258" s="20"/>
      <x:c r="L1258" s="20"/>
      <x:c r="M1258" s="20"/>
      <x:c r="N1258" s="20"/>
      <x:c r="O1258" s="20"/>
      <x:c r="P1258" s="20"/>
      <x:c r="Q1258" s="20"/>
      <x:c r="R1258" s="20"/>
      <x:c r="S1258" s="20"/>
      <x:c r="T1258" s="20"/>
      <x:c r="U1258" s="20"/>
      <x:c r="V1258" s="20"/>
      <x:c r="W1258" s="20"/>
      <x:c r="X1258" s="20"/>
      <x:c r="Y1258" s="21"/>
    </x:row>
    <x:row r="1259">
      <x:c r="A1259" s="19"/>
      <x:c r="B1259" s="27"/>
      <x:c r="C1259" s="20"/>
      <x:c r="D1259" s="28"/>
      <x:c r="E1259" s="20"/>
      <x:c r="F1259" s="25"/>
      <x:c r="G1259" s="20"/>
      <x:c r="H1259" s="20"/>
      <x:c r="I1259" s="20"/>
      <x:c r="J1259" s="20"/>
      <x:c r="K1259" s="20"/>
      <x:c r="L1259" s="20"/>
      <x:c r="M1259" s="20"/>
      <x:c r="N1259" s="20"/>
      <x:c r="O1259" s="20"/>
      <x:c r="P1259" s="20"/>
      <x:c r="Q1259" s="20"/>
      <x:c r="R1259" s="20"/>
      <x:c r="S1259" s="20"/>
      <x:c r="T1259" s="20"/>
      <x:c r="U1259" s="20"/>
      <x:c r="V1259" s="20"/>
      <x:c r="W1259" s="20"/>
      <x:c r="X1259" s="20"/>
      <x:c r="Y1259" s="21"/>
    </x:row>
    <x:row r="1260">
      <x:c r="A1260" s="19"/>
      <x:c r="B1260" s="27"/>
      <x:c r="C1260" s="20"/>
      <x:c r="D1260" s="28"/>
      <x:c r="E1260" s="20"/>
      <x:c r="F1260" s="25"/>
      <x:c r="G1260" s="20"/>
      <x:c r="H1260" s="20"/>
      <x:c r="I1260" s="20"/>
      <x:c r="J1260" s="20"/>
      <x:c r="K1260" s="20"/>
      <x:c r="L1260" s="20"/>
      <x:c r="M1260" s="20"/>
      <x:c r="N1260" s="20"/>
      <x:c r="O1260" s="20"/>
      <x:c r="P1260" s="20"/>
      <x:c r="Q1260" s="20"/>
      <x:c r="R1260" s="20"/>
      <x:c r="S1260" s="20"/>
      <x:c r="T1260" s="20"/>
      <x:c r="U1260" s="20"/>
      <x:c r="V1260" s="20"/>
      <x:c r="W1260" s="20"/>
      <x:c r="X1260" s="20"/>
      <x:c r="Y1260" s="21"/>
    </x:row>
    <x:row r="1261">
      <x:c r="A1261" s="19"/>
      <x:c r="B1261" s="27"/>
      <x:c r="C1261" s="20"/>
      <x:c r="D1261" s="28"/>
      <x:c r="E1261" s="20"/>
      <x:c r="F1261" s="25"/>
      <x:c r="G1261" s="20"/>
      <x:c r="H1261" s="20"/>
      <x:c r="I1261" s="20"/>
      <x:c r="J1261" s="20"/>
      <x:c r="K1261" s="20"/>
      <x:c r="L1261" s="20"/>
      <x:c r="M1261" s="20"/>
      <x:c r="N1261" s="20"/>
      <x:c r="O1261" s="20"/>
      <x:c r="P1261" s="20"/>
      <x:c r="Q1261" s="20"/>
      <x:c r="R1261" s="20"/>
      <x:c r="S1261" s="20"/>
      <x:c r="T1261" s="20"/>
      <x:c r="U1261" s="20"/>
      <x:c r="V1261" s="20"/>
      <x:c r="W1261" s="20"/>
      <x:c r="X1261" s="20"/>
      <x:c r="Y1261" s="21"/>
    </x:row>
    <x:row r="1262">
      <x:c r="A1262" s="19"/>
      <x:c r="B1262" s="27"/>
      <x:c r="C1262" s="20"/>
      <x:c r="D1262" s="28"/>
      <x:c r="E1262" s="20"/>
      <x:c r="F1262" s="25"/>
      <x:c r="G1262" s="20"/>
      <x:c r="H1262" s="20"/>
      <x:c r="I1262" s="20"/>
      <x:c r="J1262" s="20"/>
      <x:c r="K1262" s="20"/>
      <x:c r="L1262" s="20"/>
      <x:c r="M1262" s="20"/>
      <x:c r="N1262" s="20"/>
      <x:c r="O1262" s="20"/>
      <x:c r="P1262" s="20"/>
      <x:c r="Q1262" s="20"/>
      <x:c r="R1262" s="20"/>
      <x:c r="S1262" s="20"/>
      <x:c r="T1262" s="20"/>
      <x:c r="U1262" s="20"/>
      <x:c r="V1262" s="20"/>
      <x:c r="W1262" s="20"/>
      <x:c r="X1262" s="20"/>
      <x:c r="Y1262" s="21"/>
    </x:row>
    <x:row r="1263">
      <x:c r="A1263" s="19"/>
      <x:c r="B1263" s="27"/>
      <x:c r="C1263" s="20"/>
      <x:c r="D1263" s="28"/>
      <x:c r="E1263" s="20"/>
      <x:c r="F1263" s="25"/>
      <x:c r="G1263" s="20"/>
      <x:c r="H1263" s="20"/>
      <x:c r="I1263" s="20"/>
      <x:c r="J1263" s="20"/>
      <x:c r="K1263" s="20"/>
      <x:c r="L1263" s="20"/>
      <x:c r="M1263" s="20"/>
      <x:c r="N1263" s="20"/>
      <x:c r="O1263" s="20"/>
      <x:c r="P1263" s="20"/>
      <x:c r="Q1263" s="20"/>
      <x:c r="R1263" s="20"/>
      <x:c r="S1263" s="20"/>
      <x:c r="T1263" s="20"/>
      <x:c r="U1263" s="20"/>
      <x:c r="V1263" s="20"/>
      <x:c r="W1263" s="20"/>
      <x:c r="X1263" s="20"/>
      <x:c r="Y1263" s="21"/>
    </x:row>
    <x:row r="1264">
      <x:c r="A1264" s="19"/>
      <x:c r="B1264" s="27"/>
      <x:c r="C1264" s="20"/>
      <x:c r="D1264" s="28"/>
      <x:c r="E1264" s="20"/>
      <x:c r="F1264" s="25"/>
      <x:c r="G1264" s="20"/>
      <x:c r="H1264" s="20"/>
      <x:c r="I1264" s="20"/>
      <x:c r="J1264" s="20"/>
      <x:c r="K1264" s="20"/>
      <x:c r="L1264" s="20"/>
      <x:c r="M1264" s="20"/>
      <x:c r="N1264" s="20"/>
      <x:c r="O1264" s="20"/>
      <x:c r="P1264" s="20"/>
      <x:c r="Q1264" s="20"/>
      <x:c r="R1264" s="20"/>
      <x:c r="S1264" s="20"/>
      <x:c r="T1264" s="20"/>
      <x:c r="U1264" s="20"/>
      <x:c r="V1264" s="20"/>
      <x:c r="W1264" s="20"/>
      <x:c r="X1264" s="20"/>
      <x:c r="Y1264" s="21"/>
    </x:row>
    <x:row r="1265">
      <x:c r="A1265" s="19"/>
      <x:c r="B1265" s="27"/>
      <x:c r="C1265" s="20"/>
      <x:c r="D1265" s="28"/>
      <x:c r="E1265" s="20"/>
      <x:c r="F1265" s="25"/>
      <x:c r="G1265" s="20"/>
      <x:c r="H1265" s="20"/>
      <x:c r="I1265" s="20"/>
      <x:c r="J1265" s="20"/>
      <x:c r="K1265" s="20"/>
      <x:c r="L1265" s="20"/>
      <x:c r="M1265" s="20"/>
      <x:c r="N1265" s="20"/>
      <x:c r="O1265" s="20"/>
      <x:c r="P1265" s="20"/>
      <x:c r="Q1265" s="20"/>
      <x:c r="R1265" s="20"/>
      <x:c r="S1265" s="20"/>
      <x:c r="T1265" s="20"/>
      <x:c r="U1265" s="20"/>
      <x:c r="V1265" s="20"/>
      <x:c r="W1265" s="20"/>
      <x:c r="X1265" s="20"/>
      <x:c r="Y1265" s="21"/>
    </x:row>
    <x:row r="1266">
      <x:c r="A1266" s="19"/>
      <x:c r="B1266" s="27"/>
      <x:c r="C1266" s="20"/>
      <x:c r="D1266" s="28"/>
      <x:c r="E1266" s="20"/>
      <x:c r="F1266" s="25"/>
      <x:c r="G1266" s="20"/>
      <x:c r="H1266" s="20"/>
      <x:c r="I1266" s="20"/>
      <x:c r="J1266" s="20"/>
      <x:c r="K1266" s="20"/>
      <x:c r="L1266" s="20"/>
      <x:c r="M1266" s="20"/>
      <x:c r="N1266" s="20"/>
      <x:c r="O1266" s="20"/>
      <x:c r="P1266" s="20"/>
      <x:c r="Q1266" s="20"/>
      <x:c r="R1266" s="20"/>
      <x:c r="S1266" s="20"/>
      <x:c r="T1266" s="20"/>
      <x:c r="U1266" s="20"/>
      <x:c r="V1266" s="20"/>
      <x:c r="W1266" s="20"/>
      <x:c r="X1266" s="20"/>
      <x:c r="Y1266" s="21"/>
    </x:row>
    <x:row r="1267">
      <x:c r="A1267" s="19"/>
      <x:c r="B1267" s="27"/>
      <x:c r="C1267" s="20"/>
      <x:c r="D1267" s="28"/>
      <x:c r="E1267" s="20"/>
      <x:c r="F1267" s="25"/>
      <x:c r="G1267" s="20"/>
      <x:c r="H1267" s="20"/>
      <x:c r="I1267" s="20"/>
      <x:c r="J1267" s="20"/>
      <x:c r="K1267" s="20"/>
      <x:c r="L1267" s="20"/>
      <x:c r="M1267" s="20"/>
      <x:c r="N1267" s="20"/>
      <x:c r="O1267" s="20"/>
      <x:c r="P1267" s="20"/>
      <x:c r="Q1267" s="20"/>
      <x:c r="R1267" s="20"/>
      <x:c r="S1267" s="20"/>
      <x:c r="T1267" s="20"/>
      <x:c r="U1267" s="20"/>
      <x:c r="V1267" s="20"/>
      <x:c r="W1267" s="20"/>
      <x:c r="X1267" s="20"/>
      <x:c r="Y1267" s="21"/>
    </x:row>
    <x:row r="1268">
      <x:c r="A1268" s="19"/>
      <x:c r="B1268" s="27"/>
      <x:c r="C1268" s="20"/>
      <x:c r="D1268" s="28"/>
      <x:c r="E1268" s="20"/>
      <x:c r="F1268" s="25"/>
      <x:c r="G1268" s="20"/>
      <x:c r="H1268" s="20"/>
      <x:c r="I1268" s="20"/>
      <x:c r="J1268" s="20"/>
      <x:c r="K1268" s="20"/>
      <x:c r="L1268" s="20"/>
      <x:c r="M1268" s="20"/>
      <x:c r="N1268" s="20"/>
      <x:c r="O1268" s="20"/>
      <x:c r="P1268" s="20"/>
      <x:c r="Q1268" s="20"/>
      <x:c r="R1268" s="20"/>
      <x:c r="S1268" s="20"/>
      <x:c r="T1268" s="20"/>
      <x:c r="U1268" s="20"/>
      <x:c r="V1268" s="20"/>
      <x:c r="W1268" s="20"/>
      <x:c r="X1268" s="20"/>
      <x:c r="Y1268" s="21"/>
    </x:row>
    <x:row r="1269">
      <x:c r="A1269" s="19"/>
      <x:c r="B1269" s="27"/>
      <x:c r="C1269" s="20"/>
      <x:c r="D1269" s="28"/>
      <x:c r="E1269" s="20"/>
      <x:c r="F1269" s="25"/>
      <x:c r="G1269" s="20"/>
      <x:c r="H1269" s="20"/>
      <x:c r="I1269" s="20"/>
      <x:c r="J1269" s="20"/>
      <x:c r="K1269" s="20"/>
      <x:c r="L1269" s="20"/>
      <x:c r="M1269" s="20"/>
      <x:c r="N1269" s="20"/>
      <x:c r="O1269" s="20"/>
      <x:c r="P1269" s="20"/>
      <x:c r="Q1269" s="20"/>
      <x:c r="R1269" s="20"/>
      <x:c r="S1269" s="20"/>
      <x:c r="T1269" s="20"/>
      <x:c r="U1269" s="20"/>
      <x:c r="V1269" s="20"/>
      <x:c r="W1269" s="20"/>
      <x:c r="X1269" s="20"/>
      <x:c r="Y1269" s="21"/>
    </x:row>
    <x:row r="1270">
      <x:c r="A1270" s="19"/>
      <x:c r="B1270" s="27"/>
      <x:c r="C1270" s="20"/>
      <x:c r="D1270" s="28"/>
      <x:c r="E1270" s="20"/>
      <x:c r="F1270" s="25"/>
      <x:c r="G1270" s="20"/>
      <x:c r="H1270" s="20"/>
      <x:c r="I1270" s="20"/>
      <x:c r="J1270" s="20"/>
      <x:c r="K1270" s="20"/>
      <x:c r="L1270" s="20"/>
      <x:c r="M1270" s="20"/>
      <x:c r="N1270" s="20"/>
      <x:c r="O1270" s="20"/>
      <x:c r="P1270" s="20"/>
      <x:c r="Q1270" s="20"/>
      <x:c r="R1270" s="20"/>
      <x:c r="S1270" s="20"/>
      <x:c r="T1270" s="20"/>
      <x:c r="U1270" s="20"/>
      <x:c r="V1270" s="20"/>
      <x:c r="W1270" s="20"/>
      <x:c r="X1270" s="20"/>
      <x:c r="Y1270" s="21"/>
    </x:row>
    <x:row r="1271">
      <x:c r="A1271" s="19"/>
      <x:c r="B1271" s="27"/>
      <x:c r="C1271" s="20"/>
      <x:c r="D1271" s="28"/>
      <x:c r="E1271" s="20"/>
      <x:c r="F1271" s="25"/>
      <x:c r="G1271" s="20"/>
      <x:c r="H1271" s="20"/>
      <x:c r="I1271" s="20"/>
      <x:c r="J1271" s="20"/>
      <x:c r="K1271" s="20"/>
      <x:c r="L1271" s="20"/>
      <x:c r="M1271" s="20"/>
      <x:c r="N1271" s="20"/>
      <x:c r="O1271" s="20"/>
      <x:c r="P1271" s="20"/>
      <x:c r="Q1271" s="20"/>
      <x:c r="R1271" s="20"/>
      <x:c r="S1271" s="20"/>
      <x:c r="T1271" s="20"/>
      <x:c r="U1271" s="20"/>
      <x:c r="V1271" s="20"/>
      <x:c r="W1271" s="20"/>
      <x:c r="X1271" s="20"/>
      <x:c r="Y1271" s="21"/>
    </x:row>
    <x:row r="1272">
      <x:c r="A1272" s="19"/>
      <x:c r="B1272" s="27"/>
      <x:c r="C1272" s="20"/>
      <x:c r="D1272" s="28"/>
      <x:c r="E1272" s="20"/>
      <x:c r="F1272" s="25"/>
      <x:c r="G1272" s="20"/>
      <x:c r="H1272" s="20"/>
      <x:c r="I1272" s="20"/>
      <x:c r="J1272" s="20"/>
      <x:c r="K1272" s="20"/>
      <x:c r="L1272" s="20"/>
      <x:c r="M1272" s="20"/>
      <x:c r="N1272" s="20"/>
      <x:c r="O1272" s="20"/>
      <x:c r="P1272" s="20"/>
      <x:c r="Q1272" s="20"/>
      <x:c r="R1272" s="20"/>
      <x:c r="S1272" s="20"/>
      <x:c r="T1272" s="20"/>
      <x:c r="U1272" s="20"/>
      <x:c r="V1272" s="20"/>
      <x:c r="W1272" s="20"/>
      <x:c r="X1272" s="20"/>
      <x:c r="Y1272" s="21"/>
    </x:row>
    <x:row r="1273">
      <x:c r="A1273" s="19"/>
      <x:c r="B1273" s="27"/>
      <x:c r="C1273" s="20"/>
      <x:c r="D1273" s="28"/>
      <x:c r="E1273" s="20"/>
      <x:c r="F1273" s="25"/>
      <x:c r="G1273" s="20"/>
      <x:c r="H1273" s="20"/>
      <x:c r="I1273" s="20"/>
      <x:c r="J1273" s="20"/>
      <x:c r="K1273" s="20"/>
      <x:c r="L1273" s="20"/>
      <x:c r="M1273" s="20"/>
      <x:c r="N1273" s="20"/>
      <x:c r="O1273" s="20"/>
      <x:c r="P1273" s="20"/>
      <x:c r="Q1273" s="20"/>
      <x:c r="R1273" s="20"/>
      <x:c r="S1273" s="20"/>
      <x:c r="T1273" s="20"/>
      <x:c r="U1273" s="20"/>
      <x:c r="V1273" s="20"/>
      <x:c r="W1273" s="20"/>
      <x:c r="X1273" s="20"/>
      <x:c r="Y1273" s="21"/>
    </x:row>
    <x:row r="1274">
      <x:c r="A1274" s="19"/>
      <x:c r="B1274" s="27"/>
      <x:c r="C1274" s="20"/>
      <x:c r="D1274" s="28"/>
      <x:c r="E1274" s="20"/>
      <x:c r="F1274" s="25"/>
      <x:c r="G1274" s="20"/>
      <x:c r="H1274" s="20"/>
      <x:c r="I1274" s="20"/>
      <x:c r="J1274" s="20"/>
      <x:c r="K1274" s="20"/>
      <x:c r="L1274" s="20"/>
      <x:c r="M1274" s="20"/>
      <x:c r="N1274" s="20"/>
      <x:c r="O1274" s="20"/>
      <x:c r="P1274" s="20"/>
      <x:c r="Q1274" s="20"/>
      <x:c r="R1274" s="20"/>
      <x:c r="S1274" s="20"/>
      <x:c r="T1274" s="20"/>
      <x:c r="U1274" s="20"/>
      <x:c r="V1274" s="20"/>
      <x:c r="W1274" s="20"/>
      <x:c r="X1274" s="20"/>
      <x:c r="Y1274" s="21"/>
    </x:row>
    <x:row r="1275">
      <x:c r="A1275" s="19"/>
      <x:c r="B1275" s="27"/>
      <x:c r="C1275" s="20"/>
      <x:c r="D1275" s="28"/>
      <x:c r="E1275" s="20"/>
      <x:c r="F1275" s="25"/>
      <x:c r="G1275" s="20"/>
      <x:c r="H1275" s="20"/>
      <x:c r="I1275" s="20"/>
      <x:c r="J1275" s="20"/>
      <x:c r="K1275" s="20"/>
      <x:c r="L1275" s="20"/>
      <x:c r="M1275" s="20"/>
      <x:c r="N1275" s="20"/>
      <x:c r="O1275" s="20"/>
      <x:c r="P1275" s="20"/>
      <x:c r="Q1275" s="20"/>
      <x:c r="R1275" s="20"/>
      <x:c r="S1275" s="20"/>
      <x:c r="T1275" s="20"/>
      <x:c r="U1275" s="20"/>
      <x:c r="V1275" s="20"/>
      <x:c r="W1275" s="20"/>
      <x:c r="X1275" s="20"/>
      <x:c r="Y1275" s="21"/>
    </x:row>
    <x:row r="1276">
      <x:c r="A1276" s="19"/>
      <x:c r="B1276" s="27"/>
      <x:c r="C1276" s="20"/>
      <x:c r="D1276" s="28"/>
      <x:c r="E1276" s="20"/>
      <x:c r="F1276" s="25"/>
      <x:c r="G1276" s="20"/>
      <x:c r="H1276" s="20"/>
      <x:c r="I1276" s="20"/>
      <x:c r="J1276" s="20"/>
      <x:c r="K1276" s="20"/>
      <x:c r="L1276" s="20"/>
      <x:c r="M1276" s="20"/>
      <x:c r="N1276" s="20"/>
      <x:c r="O1276" s="20"/>
      <x:c r="P1276" s="20"/>
      <x:c r="Q1276" s="20"/>
      <x:c r="R1276" s="20"/>
      <x:c r="S1276" s="20"/>
      <x:c r="T1276" s="20"/>
      <x:c r="U1276" s="20"/>
      <x:c r="V1276" s="20"/>
      <x:c r="W1276" s="20"/>
      <x:c r="X1276" s="20"/>
      <x:c r="Y1276" s="21"/>
    </x:row>
    <x:row r="1277">
      <x:c r="A1277" s="19"/>
      <x:c r="B1277" s="27"/>
      <x:c r="C1277" s="20"/>
      <x:c r="D1277" s="28"/>
      <x:c r="E1277" s="20"/>
      <x:c r="F1277" s="25"/>
      <x:c r="G1277" s="20"/>
      <x:c r="H1277" s="20"/>
      <x:c r="I1277" s="20"/>
      <x:c r="J1277" s="20"/>
      <x:c r="K1277" s="20"/>
      <x:c r="L1277" s="20"/>
      <x:c r="M1277" s="20"/>
      <x:c r="N1277" s="20"/>
      <x:c r="O1277" s="20"/>
      <x:c r="P1277" s="20"/>
      <x:c r="Q1277" s="20"/>
      <x:c r="R1277" s="20"/>
      <x:c r="S1277" s="20"/>
      <x:c r="T1277" s="20"/>
      <x:c r="U1277" s="20"/>
      <x:c r="V1277" s="20"/>
      <x:c r="W1277" s="20"/>
      <x:c r="X1277" s="20"/>
      <x:c r="Y1277" s="21"/>
    </x:row>
    <x:row r="1278">
      <x:c r="A1278" s="19"/>
      <x:c r="B1278" s="27"/>
      <x:c r="C1278" s="20"/>
      <x:c r="D1278" s="28"/>
      <x:c r="E1278" s="20"/>
      <x:c r="F1278" s="25"/>
      <x:c r="G1278" s="20"/>
      <x:c r="H1278" s="20"/>
      <x:c r="I1278" s="20"/>
      <x:c r="J1278" s="20"/>
      <x:c r="K1278" s="20"/>
      <x:c r="L1278" s="20"/>
      <x:c r="M1278" s="20"/>
      <x:c r="N1278" s="20"/>
      <x:c r="O1278" s="20"/>
      <x:c r="P1278" s="20"/>
      <x:c r="Q1278" s="20"/>
      <x:c r="R1278" s="20"/>
      <x:c r="S1278" s="20"/>
      <x:c r="T1278" s="20"/>
      <x:c r="U1278" s="20"/>
      <x:c r="V1278" s="20"/>
      <x:c r="W1278" s="20"/>
      <x:c r="X1278" s="20"/>
      <x:c r="Y1278" s="21"/>
    </x:row>
    <x:row r="1279">
      <x:c r="A1279" s="19"/>
      <x:c r="B1279" s="27"/>
      <x:c r="C1279" s="20"/>
      <x:c r="D1279" s="28"/>
      <x:c r="E1279" s="20"/>
      <x:c r="F1279" s="25"/>
      <x:c r="G1279" s="20"/>
      <x:c r="H1279" s="20"/>
      <x:c r="I1279" s="20"/>
      <x:c r="J1279" s="20"/>
      <x:c r="K1279" s="20"/>
      <x:c r="L1279" s="20"/>
      <x:c r="M1279" s="20"/>
      <x:c r="N1279" s="20"/>
      <x:c r="O1279" s="20"/>
      <x:c r="P1279" s="20"/>
      <x:c r="Q1279" s="20"/>
      <x:c r="R1279" s="20"/>
      <x:c r="S1279" s="20"/>
      <x:c r="T1279" s="20"/>
      <x:c r="U1279" s="20"/>
      <x:c r="V1279" s="20"/>
      <x:c r="W1279" s="20"/>
      <x:c r="X1279" s="20"/>
      <x:c r="Y1279" s="21"/>
    </x:row>
    <x:row r="1280">
      <x:c r="A1280" s="19"/>
      <x:c r="B1280" s="27"/>
      <x:c r="C1280" s="20"/>
      <x:c r="D1280" s="28"/>
      <x:c r="E1280" s="20"/>
      <x:c r="F1280" s="25"/>
      <x:c r="G1280" s="20"/>
      <x:c r="H1280" s="20"/>
      <x:c r="I1280" s="20"/>
      <x:c r="J1280" s="20"/>
      <x:c r="K1280" s="20"/>
      <x:c r="L1280" s="20"/>
      <x:c r="M1280" s="20"/>
      <x:c r="N1280" s="20"/>
      <x:c r="O1280" s="20"/>
      <x:c r="P1280" s="20"/>
      <x:c r="Q1280" s="20"/>
      <x:c r="R1280" s="20"/>
      <x:c r="S1280" s="20"/>
      <x:c r="T1280" s="20"/>
      <x:c r="U1280" s="20"/>
      <x:c r="V1280" s="20"/>
      <x:c r="W1280" s="20"/>
      <x:c r="X1280" s="20"/>
      <x:c r="Y1280" s="21"/>
    </x:row>
    <x:row r="1281">
      <x:c r="A1281" s="19"/>
      <x:c r="B1281" s="27"/>
      <x:c r="C1281" s="20"/>
      <x:c r="D1281" s="28"/>
      <x:c r="E1281" s="20"/>
      <x:c r="F1281" s="25"/>
      <x:c r="G1281" s="20"/>
      <x:c r="H1281" s="20"/>
      <x:c r="I1281" s="20"/>
      <x:c r="J1281" s="20"/>
      <x:c r="K1281" s="20"/>
      <x:c r="L1281" s="20"/>
      <x:c r="M1281" s="20"/>
      <x:c r="N1281" s="20"/>
      <x:c r="O1281" s="20"/>
      <x:c r="P1281" s="20"/>
      <x:c r="Q1281" s="20"/>
      <x:c r="R1281" s="20"/>
      <x:c r="S1281" s="20"/>
      <x:c r="T1281" s="20"/>
      <x:c r="U1281" s="20"/>
      <x:c r="V1281" s="20"/>
      <x:c r="W1281" s="20"/>
      <x:c r="X1281" s="20"/>
      <x:c r="Y1281" s="21"/>
    </x:row>
    <x:row r="1282">
      <x:c r="A1282" s="19"/>
      <x:c r="B1282" s="27"/>
      <x:c r="C1282" s="20"/>
      <x:c r="D1282" s="28"/>
      <x:c r="E1282" s="20"/>
      <x:c r="F1282" s="25"/>
      <x:c r="G1282" s="20"/>
      <x:c r="H1282" s="20"/>
      <x:c r="I1282" s="20"/>
      <x:c r="J1282" s="20"/>
      <x:c r="K1282" s="20"/>
      <x:c r="L1282" s="20"/>
      <x:c r="M1282" s="20"/>
      <x:c r="N1282" s="20"/>
      <x:c r="O1282" s="20"/>
      <x:c r="P1282" s="20"/>
      <x:c r="Q1282" s="20"/>
      <x:c r="R1282" s="20"/>
      <x:c r="S1282" s="20"/>
      <x:c r="T1282" s="20"/>
      <x:c r="U1282" s="20"/>
      <x:c r="V1282" s="20"/>
      <x:c r="W1282" s="20"/>
      <x:c r="X1282" s="20"/>
      <x:c r="Y1282" s="21"/>
    </x:row>
    <x:row r="1283">
      <x:c r="A1283" s="19"/>
      <x:c r="B1283" s="27"/>
      <x:c r="C1283" s="20"/>
      <x:c r="D1283" s="28"/>
      <x:c r="E1283" s="20"/>
      <x:c r="F1283" s="25"/>
      <x:c r="G1283" s="20"/>
      <x:c r="H1283" s="20"/>
      <x:c r="I1283" s="20"/>
      <x:c r="J1283" s="20"/>
      <x:c r="K1283" s="20"/>
      <x:c r="L1283" s="20"/>
      <x:c r="M1283" s="20"/>
      <x:c r="N1283" s="20"/>
      <x:c r="O1283" s="20"/>
      <x:c r="P1283" s="20"/>
      <x:c r="Q1283" s="20"/>
      <x:c r="R1283" s="20"/>
      <x:c r="S1283" s="20"/>
      <x:c r="T1283" s="20"/>
      <x:c r="U1283" s="20"/>
      <x:c r="V1283" s="20"/>
      <x:c r="W1283" s="20"/>
      <x:c r="X1283" s="20"/>
      <x:c r="Y1283" s="21"/>
    </x:row>
    <x:row r="1284">
      <x:c r="A1284" s="19"/>
      <x:c r="B1284" s="27"/>
      <x:c r="C1284" s="20"/>
      <x:c r="D1284" s="28"/>
      <x:c r="E1284" s="20"/>
      <x:c r="F1284" s="25"/>
      <x:c r="G1284" s="20"/>
      <x:c r="H1284" s="20"/>
      <x:c r="I1284" s="20"/>
      <x:c r="J1284" s="20"/>
      <x:c r="K1284" s="20"/>
      <x:c r="L1284" s="20"/>
      <x:c r="M1284" s="20"/>
      <x:c r="N1284" s="20"/>
      <x:c r="O1284" s="20"/>
      <x:c r="P1284" s="20"/>
      <x:c r="Q1284" s="20"/>
      <x:c r="R1284" s="20"/>
      <x:c r="S1284" s="20"/>
      <x:c r="T1284" s="20"/>
      <x:c r="U1284" s="20"/>
      <x:c r="V1284" s="20"/>
      <x:c r="W1284" s="20"/>
      <x:c r="X1284" s="20"/>
      <x:c r="Y1284" s="21"/>
    </x:row>
    <x:row r="1285">
      <x:c r="A1285" s="19"/>
      <x:c r="B1285" s="27"/>
      <x:c r="C1285" s="20"/>
      <x:c r="D1285" s="28"/>
      <x:c r="E1285" s="20"/>
      <x:c r="F1285" s="25"/>
      <x:c r="G1285" s="20"/>
      <x:c r="H1285" s="20"/>
      <x:c r="I1285" s="20"/>
      <x:c r="J1285" s="20"/>
      <x:c r="K1285" s="20"/>
      <x:c r="L1285" s="20"/>
      <x:c r="M1285" s="20"/>
      <x:c r="N1285" s="20"/>
      <x:c r="O1285" s="20"/>
      <x:c r="P1285" s="20"/>
      <x:c r="Q1285" s="20"/>
      <x:c r="R1285" s="20"/>
      <x:c r="S1285" s="20"/>
      <x:c r="T1285" s="20"/>
      <x:c r="U1285" s="20"/>
      <x:c r="V1285" s="20"/>
      <x:c r="W1285" s="20"/>
      <x:c r="X1285" s="20"/>
      <x:c r="Y1285" s="21"/>
    </x:row>
    <x:row r="1286">
      <x:c r="A1286" s="19"/>
      <x:c r="B1286" s="27"/>
      <x:c r="C1286" s="20"/>
      <x:c r="D1286" s="28"/>
      <x:c r="E1286" s="20"/>
      <x:c r="F1286" s="25"/>
      <x:c r="G1286" s="20"/>
      <x:c r="H1286" s="20"/>
      <x:c r="I1286" s="20"/>
      <x:c r="J1286" s="20"/>
      <x:c r="K1286" s="20"/>
      <x:c r="L1286" s="20"/>
      <x:c r="M1286" s="20"/>
      <x:c r="N1286" s="20"/>
      <x:c r="O1286" s="20"/>
      <x:c r="P1286" s="20"/>
      <x:c r="Q1286" s="20"/>
      <x:c r="R1286" s="20"/>
      <x:c r="S1286" s="20"/>
      <x:c r="T1286" s="20"/>
      <x:c r="U1286" s="20"/>
      <x:c r="V1286" s="20"/>
      <x:c r="W1286" s="20"/>
      <x:c r="X1286" s="20"/>
      <x:c r="Y1286" s="21"/>
    </x:row>
    <x:row r="1287">
      <x:c r="A1287" s="19"/>
      <x:c r="B1287" s="27"/>
      <x:c r="C1287" s="20"/>
      <x:c r="D1287" s="28"/>
      <x:c r="E1287" s="20"/>
      <x:c r="F1287" s="25"/>
      <x:c r="G1287" s="20"/>
      <x:c r="H1287" s="20"/>
      <x:c r="I1287" s="20"/>
      <x:c r="J1287" s="20"/>
      <x:c r="K1287" s="20"/>
      <x:c r="L1287" s="20"/>
      <x:c r="M1287" s="20"/>
      <x:c r="N1287" s="20"/>
      <x:c r="O1287" s="20"/>
      <x:c r="P1287" s="20"/>
      <x:c r="Q1287" s="20"/>
      <x:c r="R1287" s="20"/>
      <x:c r="S1287" s="20"/>
      <x:c r="T1287" s="20"/>
      <x:c r="U1287" s="20"/>
      <x:c r="V1287" s="20"/>
      <x:c r="W1287" s="20"/>
      <x:c r="X1287" s="20"/>
      <x:c r="Y1287" s="21"/>
    </x:row>
    <x:row r="1288">
      <x:c r="A1288" s="19"/>
      <x:c r="B1288" s="27"/>
      <x:c r="C1288" s="20"/>
      <x:c r="D1288" s="28"/>
      <x:c r="E1288" s="20"/>
      <x:c r="F1288" s="25"/>
      <x:c r="G1288" s="20"/>
      <x:c r="H1288" s="20"/>
      <x:c r="I1288" s="20"/>
      <x:c r="J1288" s="20"/>
      <x:c r="K1288" s="20"/>
      <x:c r="L1288" s="20"/>
      <x:c r="M1288" s="20"/>
      <x:c r="N1288" s="20"/>
      <x:c r="O1288" s="20"/>
      <x:c r="P1288" s="20"/>
      <x:c r="Q1288" s="20"/>
      <x:c r="R1288" s="20"/>
      <x:c r="S1288" s="20"/>
      <x:c r="T1288" s="20"/>
      <x:c r="U1288" s="20"/>
      <x:c r="V1288" s="20"/>
      <x:c r="W1288" s="20"/>
      <x:c r="X1288" s="20"/>
      <x:c r="Y1288" s="21"/>
    </x:row>
    <x:row r="1289">
      <x:c r="A1289" s="19"/>
      <x:c r="B1289" s="27"/>
      <x:c r="C1289" s="20"/>
      <x:c r="D1289" s="28"/>
      <x:c r="E1289" s="20"/>
      <x:c r="F1289" s="25"/>
      <x:c r="G1289" s="20"/>
      <x:c r="H1289" s="20"/>
      <x:c r="I1289" s="20"/>
      <x:c r="J1289" s="20"/>
      <x:c r="K1289" s="20"/>
      <x:c r="L1289" s="20"/>
      <x:c r="M1289" s="20"/>
      <x:c r="N1289" s="20"/>
      <x:c r="O1289" s="20"/>
      <x:c r="P1289" s="20"/>
      <x:c r="Q1289" s="20"/>
      <x:c r="R1289" s="20"/>
      <x:c r="S1289" s="20"/>
      <x:c r="T1289" s="20"/>
      <x:c r="U1289" s="20"/>
      <x:c r="V1289" s="20"/>
      <x:c r="W1289" s="20"/>
      <x:c r="X1289" s="20"/>
      <x:c r="Y1289" s="21"/>
    </x:row>
    <x:row r="1290">
      <x:c r="A1290" s="19"/>
      <x:c r="B1290" s="27"/>
      <x:c r="C1290" s="20"/>
      <x:c r="D1290" s="28"/>
      <x:c r="E1290" s="20"/>
      <x:c r="F1290" s="25"/>
      <x:c r="G1290" s="20"/>
      <x:c r="H1290" s="20"/>
      <x:c r="I1290" s="20"/>
      <x:c r="J1290" s="20"/>
      <x:c r="K1290" s="20"/>
      <x:c r="L1290" s="20"/>
      <x:c r="M1290" s="20"/>
      <x:c r="N1290" s="20"/>
      <x:c r="O1290" s="20"/>
      <x:c r="P1290" s="20"/>
      <x:c r="Q1290" s="20"/>
      <x:c r="R1290" s="20"/>
      <x:c r="S1290" s="20"/>
      <x:c r="T1290" s="20"/>
      <x:c r="U1290" s="20"/>
      <x:c r="V1290" s="20"/>
      <x:c r="W1290" s="20"/>
      <x:c r="X1290" s="20"/>
      <x:c r="Y1290" s="21"/>
    </x:row>
    <x:row r="1291">
      <x:c r="A1291" s="19"/>
      <x:c r="B1291" s="27"/>
      <x:c r="C1291" s="20"/>
      <x:c r="D1291" s="28"/>
      <x:c r="E1291" s="20"/>
      <x:c r="F1291" s="25"/>
      <x:c r="G1291" s="20"/>
      <x:c r="H1291" s="20"/>
      <x:c r="I1291" s="20"/>
      <x:c r="J1291" s="20"/>
      <x:c r="K1291" s="20"/>
      <x:c r="L1291" s="20"/>
      <x:c r="M1291" s="20"/>
      <x:c r="N1291" s="20"/>
      <x:c r="O1291" s="20"/>
      <x:c r="P1291" s="20"/>
      <x:c r="Q1291" s="20"/>
      <x:c r="R1291" s="20"/>
      <x:c r="S1291" s="20"/>
      <x:c r="T1291" s="20"/>
      <x:c r="U1291" s="20"/>
      <x:c r="V1291" s="20"/>
      <x:c r="W1291" s="20"/>
      <x:c r="X1291" s="20"/>
      <x:c r="Y1291" s="21"/>
    </x:row>
    <x:row r="1292">
      <x:c r="A1292" s="19"/>
      <x:c r="B1292" s="27"/>
      <x:c r="C1292" s="20"/>
      <x:c r="D1292" s="28"/>
      <x:c r="E1292" s="20"/>
      <x:c r="F1292" s="25"/>
      <x:c r="G1292" s="20"/>
      <x:c r="H1292" s="20"/>
      <x:c r="I1292" s="20"/>
      <x:c r="J1292" s="20"/>
      <x:c r="K1292" s="20"/>
      <x:c r="L1292" s="20"/>
      <x:c r="M1292" s="20"/>
      <x:c r="N1292" s="20"/>
      <x:c r="O1292" s="20"/>
      <x:c r="P1292" s="20"/>
      <x:c r="Q1292" s="20"/>
      <x:c r="R1292" s="20"/>
      <x:c r="S1292" s="20"/>
      <x:c r="T1292" s="20"/>
      <x:c r="U1292" s="20"/>
      <x:c r="V1292" s="20"/>
      <x:c r="W1292" s="20"/>
      <x:c r="X1292" s="20"/>
      <x:c r="Y1292" s="21"/>
    </x:row>
    <x:row r="1293">
      <x:c r="A1293" s="19"/>
      <x:c r="B1293" s="27"/>
      <x:c r="C1293" s="20"/>
      <x:c r="D1293" s="28"/>
      <x:c r="E1293" s="20"/>
      <x:c r="F1293" s="25"/>
      <x:c r="G1293" s="20"/>
      <x:c r="H1293" s="20"/>
      <x:c r="I1293" s="20"/>
      <x:c r="J1293" s="20"/>
      <x:c r="K1293" s="20"/>
      <x:c r="L1293" s="20"/>
      <x:c r="M1293" s="20"/>
      <x:c r="N1293" s="20"/>
      <x:c r="O1293" s="20"/>
      <x:c r="P1293" s="20"/>
      <x:c r="Q1293" s="20"/>
      <x:c r="R1293" s="20"/>
      <x:c r="S1293" s="20"/>
      <x:c r="T1293" s="20"/>
      <x:c r="U1293" s="20"/>
      <x:c r="V1293" s="20"/>
      <x:c r="W1293" s="20"/>
      <x:c r="X1293" s="20"/>
      <x:c r="Y1293" s="21"/>
    </x:row>
    <x:row r="1294">
      <x:c r="A1294" s="19"/>
      <x:c r="B1294" s="27"/>
      <x:c r="C1294" s="20"/>
      <x:c r="D1294" s="28"/>
      <x:c r="E1294" s="20"/>
      <x:c r="F1294" s="25"/>
      <x:c r="G1294" s="20"/>
      <x:c r="H1294" s="20"/>
      <x:c r="I1294" s="20"/>
      <x:c r="J1294" s="20"/>
      <x:c r="K1294" s="20"/>
      <x:c r="L1294" s="20"/>
      <x:c r="M1294" s="20"/>
      <x:c r="N1294" s="20"/>
      <x:c r="O1294" s="20"/>
      <x:c r="P1294" s="20"/>
      <x:c r="Q1294" s="20"/>
      <x:c r="R1294" s="20"/>
      <x:c r="S1294" s="20"/>
      <x:c r="T1294" s="20"/>
      <x:c r="U1294" s="20"/>
      <x:c r="V1294" s="20"/>
      <x:c r="W1294" s="20"/>
      <x:c r="X1294" s="20"/>
      <x:c r="Y1294" s="21"/>
    </x:row>
    <x:row r="1295">
      <x:c r="A1295" s="19"/>
      <x:c r="B1295" s="27"/>
      <x:c r="C1295" s="20"/>
      <x:c r="D1295" s="28"/>
      <x:c r="E1295" s="20"/>
      <x:c r="F1295" s="25"/>
      <x:c r="G1295" s="20"/>
      <x:c r="H1295" s="20"/>
      <x:c r="I1295" s="20"/>
      <x:c r="J1295" s="20"/>
      <x:c r="K1295" s="20"/>
      <x:c r="L1295" s="20"/>
      <x:c r="M1295" s="20"/>
      <x:c r="N1295" s="20"/>
      <x:c r="O1295" s="20"/>
      <x:c r="P1295" s="20"/>
      <x:c r="Q1295" s="20"/>
      <x:c r="R1295" s="20"/>
      <x:c r="S1295" s="20"/>
      <x:c r="T1295" s="20"/>
      <x:c r="U1295" s="20"/>
      <x:c r="V1295" s="20"/>
      <x:c r="W1295" s="20"/>
      <x:c r="X1295" s="20"/>
      <x:c r="Y1295" s="21"/>
    </x:row>
    <x:row r="1296">
      <x:c r="A1296" s="19"/>
      <x:c r="B1296" s="27"/>
      <x:c r="C1296" s="20"/>
      <x:c r="D1296" s="28"/>
      <x:c r="E1296" s="20"/>
      <x:c r="F1296" s="25"/>
      <x:c r="G1296" s="20"/>
      <x:c r="H1296" s="20"/>
      <x:c r="I1296" s="20"/>
      <x:c r="J1296" s="20"/>
      <x:c r="K1296" s="20"/>
      <x:c r="L1296" s="20"/>
      <x:c r="M1296" s="20"/>
      <x:c r="N1296" s="20"/>
      <x:c r="O1296" s="20"/>
      <x:c r="P1296" s="20"/>
      <x:c r="Q1296" s="20"/>
      <x:c r="R1296" s="20"/>
      <x:c r="S1296" s="20"/>
      <x:c r="T1296" s="20"/>
      <x:c r="U1296" s="20"/>
      <x:c r="V1296" s="20"/>
      <x:c r="W1296" s="20"/>
      <x:c r="X1296" s="20"/>
      <x:c r="Y1296" s="21"/>
    </x:row>
    <x:row r="1297">
      <x:c r="A1297" s="19"/>
      <x:c r="B1297" s="27"/>
      <x:c r="C1297" s="20"/>
      <x:c r="D1297" s="28"/>
      <x:c r="E1297" s="20"/>
      <x:c r="F1297" s="25"/>
      <x:c r="G1297" s="20"/>
      <x:c r="H1297" s="20"/>
      <x:c r="I1297" s="20"/>
      <x:c r="J1297" s="20"/>
      <x:c r="K1297" s="20"/>
      <x:c r="L1297" s="20"/>
      <x:c r="M1297" s="20"/>
      <x:c r="N1297" s="20"/>
      <x:c r="O1297" s="20"/>
      <x:c r="P1297" s="20"/>
      <x:c r="Q1297" s="20"/>
      <x:c r="R1297" s="20"/>
      <x:c r="S1297" s="20"/>
      <x:c r="T1297" s="20"/>
      <x:c r="U1297" s="20"/>
      <x:c r="V1297" s="20"/>
      <x:c r="W1297" s="20"/>
      <x:c r="X1297" s="20"/>
      <x:c r="Y1297" s="21"/>
    </x:row>
    <x:row r="1298">
      <x:c r="A1298" s="19"/>
      <x:c r="B1298" s="27"/>
      <x:c r="C1298" s="20"/>
      <x:c r="D1298" s="28"/>
      <x:c r="E1298" s="20"/>
      <x:c r="F1298" s="25"/>
      <x:c r="G1298" s="20"/>
      <x:c r="H1298" s="20"/>
      <x:c r="I1298" s="20"/>
      <x:c r="J1298" s="20"/>
      <x:c r="K1298" s="20"/>
      <x:c r="L1298" s="20"/>
      <x:c r="M1298" s="20"/>
      <x:c r="N1298" s="20"/>
      <x:c r="O1298" s="20"/>
      <x:c r="P1298" s="20"/>
      <x:c r="Q1298" s="20"/>
      <x:c r="R1298" s="20"/>
      <x:c r="S1298" s="20"/>
      <x:c r="T1298" s="20"/>
      <x:c r="U1298" s="20"/>
      <x:c r="V1298" s="20"/>
      <x:c r="W1298" s="20"/>
      <x:c r="X1298" s="20"/>
      <x:c r="Y1298" s="21"/>
    </x:row>
    <x:row r="1299">
      <x:c r="A1299" s="19"/>
      <x:c r="B1299" s="27"/>
      <x:c r="C1299" s="20"/>
      <x:c r="D1299" s="28"/>
      <x:c r="E1299" s="20"/>
      <x:c r="F1299" s="25"/>
      <x:c r="G1299" s="20"/>
      <x:c r="H1299" s="20"/>
      <x:c r="I1299" s="20"/>
      <x:c r="J1299" s="20"/>
      <x:c r="K1299" s="20"/>
      <x:c r="L1299" s="20"/>
      <x:c r="M1299" s="20"/>
      <x:c r="N1299" s="20"/>
      <x:c r="O1299" s="20"/>
      <x:c r="P1299" s="20"/>
      <x:c r="Q1299" s="20"/>
      <x:c r="R1299" s="20"/>
      <x:c r="S1299" s="20"/>
      <x:c r="T1299" s="20"/>
      <x:c r="U1299" s="20"/>
      <x:c r="V1299" s="20"/>
      <x:c r="W1299" s="20"/>
      <x:c r="X1299" s="20"/>
      <x:c r="Y1299" s="21"/>
    </x:row>
    <x:row r="1300">
      <x:c r="A1300" s="19"/>
      <x:c r="B1300" s="27"/>
      <x:c r="C1300" s="20"/>
      <x:c r="D1300" s="28"/>
      <x:c r="E1300" s="20"/>
      <x:c r="F1300" s="25"/>
      <x:c r="G1300" s="20"/>
      <x:c r="H1300" s="20"/>
      <x:c r="I1300" s="20"/>
      <x:c r="J1300" s="20"/>
      <x:c r="K1300" s="20"/>
      <x:c r="L1300" s="20"/>
      <x:c r="M1300" s="20"/>
      <x:c r="N1300" s="20"/>
      <x:c r="O1300" s="20"/>
      <x:c r="P1300" s="20"/>
      <x:c r="Q1300" s="20"/>
      <x:c r="R1300" s="20"/>
      <x:c r="S1300" s="20"/>
      <x:c r="T1300" s="20"/>
      <x:c r="U1300" s="20"/>
      <x:c r="V1300" s="20"/>
      <x:c r="W1300" s="20"/>
      <x:c r="X1300" s="20"/>
      <x:c r="Y1300" s="21"/>
    </x:row>
    <x:row r="1301">
      <x:c r="A1301" s="19"/>
      <x:c r="B1301" s="27"/>
      <x:c r="C1301" s="20"/>
      <x:c r="D1301" s="28"/>
      <x:c r="E1301" s="20"/>
      <x:c r="F1301" s="25"/>
      <x:c r="G1301" s="20"/>
      <x:c r="H1301" s="20"/>
      <x:c r="I1301" s="20"/>
      <x:c r="J1301" s="20"/>
      <x:c r="K1301" s="20"/>
      <x:c r="L1301" s="20"/>
      <x:c r="M1301" s="20"/>
      <x:c r="N1301" s="20"/>
      <x:c r="O1301" s="20"/>
      <x:c r="P1301" s="20"/>
      <x:c r="Q1301" s="20"/>
      <x:c r="R1301" s="20"/>
      <x:c r="S1301" s="20"/>
      <x:c r="T1301" s="20"/>
      <x:c r="U1301" s="20"/>
      <x:c r="V1301" s="20"/>
      <x:c r="W1301" s="20"/>
      <x:c r="X1301" s="20"/>
      <x:c r="Y1301" s="21"/>
    </x:row>
    <x:row r="1302">
      <x:c r="A1302" s="19"/>
      <x:c r="B1302" s="27"/>
      <x:c r="C1302" s="20"/>
      <x:c r="D1302" s="28"/>
      <x:c r="E1302" s="20"/>
      <x:c r="F1302" s="25"/>
      <x:c r="G1302" s="20"/>
      <x:c r="H1302" s="20"/>
      <x:c r="I1302" s="20"/>
      <x:c r="J1302" s="20"/>
      <x:c r="K1302" s="20"/>
      <x:c r="L1302" s="20"/>
      <x:c r="M1302" s="20"/>
      <x:c r="N1302" s="20"/>
      <x:c r="O1302" s="20"/>
      <x:c r="P1302" s="20"/>
      <x:c r="Q1302" s="20"/>
      <x:c r="R1302" s="20"/>
      <x:c r="S1302" s="20"/>
      <x:c r="T1302" s="20"/>
      <x:c r="U1302" s="20"/>
      <x:c r="V1302" s="20"/>
      <x:c r="W1302" s="20"/>
      <x:c r="X1302" s="20"/>
      <x:c r="Y1302" s="21"/>
    </x:row>
    <x:row r="1303">
      <x:c r="A1303" s="19"/>
      <x:c r="B1303" s="27"/>
      <x:c r="C1303" s="20"/>
      <x:c r="D1303" s="28"/>
      <x:c r="E1303" s="20"/>
      <x:c r="F1303" s="25"/>
      <x:c r="G1303" s="20"/>
      <x:c r="H1303" s="20"/>
      <x:c r="I1303" s="20"/>
      <x:c r="J1303" s="20"/>
      <x:c r="K1303" s="20"/>
      <x:c r="L1303" s="20"/>
      <x:c r="M1303" s="20"/>
      <x:c r="N1303" s="20"/>
      <x:c r="O1303" s="20"/>
      <x:c r="P1303" s="20"/>
      <x:c r="Q1303" s="20"/>
      <x:c r="R1303" s="20"/>
      <x:c r="S1303" s="20"/>
      <x:c r="T1303" s="20"/>
      <x:c r="U1303" s="20"/>
      <x:c r="V1303" s="20"/>
      <x:c r="W1303" s="20"/>
      <x:c r="X1303" s="20"/>
      <x:c r="Y1303" s="21"/>
    </x:row>
    <x:row r="1304">
      <x:c r="A1304" s="19"/>
      <x:c r="B1304" s="27"/>
      <x:c r="C1304" s="20"/>
      <x:c r="D1304" s="28"/>
      <x:c r="E1304" s="20"/>
      <x:c r="F1304" s="25"/>
      <x:c r="G1304" s="20"/>
      <x:c r="H1304" s="20"/>
      <x:c r="I1304" s="20"/>
      <x:c r="J1304" s="20"/>
      <x:c r="K1304" s="20"/>
      <x:c r="L1304" s="20"/>
      <x:c r="M1304" s="20"/>
      <x:c r="N1304" s="20"/>
      <x:c r="O1304" s="20"/>
      <x:c r="P1304" s="20"/>
      <x:c r="Q1304" s="20"/>
      <x:c r="R1304" s="20"/>
      <x:c r="S1304" s="20"/>
      <x:c r="T1304" s="20"/>
      <x:c r="U1304" s="20"/>
      <x:c r="V1304" s="20"/>
      <x:c r="W1304" s="20"/>
      <x:c r="X1304" s="20"/>
      <x:c r="Y1304" s="21"/>
    </x:row>
    <x:row r="1305">
      <x:c r="A1305" s="19"/>
      <x:c r="B1305" s="27"/>
      <x:c r="C1305" s="20"/>
      <x:c r="D1305" s="28"/>
      <x:c r="E1305" s="20"/>
      <x:c r="F1305" s="25"/>
      <x:c r="G1305" s="20"/>
      <x:c r="H1305" s="20"/>
      <x:c r="I1305" s="20"/>
      <x:c r="J1305" s="20"/>
      <x:c r="K1305" s="20"/>
      <x:c r="L1305" s="20"/>
      <x:c r="M1305" s="20"/>
      <x:c r="N1305" s="20"/>
      <x:c r="O1305" s="20"/>
      <x:c r="P1305" s="20"/>
      <x:c r="Q1305" s="20"/>
      <x:c r="R1305" s="20"/>
      <x:c r="S1305" s="20"/>
      <x:c r="T1305" s="20"/>
      <x:c r="U1305" s="20"/>
      <x:c r="V1305" s="20"/>
      <x:c r="W1305" s="20"/>
      <x:c r="X1305" s="20"/>
      <x:c r="Y1305" s="21"/>
    </x:row>
    <x:row r="1306">
      <x:c r="A1306" s="19"/>
      <x:c r="B1306" s="27"/>
      <x:c r="C1306" s="20"/>
      <x:c r="D1306" s="28"/>
      <x:c r="E1306" s="20"/>
      <x:c r="F1306" s="25"/>
      <x:c r="G1306" s="20"/>
      <x:c r="H1306" s="20"/>
      <x:c r="I1306" s="20"/>
      <x:c r="J1306" s="20"/>
      <x:c r="K1306" s="20"/>
      <x:c r="L1306" s="20"/>
      <x:c r="M1306" s="20"/>
      <x:c r="N1306" s="20"/>
      <x:c r="O1306" s="20"/>
      <x:c r="P1306" s="20"/>
      <x:c r="Q1306" s="20"/>
      <x:c r="R1306" s="20"/>
      <x:c r="S1306" s="20"/>
      <x:c r="T1306" s="20"/>
      <x:c r="U1306" s="20"/>
      <x:c r="V1306" s="20"/>
      <x:c r="W1306" s="20"/>
      <x:c r="X1306" s="20"/>
      <x:c r="Y1306" s="21"/>
    </x:row>
    <x:row r="1307">
      <x:c r="A1307" s="19"/>
      <x:c r="B1307" s="27"/>
      <x:c r="C1307" s="20"/>
      <x:c r="D1307" s="28"/>
      <x:c r="E1307" s="20"/>
      <x:c r="F1307" s="25"/>
      <x:c r="G1307" s="20"/>
      <x:c r="H1307" s="20"/>
      <x:c r="I1307" s="20"/>
      <x:c r="J1307" s="20"/>
      <x:c r="K1307" s="20"/>
      <x:c r="L1307" s="20"/>
      <x:c r="M1307" s="20"/>
      <x:c r="N1307" s="20"/>
      <x:c r="O1307" s="20"/>
      <x:c r="P1307" s="20"/>
      <x:c r="Q1307" s="20"/>
      <x:c r="R1307" s="20"/>
      <x:c r="S1307" s="20"/>
      <x:c r="T1307" s="20"/>
      <x:c r="U1307" s="20"/>
      <x:c r="V1307" s="20"/>
      <x:c r="W1307" s="20"/>
      <x:c r="X1307" s="20"/>
      <x:c r="Y1307" s="21"/>
    </x:row>
    <x:row r="1308">
      <x:c r="A1308" s="19"/>
      <x:c r="B1308" s="27"/>
      <x:c r="C1308" s="20"/>
      <x:c r="D1308" s="28"/>
      <x:c r="E1308" s="20"/>
      <x:c r="F1308" s="25"/>
      <x:c r="G1308" s="20"/>
      <x:c r="H1308" s="20"/>
      <x:c r="I1308" s="20"/>
      <x:c r="J1308" s="20"/>
      <x:c r="K1308" s="20"/>
      <x:c r="L1308" s="20"/>
      <x:c r="M1308" s="20"/>
      <x:c r="N1308" s="20"/>
      <x:c r="O1308" s="20"/>
      <x:c r="P1308" s="20"/>
      <x:c r="Q1308" s="20"/>
      <x:c r="R1308" s="20"/>
      <x:c r="S1308" s="20"/>
      <x:c r="T1308" s="20"/>
      <x:c r="U1308" s="20"/>
      <x:c r="V1308" s="20"/>
      <x:c r="W1308" s="20"/>
      <x:c r="X1308" s="20"/>
      <x:c r="Y1308" s="21"/>
    </x:row>
    <x:row r="1309">
      <x:c r="A1309" s="19"/>
      <x:c r="B1309" s="27"/>
      <x:c r="C1309" s="20"/>
      <x:c r="D1309" s="28"/>
      <x:c r="E1309" s="20"/>
      <x:c r="F1309" s="25"/>
      <x:c r="G1309" s="20"/>
      <x:c r="H1309" s="20"/>
      <x:c r="I1309" s="20"/>
      <x:c r="J1309" s="20"/>
      <x:c r="K1309" s="20"/>
      <x:c r="L1309" s="20"/>
      <x:c r="M1309" s="20"/>
      <x:c r="N1309" s="20"/>
      <x:c r="O1309" s="20"/>
      <x:c r="P1309" s="20"/>
      <x:c r="Q1309" s="20"/>
      <x:c r="R1309" s="20"/>
      <x:c r="S1309" s="20"/>
      <x:c r="T1309" s="20"/>
      <x:c r="U1309" s="20"/>
      <x:c r="V1309" s="20"/>
      <x:c r="W1309" s="20"/>
      <x:c r="X1309" s="20"/>
      <x:c r="Y1309" s="21"/>
    </x:row>
    <x:row r="1310">
      <x:c r="A1310" s="19"/>
      <x:c r="B1310" s="27"/>
      <x:c r="C1310" s="20"/>
      <x:c r="D1310" s="28"/>
      <x:c r="E1310" s="20"/>
      <x:c r="F1310" s="25"/>
      <x:c r="G1310" s="20"/>
      <x:c r="H1310" s="20"/>
      <x:c r="I1310" s="20"/>
      <x:c r="J1310" s="20"/>
      <x:c r="K1310" s="20"/>
      <x:c r="L1310" s="20"/>
      <x:c r="M1310" s="20"/>
      <x:c r="N1310" s="20"/>
      <x:c r="O1310" s="20"/>
      <x:c r="P1310" s="20"/>
      <x:c r="Q1310" s="20"/>
      <x:c r="R1310" s="20"/>
      <x:c r="S1310" s="20"/>
      <x:c r="T1310" s="20"/>
      <x:c r="U1310" s="20"/>
      <x:c r="V1310" s="20"/>
      <x:c r="W1310" s="20"/>
      <x:c r="X1310" s="20"/>
      <x:c r="Y1310" s="21"/>
    </x:row>
    <x:row r="1311">
      <x:c r="A1311" s="19"/>
      <x:c r="B1311" s="27"/>
      <x:c r="C1311" s="20"/>
      <x:c r="D1311" s="28"/>
      <x:c r="E1311" s="20"/>
      <x:c r="F1311" s="25"/>
      <x:c r="G1311" s="20"/>
      <x:c r="H1311" s="20"/>
      <x:c r="I1311" s="20"/>
      <x:c r="J1311" s="20"/>
      <x:c r="K1311" s="20"/>
      <x:c r="L1311" s="20"/>
      <x:c r="M1311" s="20"/>
      <x:c r="N1311" s="20"/>
      <x:c r="O1311" s="20"/>
      <x:c r="P1311" s="20"/>
      <x:c r="Q1311" s="20"/>
      <x:c r="R1311" s="20"/>
      <x:c r="S1311" s="20"/>
      <x:c r="T1311" s="20"/>
      <x:c r="U1311" s="20"/>
      <x:c r="V1311" s="20"/>
      <x:c r="W1311" s="20"/>
      <x:c r="X1311" s="20"/>
      <x:c r="Y1311" s="21"/>
    </x:row>
    <x:row r="1312">
      <x:c r="A1312" s="19"/>
      <x:c r="B1312" s="27"/>
      <x:c r="C1312" s="20"/>
      <x:c r="D1312" s="28"/>
      <x:c r="E1312" s="20"/>
      <x:c r="F1312" s="25"/>
      <x:c r="G1312" s="20"/>
      <x:c r="H1312" s="20"/>
      <x:c r="I1312" s="20"/>
      <x:c r="J1312" s="20"/>
      <x:c r="K1312" s="20"/>
      <x:c r="L1312" s="20"/>
      <x:c r="M1312" s="20"/>
      <x:c r="N1312" s="20"/>
      <x:c r="O1312" s="20"/>
      <x:c r="P1312" s="20"/>
      <x:c r="Q1312" s="20"/>
      <x:c r="R1312" s="20"/>
      <x:c r="S1312" s="20"/>
      <x:c r="T1312" s="20"/>
      <x:c r="U1312" s="20"/>
      <x:c r="V1312" s="20"/>
      <x:c r="W1312" s="20"/>
      <x:c r="X1312" s="20"/>
      <x:c r="Y1312" s="21"/>
    </x:row>
    <x:row r="1313">
      <x:c r="A1313" s="19"/>
      <x:c r="B1313" s="27"/>
      <x:c r="C1313" s="20"/>
      <x:c r="D1313" s="28"/>
      <x:c r="E1313" s="20"/>
      <x:c r="F1313" s="25"/>
      <x:c r="G1313" s="20"/>
      <x:c r="H1313" s="20"/>
      <x:c r="I1313" s="20"/>
      <x:c r="J1313" s="20"/>
      <x:c r="K1313" s="20"/>
      <x:c r="L1313" s="20"/>
      <x:c r="M1313" s="20"/>
      <x:c r="N1313" s="20"/>
      <x:c r="O1313" s="20"/>
      <x:c r="P1313" s="20"/>
      <x:c r="Q1313" s="20"/>
      <x:c r="R1313" s="20"/>
      <x:c r="S1313" s="20"/>
      <x:c r="T1313" s="20"/>
      <x:c r="U1313" s="20"/>
      <x:c r="V1313" s="20"/>
      <x:c r="W1313" s="20"/>
      <x:c r="X1313" s="20"/>
      <x:c r="Y1313" s="21"/>
    </x:row>
    <x:row r="1314">
      <x:c r="A1314" s="19"/>
      <x:c r="B1314" s="27"/>
      <x:c r="C1314" s="20"/>
      <x:c r="D1314" s="28"/>
      <x:c r="E1314" s="20"/>
      <x:c r="F1314" s="25"/>
      <x:c r="G1314" s="20"/>
      <x:c r="H1314" s="20"/>
      <x:c r="I1314" s="20"/>
      <x:c r="J1314" s="20"/>
      <x:c r="K1314" s="20"/>
      <x:c r="L1314" s="20"/>
      <x:c r="M1314" s="20"/>
      <x:c r="N1314" s="20"/>
      <x:c r="O1314" s="20"/>
      <x:c r="P1314" s="20"/>
      <x:c r="Q1314" s="20"/>
      <x:c r="R1314" s="20"/>
      <x:c r="S1314" s="20"/>
      <x:c r="T1314" s="20"/>
      <x:c r="U1314" s="20"/>
      <x:c r="V1314" s="20"/>
      <x:c r="W1314" s="20"/>
      <x:c r="X1314" s="20"/>
      <x:c r="Y1314" s="21"/>
    </x:row>
    <x:row r="1315">
      <x:c r="A1315" s="19"/>
      <x:c r="B1315" s="27"/>
      <x:c r="C1315" s="20"/>
      <x:c r="D1315" s="28"/>
      <x:c r="E1315" s="20"/>
      <x:c r="F1315" s="25"/>
      <x:c r="G1315" s="20"/>
      <x:c r="H1315" s="20"/>
      <x:c r="I1315" s="20"/>
      <x:c r="J1315" s="20"/>
      <x:c r="K1315" s="20"/>
      <x:c r="L1315" s="20"/>
      <x:c r="M1315" s="20"/>
      <x:c r="N1315" s="20"/>
      <x:c r="O1315" s="20"/>
      <x:c r="P1315" s="20"/>
      <x:c r="Q1315" s="20"/>
      <x:c r="R1315" s="20"/>
      <x:c r="S1315" s="20"/>
      <x:c r="T1315" s="20"/>
      <x:c r="U1315" s="20"/>
      <x:c r="V1315" s="20"/>
      <x:c r="W1315" s="20"/>
      <x:c r="X1315" s="20"/>
      <x:c r="Y1315" s="21"/>
    </x:row>
    <x:row r="1316">
      <x:c r="A1316" s="19"/>
      <x:c r="B1316" s="27"/>
      <x:c r="C1316" s="20"/>
      <x:c r="D1316" s="28"/>
      <x:c r="E1316" s="20"/>
      <x:c r="F1316" s="25"/>
      <x:c r="G1316" s="20"/>
      <x:c r="H1316" s="20"/>
      <x:c r="I1316" s="20"/>
      <x:c r="J1316" s="20"/>
      <x:c r="K1316" s="20"/>
      <x:c r="L1316" s="20"/>
      <x:c r="M1316" s="20"/>
      <x:c r="N1316" s="20"/>
      <x:c r="O1316" s="20"/>
      <x:c r="P1316" s="20"/>
      <x:c r="Q1316" s="20"/>
      <x:c r="R1316" s="20"/>
      <x:c r="S1316" s="20"/>
      <x:c r="T1316" s="20"/>
      <x:c r="U1316" s="20"/>
      <x:c r="V1316" s="20"/>
      <x:c r="W1316" s="20"/>
      <x:c r="X1316" s="20"/>
      <x:c r="Y1316" s="21"/>
    </x:row>
    <x:row r="1317">
      <x:c r="A1317" s="19"/>
      <x:c r="B1317" s="27"/>
      <x:c r="C1317" s="20"/>
      <x:c r="D1317" s="28"/>
      <x:c r="E1317" s="20"/>
      <x:c r="F1317" s="25"/>
      <x:c r="G1317" s="20"/>
      <x:c r="H1317" s="20"/>
      <x:c r="I1317" s="20"/>
      <x:c r="J1317" s="20"/>
      <x:c r="K1317" s="20"/>
      <x:c r="L1317" s="20"/>
      <x:c r="M1317" s="20"/>
      <x:c r="N1317" s="20"/>
      <x:c r="O1317" s="20"/>
      <x:c r="P1317" s="20"/>
      <x:c r="Q1317" s="20"/>
      <x:c r="R1317" s="20"/>
      <x:c r="S1317" s="20"/>
      <x:c r="T1317" s="20"/>
      <x:c r="U1317" s="20"/>
      <x:c r="V1317" s="20"/>
      <x:c r="W1317" s="20"/>
      <x:c r="X1317" s="20"/>
      <x:c r="Y1317" s="21"/>
    </x:row>
    <x:row r="1318">
      <x:c r="A1318" s="19"/>
      <x:c r="B1318" s="27"/>
      <x:c r="C1318" s="20"/>
      <x:c r="D1318" s="28"/>
      <x:c r="E1318" s="20"/>
      <x:c r="F1318" s="25"/>
      <x:c r="G1318" s="20"/>
      <x:c r="H1318" s="20"/>
      <x:c r="I1318" s="20"/>
      <x:c r="J1318" s="20"/>
      <x:c r="K1318" s="20"/>
      <x:c r="L1318" s="20"/>
      <x:c r="M1318" s="20"/>
      <x:c r="N1318" s="20"/>
      <x:c r="O1318" s="20"/>
      <x:c r="P1318" s="20"/>
      <x:c r="Q1318" s="20"/>
      <x:c r="R1318" s="20"/>
      <x:c r="S1318" s="20"/>
      <x:c r="T1318" s="20"/>
      <x:c r="U1318" s="20"/>
      <x:c r="V1318" s="20"/>
      <x:c r="W1318" s="20"/>
      <x:c r="X1318" s="20"/>
      <x:c r="Y1318" s="21"/>
    </x:row>
    <x:row r="1319">
      <x:c r="A1319" s="19"/>
      <x:c r="B1319" s="27"/>
      <x:c r="C1319" s="20"/>
      <x:c r="D1319" s="28"/>
      <x:c r="E1319" s="20"/>
      <x:c r="F1319" s="25"/>
      <x:c r="G1319" s="20"/>
      <x:c r="H1319" s="20"/>
      <x:c r="I1319" s="20"/>
      <x:c r="J1319" s="20"/>
      <x:c r="K1319" s="20"/>
      <x:c r="L1319" s="20"/>
      <x:c r="M1319" s="20"/>
      <x:c r="N1319" s="20"/>
      <x:c r="O1319" s="20"/>
      <x:c r="P1319" s="20"/>
      <x:c r="Q1319" s="20"/>
      <x:c r="R1319" s="20"/>
      <x:c r="S1319" s="20"/>
      <x:c r="T1319" s="20"/>
      <x:c r="U1319" s="20"/>
      <x:c r="V1319" s="20"/>
      <x:c r="W1319" s="20"/>
      <x:c r="X1319" s="20"/>
      <x:c r="Y1319" s="21"/>
    </x:row>
    <x:row r="1320">
      <x:c r="A1320" s="19"/>
      <x:c r="B1320" s="27"/>
      <x:c r="C1320" s="20"/>
      <x:c r="D1320" s="28"/>
      <x:c r="E1320" s="20"/>
      <x:c r="F1320" s="25"/>
      <x:c r="G1320" s="20"/>
      <x:c r="H1320" s="20"/>
      <x:c r="I1320" s="20"/>
      <x:c r="J1320" s="20"/>
      <x:c r="K1320" s="20"/>
      <x:c r="L1320" s="20"/>
      <x:c r="M1320" s="20"/>
      <x:c r="N1320" s="20"/>
      <x:c r="O1320" s="20"/>
      <x:c r="P1320" s="20"/>
      <x:c r="Q1320" s="20"/>
      <x:c r="R1320" s="20"/>
      <x:c r="S1320" s="20"/>
      <x:c r="T1320" s="20"/>
      <x:c r="U1320" s="20"/>
      <x:c r="V1320" s="20"/>
      <x:c r="W1320" s="20"/>
      <x:c r="X1320" s="20"/>
      <x:c r="Y1320" s="21"/>
    </x:row>
    <x:row r="1321">
      <x:c r="A1321" s="19"/>
      <x:c r="B1321" s="27"/>
      <x:c r="C1321" s="20"/>
      <x:c r="D1321" s="28"/>
      <x:c r="E1321" s="20"/>
      <x:c r="F1321" s="25"/>
      <x:c r="G1321" s="20"/>
      <x:c r="H1321" s="20"/>
      <x:c r="I1321" s="20"/>
      <x:c r="J1321" s="20"/>
      <x:c r="K1321" s="20"/>
      <x:c r="L1321" s="20"/>
      <x:c r="M1321" s="20"/>
      <x:c r="N1321" s="20"/>
      <x:c r="O1321" s="20"/>
      <x:c r="P1321" s="20"/>
      <x:c r="Q1321" s="20"/>
      <x:c r="R1321" s="20"/>
      <x:c r="S1321" s="20"/>
      <x:c r="T1321" s="20"/>
      <x:c r="U1321" s="20"/>
      <x:c r="V1321" s="20"/>
      <x:c r="W1321" s="20"/>
      <x:c r="X1321" s="20"/>
      <x:c r="Y1321" s="21"/>
    </x:row>
    <x:row r="1322">
      <x:c r="A1322" s="19"/>
      <x:c r="B1322" s="27"/>
      <x:c r="C1322" s="20"/>
      <x:c r="D1322" s="28"/>
      <x:c r="E1322" s="20"/>
      <x:c r="F1322" s="25"/>
      <x:c r="G1322" s="20"/>
      <x:c r="H1322" s="20"/>
      <x:c r="I1322" s="20"/>
      <x:c r="J1322" s="20"/>
      <x:c r="K1322" s="20"/>
      <x:c r="L1322" s="20"/>
      <x:c r="M1322" s="20"/>
      <x:c r="N1322" s="20"/>
      <x:c r="O1322" s="20"/>
      <x:c r="P1322" s="20"/>
      <x:c r="Q1322" s="20"/>
      <x:c r="R1322" s="20"/>
      <x:c r="S1322" s="20"/>
      <x:c r="T1322" s="20"/>
      <x:c r="U1322" s="20"/>
      <x:c r="V1322" s="20"/>
      <x:c r="W1322" s="20"/>
      <x:c r="X1322" s="20"/>
      <x:c r="Y1322" s="21"/>
    </x:row>
    <x:row r="1323">
      <x:c r="A1323" s="19"/>
      <x:c r="B1323" s="27"/>
      <x:c r="C1323" s="20"/>
      <x:c r="D1323" s="28"/>
      <x:c r="E1323" s="20"/>
      <x:c r="F1323" s="25"/>
      <x:c r="G1323" s="20"/>
      <x:c r="H1323" s="20"/>
      <x:c r="I1323" s="20"/>
      <x:c r="J1323" s="20"/>
      <x:c r="K1323" s="20"/>
      <x:c r="L1323" s="20"/>
      <x:c r="M1323" s="20"/>
      <x:c r="N1323" s="20"/>
      <x:c r="O1323" s="20"/>
      <x:c r="P1323" s="20"/>
      <x:c r="Q1323" s="20"/>
      <x:c r="R1323" s="20"/>
      <x:c r="S1323" s="20"/>
      <x:c r="T1323" s="20"/>
      <x:c r="U1323" s="20"/>
      <x:c r="V1323" s="20"/>
      <x:c r="W1323" s="20"/>
      <x:c r="X1323" s="20"/>
      <x:c r="Y1323" s="21"/>
    </x:row>
    <x:row r="1324">
      <x:c r="A1324" s="19"/>
      <x:c r="B1324" s="27"/>
      <x:c r="C1324" s="20"/>
      <x:c r="D1324" s="28"/>
      <x:c r="E1324" s="20"/>
      <x:c r="F1324" s="25"/>
      <x:c r="G1324" s="20"/>
      <x:c r="H1324" s="20"/>
      <x:c r="I1324" s="20"/>
      <x:c r="J1324" s="20"/>
      <x:c r="K1324" s="20"/>
      <x:c r="L1324" s="20"/>
      <x:c r="M1324" s="20"/>
      <x:c r="N1324" s="20"/>
      <x:c r="O1324" s="20"/>
      <x:c r="P1324" s="20"/>
      <x:c r="Q1324" s="20"/>
      <x:c r="R1324" s="20"/>
      <x:c r="S1324" s="20"/>
      <x:c r="T1324" s="20"/>
      <x:c r="U1324" s="20"/>
      <x:c r="V1324" s="20"/>
      <x:c r="W1324" s="20"/>
      <x:c r="X1324" s="20"/>
      <x:c r="Y1324" s="21"/>
    </x:row>
    <x:row r="1325">
      <x:c r="A1325" s="19"/>
      <x:c r="B1325" s="27"/>
      <x:c r="C1325" s="20"/>
      <x:c r="D1325" s="28"/>
      <x:c r="E1325" s="20"/>
      <x:c r="F1325" s="25"/>
      <x:c r="G1325" s="20"/>
      <x:c r="H1325" s="20"/>
      <x:c r="I1325" s="20"/>
      <x:c r="J1325" s="20"/>
      <x:c r="K1325" s="20"/>
      <x:c r="L1325" s="20"/>
      <x:c r="M1325" s="20"/>
      <x:c r="N1325" s="20"/>
      <x:c r="O1325" s="20"/>
      <x:c r="P1325" s="20"/>
      <x:c r="Q1325" s="20"/>
      <x:c r="R1325" s="20"/>
      <x:c r="S1325" s="20"/>
      <x:c r="T1325" s="20"/>
      <x:c r="U1325" s="20"/>
      <x:c r="V1325" s="20"/>
      <x:c r="W1325" s="20"/>
      <x:c r="X1325" s="20"/>
      <x:c r="Y1325" s="21"/>
    </x:row>
    <x:row r="1326">
      <x:c r="A1326" s="19"/>
      <x:c r="B1326" s="27"/>
      <x:c r="C1326" s="20"/>
      <x:c r="D1326" s="28"/>
      <x:c r="E1326" s="20"/>
      <x:c r="F1326" s="25"/>
      <x:c r="G1326" s="20"/>
      <x:c r="H1326" s="20"/>
      <x:c r="I1326" s="20"/>
      <x:c r="J1326" s="20"/>
      <x:c r="K1326" s="20"/>
      <x:c r="L1326" s="20"/>
      <x:c r="M1326" s="20"/>
      <x:c r="N1326" s="20"/>
      <x:c r="O1326" s="20"/>
      <x:c r="P1326" s="20"/>
      <x:c r="Q1326" s="20"/>
      <x:c r="R1326" s="20"/>
      <x:c r="S1326" s="20"/>
      <x:c r="T1326" s="20"/>
      <x:c r="U1326" s="20"/>
      <x:c r="V1326" s="20"/>
      <x:c r="W1326" s="20"/>
      <x:c r="X1326" s="20"/>
      <x:c r="Y1326" s="21"/>
    </x:row>
    <x:row r="1327">
      <x:c r="A1327" s="19"/>
      <x:c r="B1327" s="27"/>
      <x:c r="C1327" s="20"/>
      <x:c r="D1327" s="28"/>
      <x:c r="E1327" s="20"/>
      <x:c r="F1327" s="25"/>
      <x:c r="G1327" s="20"/>
      <x:c r="H1327" s="20"/>
      <x:c r="I1327" s="20"/>
      <x:c r="J1327" s="20"/>
      <x:c r="K1327" s="20"/>
      <x:c r="L1327" s="20"/>
      <x:c r="M1327" s="20"/>
      <x:c r="N1327" s="20"/>
      <x:c r="O1327" s="20"/>
      <x:c r="P1327" s="20"/>
      <x:c r="Q1327" s="20"/>
      <x:c r="R1327" s="20"/>
      <x:c r="S1327" s="20"/>
      <x:c r="T1327" s="20"/>
      <x:c r="U1327" s="20"/>
      <x:c r="V1327" s="20"/>
      <x:c r="W1327" s="20"/>
      <x:c r="X1327" s="20"/>
      <x:c r="Y1327" s="21"/>
    </x:row>
    <x:row r="1328">
      <x:c r="A1328" s="19"/>
      <x:c r="B1328" s="27"/>
      <x:c r="C1328" s="20"/>
      <x:c r="D1328" s="28"/>
      <x:c r="E1328" s="20"/>
      <x:c r="F1328" s="25"/>
      <x:c r="G1328" s="20"/>
      <x:c r="H1328" s="20"/>
      <x:c r="I1328" s="20"/>
      <x:c r="J1328" s="20"/>
      <x:c r="K1328" s="20"/>
      <x:c r="L1328" s="20"/>
      <x:c r="M1328" s="20"/>
      <x:c r="N1328" s="20"/>
      <x:c r="O1328" s="20"/>
      <x:c r="P1328" s="20"/>
      <x:c r="Q1328" s="20"/>
      <x:c r="R1328" s="20"/>
      <x:c r="S1328" s="20"/>
      <x:c r="T1328" s="20"/>
      <x:c r="U1328" s="20"/>
      <x:c r="V1328" s="20"/>
      <x:c r="W1328" s="20"/>
      <x:c r="X1328" s="20"/>
      <x:c r="Y1328" s="21"/>
    </x:row>
    <x:row r="1329">
      <x:c r="A1329" s="19"/>
      <x:c r="B1329" s="27"/>
      <x:c r="C1329" s="20"/>
      <x:c r="D1329" s="28"/>
      <x:c r="E1329" s="20"/>
      <x:c r="F1329" s="25"/>
      <x:c r="G1329" s="20"/>
      <x:c r="H1329" s="20"/>
      <x:c r="I1329" s="20"/>
      <x:c r="J1329" s="20"/>
      <x:c r="K1329" s="20"/>
      <x:c r="L1329" s="20"/>
      <x:c r="M1329" s="20"/>
      <x:c r="N1329" s="20"/>
      <x:c r="O1329" s="20"/>
      <x:c r="P1329" s="20"/>
      <x:c r="Q1329" s="20"/>
      <x:c r="R1329" s="20"/>
      <x:c r="S1329" s="20"/>
      <x:c r="T1329" s="20"/>
      <x:c r="U1329" s="20"/>
      <x:c r="V1329" s="20"/>
      <x:c r="W1329" s="20"/>
      <x:c r="X1329" s="20"/>
      <x:c r="Y1329" s="21"/>
    </x:row>
    <x:row r="1330">
      <x:c r="A1330" s="19"/>
      <x:c r="B1330" s="27"/>
      <x:c r="C1330" s="20"/>
      <x:c r="D1330" s="28"/>
      <x:c r="E1330" s="20"/>
      <x:c r="F1330" s="25"/>
      <x:c r="G1330" s="20"/>
      <x:c r="H1330" s="20"/>
      <x:c r="I1330" s="20"/>
      <x:c r="J1330" s="20"/>
      <x:c r="K1330" s="20"/>
      <x:c r="L1330" s="20"/>
      <x:c r="M1330" s="20"/>
      <x:c r="N1330" s="20"/>
      <x:c r="O1330" s="20"/>
      <x:c r="P1330" s="20"/>
      <x:c r="Q1330" s="20"/>
      <x:c r="R1330" s="20"/>
      <x:c r="S1330" s="20"/>
      <x:c r="T1330" s="20"/>
      <x:c r="U1330" s="20"/>
      <x:c r="V1330" s="20"/>
      <x:c r="W1330" s="20"/>
      <x:c r="X1330" s="20"/>
      <x:c r="Y1330" s="21"/>
    </x:row>
    <x:row r="1331">
      <x:c r="A1331" s="19"/>
      <x:c r="B1331" s="27"/>
      <x:c r="C1331" s="20"/>
      <x:c r="D1331" s="28"/>
      <x:c r="E1331" s="20"/>
      <x:c r="F1331" s="25"/>
      <x:c r="G1331" s="20"/>
      <x:c r="H1331" s="20"/>
      <x:c r="I1331" s="20"/>
      <x:c r="J1331" s="20"/>
      <x:c r="K1331" s="20"/>
      <x:c r="L1331" s="20"/>
      <x:c r="M1331" s="20"/>
      <x:c r="N1331" s="20"/>
      <x:c r="O1331" s="20"/>
      <x:c r="P1331" s="20"/>
      <x:c r="Q1331" s="20"/>
      <x:c r="R1331" s="20"/>
      <x:c r="S1331" s="20"/>
      <x:c r="T1331" s="20"/>
      <x:c r="U1331" s="20"/>
      <x:c r="V1331" s="20"/>
      <x:c r="W1331" s="20"/>
      <x:c r="X1331" s="20"/>
      <x:c r="Y1331" s="21"/>
    </x:row>
    <x:row r="1332">
      <x:c r="A1332" s="19"/>
      <x:c r="B1332" s="27"/>
      <x:c r="C1332" s="20"/>
      <x:c r="D1332" s="28"/>
      <x:c r="E1332" s="20"/>
      <x:c r="F1332" s="25"/>
      <x:c r="G1332" s="20"/>
      <x:c r="H1332" s="20"/>
      <x:c r="I1332" s="20"/>
      <x:c r="J1332" s="20"/>
      <x:c r="K1332" s="20"/>
      <x:c r="L1332" s="20"/>
      <x:c r="M1332" s="20"/>
      <x:c r="N1332" s="20"/>
      <x:c r="O1332" s="20"/>
      <x:c r="P1332" s="20"/>
      <x:c r="Q1332" s="20"/>
      <x:c r="R1332" s="20"/>
      <x:c r="S1332" s="20"/>
      <x:c r="T1332" s="20"/>
      <x:c r="U1332" s="20"/>
      <x:c r="V1332" s="20"/>
      <x:c r="W1332" s="20"/>
      <x:c r="X1332" s="20"/>
      <x:c r="Y1332" s="21"/>
    </x:row>
    <x:row r="1333">
      <x:c r="A1333" s="19"/>
      <x:c r="B1333" s="27"/>
      <x:c r="C1333" s="20"/>
      <x:c r="D1333" s="28"/>
      <x:c r="E1333" s="20"/>
      <x:c r="F1333" s="25"/>
      <x:c r="G1333" s="20"/>
      <x:c r="H1333" s="20"/>
      <x:c r="I1333" s="20"/>
      <x:c r="J1333" s="20"/>
      <x:c r="K1333" s="20"/>
      <x:c r="L1333" s="20"/>
      <x:c r="M1333" s="20"/>
      <x:c r="N1333" s="20"/>
      <x:c r="O1333" s="20"/>
      <x:c r="P1333" s="20"/>
      <x:c r="Q1333" s="20"/>
      <x:c r="R1333" s="20"/>
      <x:c r="S1333" s="20"/>
      <x:c r="T1333" s="20"/>
      <x:c r="U1333" s="20"/>
      <x:c r="V1333" s="20"/>
      <x:c r="W1333" s="20"/>
      <x:c r="X1333" s="20"/>
      <x:c r="Y1333" s="21"/>
    </x:row>
    <x:row r="1334">
      <x:c r="A1334" s="19"/>
      <x:c r="B1334" s="27"/>
      <x:c r="C1334" s="20"/>
      <x:c r="D1334" s="28"/>
      <x:c r="E1334" s="20"/>
      <x:c r="F1334" s="25"/>
      <x:c r="G1334" s="20"/>
      <x:c r="H1334" s="20"/>
      <x:c r="I1334" s="20"/>
      <x:c r="J1334" s="20"/>
      <x:c r="K1334" s="20"/>
      <x:c r="L1334" s="20"/>
      <x:c r="M1334" s="20"/>
      <x:c r="N1334" s="20"/>
      <x:c r="O1334" s="20"/>
      <x:c r="P1334" s="20"/>
      <x:c r="Q1334" s="20"/>
      <x:c r="R1334" s="20"/>
      <x:c r="S1334" s="20"/>
      <x:c r="T1334" s="20"/>
      <x:c r="U1334" s="20"/>
      <x:c r="V1334" s="20"/>
      <x:c r="W1334" s="20"/>
      <x:c r="X1334" s="20"/>
      <x:c r="Y1334" s="21"/>
    </x:row>
    <x:row r="1335">
      <x:c r="A1335" s="19"/>
      <x:c r="B1335" s="27"/>
      <x:c r="C1335" s="20"/>
      <x:c r="D1335" s="28"/>
      <x:c r="E1335" s="20"/>
      <x:c r="F1335" s="25"/>
      <x:c r="G1335" s="20"/>
      <x:c r="H1335" s="20"/>
      <x:c r="I1335" s="20"/>
      <x:c r="J1335" s="20"/>
      <x:c r="K1335" s="20"/>
      <x:c r="L1335" s="20"/>
      <x:c r="M1335" s="20"/>
      <x:c r="N1335" s="20"/>
      <x:c r="O1335" s="20"/>
      <x:c r="P1335" s="20"/>
      <x:c r="Q1335" s="20"/>
      <x:c r="R1335" s="20"/>
      <x:c r="S1335" s="20"/>
      <x:c r="T1335" s="20"/>
      <x:c r="U1335" s="20"/>
      <x:c r="V1335" s="20"/>
      <x:c r="W1335" s="20"/>
      <x:c r="X1335" s="20"/>
      <x:c r="Y1335" s="21"/>
    </x:row>
    <x:row r="1336">
      <x:c r="A1336" s="19"/>
      <x:c r="B1336" s="27"/>
      <x:c r="C1336" s="20"/>
      <x:c r="D1336" s="28"/>
      <x:c r="E1336" s="20"/>
      <x:c r="F1336" s="25"/>
      <x:c r="G1336" s="20"/>
      <x:c r="H1336" s="20"/>
      <x:c r="I1336" s="20"/>
      <x:c r="J1336" s="20"/>
      <x:c r="K1336" s="20"/>
      <x:c r="L1336" s="20"/>
      <x:c r="M1336" s="20"/>
      <x:c r="N1336" s="20"/>
      <x:c r="O1336" s="20"/>
      <x:c r="P1336" s="20"/>
      <x:c r="Q1336" s="20"/>
      <x:c r="R1336" s="20"/>
      <x:c r="S1336" s="20"/>
      <x:c r="T1336" s="20"/>
      <x:c r="U1336" s="20"/>
      <x:c r="V1336" s="20"/>
      <x:c r="W1336" s="20"/>
      <x:c r="X1336" s="20"/>
      <x:c r="Y1336" s="21"/>
    </x:row>
    <x:row r="1337">
      <x:c r="A1337" s="19"/>
      <x:c r="B1337" s="27"/>
      <x:c r="C1337" s="20"/>
      <x:c r="D1337" s="28"/>
      <x:c r="E1337" s="20"/>
      <x:c r="F1337" s="25"/>
      <x:c r="G1337" s="20"/>
      <x:c r="H1337" s="20"/>
      <x:c r="I1337" s="20"/>
      <x:c r="J1337" s="20"/>
      <x:c r="K1337" s="20"/>
      <x:c r="L1337" s="20"/>
      <x:c r="M1337" s="20"/>
      <x:c r="N1337" s="20"/>
      <x:c r="O1337" s="20"/>
      <x:c r="P1337" s="20"/>
      <x:c r="Q1337" s="20"/>
      <x:c r="R1337" s="20"/>
      <x:c r="S1337" s="20"/>
      <x:c r="T1337" s="20"/>
      <x:c r="U1337" s="20"/>
      <x:c r="V1337" s="20"/>
      <x:c r="W1337" s="20"/>
      <x:c r="X1337" s="20"/>
      <x:c r="Y1337" s="21"/>
    </x:row>
    <x:row r="1338">
      <x:c r="A1338" s="19"/>
      <x:c r="B1338" s="27"/>
      <x:c r="C1338" s="20"/>
      <x:c r="D1338" s="28"/>
      <x:c r="E1338" s="20"/>
      <x:c r="F1338" s="25"/>
      <x:c r="G1338" s="20"/>
      <x:c r="H1338" s="20"/>
      <x:c r="I1338" s="20"/>
      <x:c r="J1338" s="20"/>
      <x:c r="K1338" s="20"/>
      <x:c r="L1338" s="20"/>
      <x:c r="M1338" s="20"/>
      <x:c r="N1338" s="20"/>
      <x:c r="O1338" s="20"/>
      <x:c r="P1338" s="20"/>
      <x:c r="Q1338" s="20"/>
      <x:c r="R1338" s="20"/>
      <x:c r="S1338" s="20"/>
      <x:c r="T1338" s="20"/>
      <x:c r="U1338" s="20"/>
      <x:c r="V1338" s="20"/>
      <x:c r="W1338" s="20"/>
      <x:c r="X1338" s="20"/>
      <x:c r="Y1338" s="21"/>
    </x:row>
    <x:row r="1339">
      <x:c r="A1339" s="19"/>
      <x:c r="B1339" s="27"/>
      <x:c r="C1339" s="20"/>
      <x:c r="D1339" s="28"/>
      <x:c r="E1339" s="20"/>
      <x:c r="F1339" s="25"/>
      <x:c r="G1339" s="20"/>
      <x:c r="H1339" s="20"/>
      <x:c r="I1339" s="20"/>
      <x:c r="J1339" s="20"/>
      <x:c r="K1339" s="20"/>
      <x:c r="L1339" s="20"/>
      <x:c r="M1339" s="20"/>
      <x:c r="N1339" s="20"/>
      <x:c r="O1339" s="20"/>
      <x:c r="P1339" s="20"/>
      <x:c r="Q1339" s="20"/>
      <x:c r="R1339" s="20"/>
      <x:c r="S1339" s="20"/>
      <x:c r="T1339" s="20"/>
      <x:c r="U1339" s="20"/>
      <x:c r="V1339" s="20"/>
      <x:c r="W1339" s="20"/>
      <x:c r="X1339" s="20"/>
      <x:c r="Y1339" s="21"/>
    </x:row>
    <x:row r="1340">
      <x:c r="A1340" s="19"/>
      <x:c r="B1340" s="27"/>
      <x:c r="C1340" s="20"/>
      <x:c r="D1340" s="28"/>
      <x:c r="E1340" s="20"/>
      <x:c r="F1340" s="25"/>
      <x:c r="G1340" s="20"/>
      <x:c r="H1340" s="20"/>
      <x:c r="I1340" s="20"/>
      <x:c r="J1340" s="20"/>
      <x:c r="K1340" s="20"/>
      <x:c r="L1340" s="20"/>
      <x:c r="M1340" s="20"/>
      <x:c r="N1340" s="20"/>
      <x:c r="O1340" s="20"/>
      <x:c r="P1340" s="20"/>
      <x:c r="Q1340" s="20"/>
      <x:c r="R1340" s="20"/>
      <x:c r="S1340" s="20"/>
      <x:c r="T1340" s="20"/>
      <x:c r="U1340" s="20"/>
      <x:c r="V1340" s="20"/>
      <x:c r="W1340" s="20"/>
      <x:c r="X1340" s="20"/>
      <x:c r="Y1340" s="21"/>
    </x:row>
    <x:row r="1341">
      <x:c r="A1341" s="19"/>
      <x:c r="B1341" s="27"/>
      <x:c r="C1341" s="20"/>
      <x:c r="D1341" s="28"/>
      <x:c r="E1341" s="20"/>
      <x:c r="F1341" s="25"/>
      <x:c r="G1341" s="20"/>
      <x:c r="H1341" s="20"/>
      <x:c r="I1341" s="20"/>
      <x:c r="J1341" s="20"/>
      <x:c r="K1341" s="20"/>
      <x:c r="L1341" s="20"/>
      <x:c r="M1341" s="20"/>
      <x:c r="N1341" s="20"/>
      <x:c r="O1341" s="20"/>
      <x:c r="P1341" s="20"/>
      <x:c r="Q1341" s="20"/>
      <x:c r="R1341" s="20"/>
      <x:c r="S1341" s="20"/>
      <x:c r="T1341" s="20"/>
      <x:c r="U1341" s="20"/>
      <x:c r="V1341" s="20"/>
      <x:c r="W1341" s="20"/>
      <x:c r="X1341" s="20"/>
      <x:c r="Y1341" s="21"/>
    </x:row>
    <x:row r="1342">
      <x:c r="A1342" s="19"/>
      <x:c r="B1342" s="27"/>
      <x:c r="C1342" s="20"/>
      <x:c r="D1342" s="28"/>
      <x:c r="E1342" s="20"/>
      <x:c r="F1342" s="25"/>
      <x:c r="G1342" s="20"/>
      <x:c r="H1342" s="20"/>
      <x:c r="I1342" s="20"/>
      <x:c r="J1342" s="20"/>
      <x:c r="K1342" s="20"/>
      <x:c r="L1342" s="20"/>
      <x:c r="M1342" s="20"/>
      <x:c r="N1342" s="20"/>
      <x:c r="O1342" s="20"/>
      <x:c r="P1342" s="20"/>
      <x:c r="Q1342" s="20"/>
      <x:c r="R1342" s="20"/>
      <x:c r="S1342" s="20"/>
      <x:c r="T1342" s="20"/>
      <x:c r="U1342" s="20"/>
      <x:c r="V1342" s="20"/>
      <x:c r="W1342" s="20"/>
      <x:c r="X1342" s="20"/>
      <x:c r="Y1342" s="21"/>
    </x:row>
    <x:row r="1343">
      <x:c r="A1343" s="19"/>
      <x:c r="B1343" s="27"/>
      <x:c r="C1343" s="20"/>
      <x:c r="D1343" s="28"/>
      <x:c r="E1343" s="20"/>
      <x:c r="F1343" s="25"/>
      <x:c r="G1343" s="20"/>
      <x:c r="H1343" s="20"/>
      <x:c r="I1343" s="20"/>
      <x:c r="J1343" s="20"/>
      <x:c r="K1343" s="20"/>
      <x:c r="L1343" s="20"/>
      <x:c r="M1343" s="20"/>
      <x:c r="N1343" s="20"/>
      <x:c r="O1343" s="20"/>
      <x:c r="P1343" s="20"/>
      <x:c r="Q1343" s="20"/>
      <x:c r="R1343" s="20"/>
      <x:c r="S1343" s="20"/>
      <x:c r="T1343" s="20"/>
      <x:c r="U1343" s="20"/>
      <x:c r="V1343" s="20"/>
      <x:c r="W1343" s="20"/>
      <x:c r="X1343" s="20"/>
      <x:c r="Y1343" s="21"/>
    </x:row>
    <x:row r="1344">
      <x:c r="A1344" s="19"/>
      <x:c r="B1344" s="27"/>
      <x:c r="C1344" s="20"/>
      <x:c r="D1344" s="28"/>
      <x:c r="E1344" s="20"/>
      <x:c r="F1344" s="25"/>
      <x:c r="G1344" s="20"/>
      <x:c r="H1344" s="20"/>
      <x:c r="I1344" s="20"/>
      <x:c r="J1344" s="20"/>
      <x:c r="K1344" s="20"/>
      <x:c r="L1344" s="20"/>
      <x:c r="M1344" s="20"/>
      <x:c r="N1344" s="20"/>
      <x:c r="O1344" s="20"/>
      <x:c r="P1344" s="20"/>
      <x:c r="Q1344" s="20"/>
      <x:c r="R1344" s="20"/>
      <x:c r="S1344" s="20"/>
      <x:c r="T1344" s="20"/>
      <x:c r="U1344" s="20"/>
      <x:c r="V1344" s="20"/>
      <x:c r="W1344" s="20"/>
      <x:c r="X1344" s="20"/>
      <x:c r="Y1344" s="21"/>
    </x:row>
    <x:row r="1345">
      <x:c r="A1345" s="19"/>
      <x:c r="B1345" s="27"/>
      <x:c r="C1345" s="20"/>
      <x:c r="D1345" s="28"/>
      <x:c r="E1345" s="20"/>
      <x:c r="F1345" s="25"/>
      <x:c r="G1345" s="20"/>
      <x:c r="H1345" s="20"/>
      <x:c r="I1345" s="20"/>
      <x:c r="J1345" s="20"/>
      <x:c r="K1345" s="20"/>
      <x:c r="L1345" s="20"/>
      <x:c r="M1345" s="20"/>
      <x:c r="N1345" s="20"/>
      <x:c r="O1345" s="20"/>
      <x:c r="P1345" s="20"/>
      <x:c r="Q1345" s="20"/>
      <x:c r="R1345" s="20"/>
      <x:c r="S1345" s="20"/>
      <x:c r="T1345" s="20"/>
      <x:c r="U1345" s="20"/>
      <x:c r="V1345" s="20"/>
      <x:c r="W1345" s="20"/>
      <x:c r="X1345" s="20"/>
      <x:c r="Y1345" s="21"/>
    </x:row>
    <x:row r="1346">
      <x:c r="A1346" s="19"/>
      <x:c r="B1346" s="27"/>
      <x:c r="C1346" s="20"/>
      <x:c r="D1346" s="28"/>
      <x:c r="E1346" s="20"/>
      <x:c r="F1346" s="25"/>
      <x:c r="G1346" s="20"/>
      <x:c r="H1346" s="20"/>
      <x:c r="I1346" s="20"/>
      <x:c r="J1346" s="20"/>
      <x:c r="K1346" s="20"/>
      <x:c r="L1346" s="20"/>
      <x:c r="M1346" s="20"/>
      <x:c r="N1346" s="20"/>
      <x:c r="O1346" s="20"/>
      <x:c r="P1346" s="20"/>
      <x:c r="Q1346" s="20"/>
      <x:c r="R1346" s="20"/>
      <x:c r="S1346" s="20"/>
      <x:c r="T1346" s="20"/>
      <x:c r="U1346" s="20"/>
      <x:c r="V1346" s="20"/>
      <x:c r="W1346" s="20"/>
      <x:c r="X1346" s="20"/>
      <x:c r="Y1346" s="21"/>
    </x:row>
    <x:row r="1347">
      <x:c r="A1347" s="19"/>
      <x:c r="B1347" s="27"/>
      <x:c r="C1347" s="20"/>
      <x:c r="D1347" s="28"/>
      <x:c r="E1347" s="20"/>
      <x:c r="F1347" s="25"/>
      <x:c r="G1347" s="20"/>
      <x:c r="H1347" s="20"/>
      <x:c r="I1347" s="20"/>
      <x:c r="J1347" s="20"/>
      <x:c r="K1347" s="20"/>
      <x:c r="L1347" s="20"/>
      <x:c r="M1347" s="20"/>
      <x:c r="N1347" s="20"/>
      <x:c r="O1347" s="20"/>
      <x:c r="P1347" s="20"/>
      <x:c r="Q1347" s="20"/>
      <x:c r="R1347" s="20"/>
      <x:c r="S1347" s="20"/>
      <x:c r="T1347" s="20"/>
      <x:c r="U1347" s="20"/>
      <x:c r="V1347" s="20"/>
      <x:c r="W1347" s="20"/>
      <x:c r="X1347" s="20"/>
      <x:c r="Y1347" s="21"/>
    </x:row>
    <x:row r="1348">
      <x:c r="A1348" s="19"/>
      <x:c r="B1348" s="27"/>
      <x:c r="C1348" s="20"/>
      <x:c r="D1348" s="28"/>
      <x:c r="E1348" s="20"/>
      <x:c r="F1348" s="25"/>
      <x:c r="G1348" s="20"/>
      <x:c r="H1348" s="20"/>
      <x:c r="I1348" s="20"/>
      <x:c r="J1348" s="20"/>
      <x:c r="K1348" s="20"/>
      <x:c r="L1348" s="20"/>
      <x:c r="M1348" s="20"/>
      <x:c r="N1348" s="20"/>
      <x:c r="O1348" s="20"/>
      <x:c r="P1348" s="20"/>
      <x:c r="Q1348" s="20"/>
      <x:c r="R1348" s="20"/>
      <x:c r="S1348" s="20"/>
      <x:c r="T1348" s="20"/>
      <x:c r="U1348" s="20"/>
      <x:c r="V1348" s="20"/>
      <x:c r="W1348" s="20"/>
      <x:c r="X1348" s="20"/>
      <x:c r="Y1348" s="21"/>
    </x:row>
    <x:row r="1349">
      <x:c r="A1349" s="19"/>
      <x:c r="B1349" s="27"/>
      <x:c r="C1349" s="20"/>
      <x:c r="D1349" s="28"/>
      <x:c r="E1349" s="20"/>
      <x:c r="F1349" s="25"/>
      <x:c r="G1349" s="20"/>
      <x:c r="H1349" s="20"/>
      <x:c r="I1349" s="20"/>
      <x:c r="J1349" s="20"/>
      <x:c r="K1349" s="20"/>
      <x:c r="L1349" s="20"/>
      <x:c r="M1349" s="20"/>
      <x:c r="N1349" s="20"/>
      <x:c r="O1349" s="20"/>
      <x:c r="P1349" s="20"/>
      <x:c r="Q1349" s="20"/>
      <x:c r="R1349" s="20"/>
      <x:c r="S1349" s="20"/>
      <x:c r="T1349" s="20"/>
      <x:c r="U1349" s="20"/>
      <x:c r="V1349" s="20"/>
      <x:c r="W1349" s="20"/>
      <x:c r="X1349" s="20"/>
      <x:c r="Y1349" s="21"/>
    </x:row>
    <x:row r="1350">
      <x:c r="A1350" s="19"/>
      <x:c r="B1350" s="27"/>
      <x:c r="C1350" s="20"/>
      <x:c r="D1350" s="28"/>
      <x:c r="E1350" s="20"/>
      <x:c r="F1350" s="25"/>
      <x:c r="G1350" s="20"/>
      <x:c r="H1350" s="20"/>
      <x:c r="I1350" s="20"/>
      <x:c r="J1350" s="20"/>
      <x:c r="K1350" s="20"/>
      <x:c r="L1350" s="20"/>
      <x:c r="M1350" s="20"/>
      <x:c r="N1350" s="20"/>
      <x:c r="O1350" s="20"/>
      <x:c r="P1350" s="20"/>
      <x:c r="Q1350" s="20"/>
      <x:c r="R1350" s="20"/>
      <x:c r="S1350" s="20"/>
      <x:c r="T1350" s="20"/>
      <x:c r="U1350" s="20"/>
      <x:c r="V1350" s="20"/>
      <x:c r="W1350" s="20"/>
      <x:c r="X1350" s="20"/>
      <x:c r="Y1350" s="21"/>
    </x:row>
    <x:row r="1351">
      <x:c r="A1351" s="19"/>
      <x:c r="B1351" s="27"/>
      <x:c r="C1351" s="20"/>
      <x:c r="D1351" s="28"/>
      <x:c r="E1351" s="20"/>
      <x:c r="F1351" s="25"/>
      <x:c r="G1351" s="20"/>
      <x:c r="H1351" s="20"/>
      <x:c r="I1351" s="20"/>
      <x:c r="J1351" s="20"/>
      <x:c r="K1351" s="20"/>
      <x:c r="L1351" s="20"/>
      <x:c r="M1351" s="20"/>
      <x:c r="N1351" s="20"/>
      <x:c r="O1351" s="20"/>
      <x:c r="P1351" s="20"/>
      <x:c r="Q1351" s="20"/>
      <x:c r="R1351" s="20"/>
      <x:c r="S1351" s="20"/>
      <x:c r="T1351" s="20"/>
      <x:c r="U1351" s="20"/>
      <x:c r="V1351" s="20"/>
      <x:c r="W1351" s="20"/>
      <x:c r="X1351" s="20"/>
      <x:c r="Y1351" s="21"/>
    </x:row>
    <x:row r="1352">
      <x:c r="A1352" s="19"/>
      <x:c r="B1352" s="27"/>
      <x:c r="C1352" s="20"/>
      <x:c r="D1352" s="28"/>
      <x:c r="E1352" s="20"/>
      <x:c r="F1352" s="25"/>
      <x:c r="G1352" s="20"/>
      <x:c r="H1352" s="20"/>
      <x:c r="I1352" s="20"/>
      <x:c r="J1352" s="20"/>
      <x:c r="K1352" s="20"/>
      <x:c r="L1352" s="20"/>
      <x:c r="M1352" s="20"/>
      <x:c r="N1352" s="20"/>
      <x:c r="O1352" s="20"/>
      <x:c r="P1352" s="20"/>
      <x:c r="Q1352" s="20"/>
      <x:c r="R1352" s="20"/>
      <x:c r="S1352" s="20"/>
      <x:c r="T1352" s="20"/>
      <x:c r="U1352" s="20"/>
      <x:c r="V1352" s="20"/>
      <x:c r="W1352" s="20"/>
      <x:c r="X1352" s="20"/>
      <x:c r="Y1352" s="21"/>
    </x:row>
    <x:row r="1353">
      <x:c r="A1353" s="19"/>
      <x:c r="B1353" s="27"/>
      <x:c r="C1353" s="20"/>
      <x:c r="D1353" s="28"/>
      <x:c r="E1353" s="20"/>
      <x:c r="F1353" s="25"/>
      <x:c r="G1353" s="20"/>
      <x:c r="H1353" s="20"/>
      <x:c r="I1353" s="20"/>
      <x:c r="J1353" s="20"/>
      <x:c r="K1353" s="20"/>
      <x:c r="L1353" s="20"/>
      <x:c r="M1353" s="20"/>
      <x:c r="N1353" s="20"/>
      <x:c r="O1353" s="20"/>
      <x:c r="P1353" s="20"/>
      <x:c r="Q1353" s="20"/>
      <x:c r="R1353" s="20"/>
      <x:c r="S1353" s="20"/>
      <x:c r="T1353" s="20"/>
      <x:c r="U1353" s="20"/>
      <x:c r="V1353" s="20"/>
      <x:c r="W1353" s="20"/>
      <x:c r="X1353" s="20"/>
      <x:c r="Y1353" s="21"/>
    </x:row>
    <x:row r="1354">
      <x:c r="A1354" s="19"/>
      <x:c r="B1354" s="27"/>
      <x:c r="C1354" s="20"/>
      <x:c r="D1354" s="28"/>
      <x:c r="E1354" s="20"/>
      <x:c r="F1354" s="25"/>
      <x:c r="G1354" s="20"/>
      <x:c r="H1354" s="20"/>
      <x:c r="I1354" s="20"/>
      <x:c r="J1354" s="20"/>
      <x:c r="K1354" s="20"/>
      <x:c r="L1354" s="20"/>
      <x:c r="M1354" s="20"/>
      <x:c r="N1354" s="20"/>
      <x:c r="O1354" s="20"/>
      <x:c r="P1354" s="20"/>
      <x:c r="Q1354" s="20"/>
      <x:c r="R1354" s="20"/>
      <x:c r="S1354" s="20"/>
      <x:c r="T1354" s="20"/>
      <x:c r="U1354" s="20"/>
      <x:c r="V1354" s="20"/>
      <x:c r="W1354" s="20"/>
      <x:c r="X1354" s="20"/>
      <x:c r="Y1354" s="21"/>
    </x:row>
    <x:row r="1355">
      <x:c r="A1355" s="19"/>
      <x:c r="B1355" s="27"/>
      <x:c r="C1355" s="20"/>
      <x:c r="D1355" s="28"/>
      <x:c r="E1355" s="20"/>
      <x:c r="F1355" s="25"/>
      <x:c r="G1355" s="20"/>
      <x:c r="H1355" s="20"/>
      <x:c r="I1355" s="20"/>
      <x:c r="J1355" s="20"/>
      <x:c r="K1355" s="20"/>
      <x:c r="L1355" s="20"/>
      <x:c r="M1355" s="20"/>
      <x:c r="N1355" s="20"/>
      <x:c r="O1355" s="20"/>
      <x:c r="P1355" s="20"/>
      <x:c r="Q1355" s="20"/>
      <x:c r="R1355" s="20"/>
      <x:c r="S1355" s="20"/>
      <x:c r="T1355" s="20"/>
      <x:c r="U1355" s="20"/>
      <x:c r="V1355" s="20"/>
      <x:c r="W1355" s="20"/>
      <x:c r="X1355" s="20"/>
      <x:c r="Y1355" s="21"/>
    </x:row>
    <x:row r="1356">
      <x:c r="A1356" s="19"/>
      <x:c r="B1356" s="27"/>
      <x:c r="C1356" s="20"/>
      <x:c r="D1356" s="28"/>
      <x:c r="E1356" s="20"/>
      <x:c r="F1356" s="25"/>
      <x:c r="G1356" s="20"/>
      <x:c r="H1356" s="20"/>
      <x:c r="I1356" s="20"/>
      <x:c r="J1356" s="20"/>
      <x:c r="K1356" s="20"/>
      <x:c r="L1356" s="20"/>
      <x:c r="M1356" s="20"/>
      <x:c r="N1356" s="20"/>
      <x:c r="O1356" s="20"/>
      <x:c r="P1356" s="20"/>
      <x:c r="Q1356" s="20"/>
      <x:c r="R1356" s="20"/>
      <x:c r="S1356" s="20"/>
      <x:c r="T1356" s="20"/>
      <x:c r="U1356" s="20"/>
      <x:c r="V1356" s="20"/>
      <x:c r="W1356" s="20"/>
      <x:c r="X1356" s="20"/>
      <x:c r="Y1356" s="21"/>
    </x:row>
    <x:row r="1357">
      <x:c r="A1357" s="19"/>
      <x:c r="B1357" s="27"/>
      <x:c r="C1357" s="20"/>
      <x:c r="D1357" s="28"/>
      <x:c r="E1357" s="20"/>
      <x:c r="F1357" s="25"/>
      <x:c r="G1357" s="20"/>
      <x:c r="H1357" s="20"/>
      <x:c r="I1357" s="20"/>
      <x:c r="J1357" s="20"/>
      <x:c r="K1357" s="20"/>
      <x:c r="L1357" s="20"/>
      <x:c r="M1357" s="20"/>
      <x:c r="N1357" s="20"/>
      <x:c r="O1357" s="20"/>
      <x:c r="P1357" s="20"/>
      <x:c r="Q1357" s="20"/>
      <x:c r="R1357" s="20"/>
      <x:c r="S1357" s="20"/>
      <x:c r="T1357" s="20"/>
      <x:c r="U1357" s="20"/>
      <x:c r="V1357" s="20"/>
      <x:c r="W1357" s="20"/>
      <x:c r="X1357" s="20"/>
      <x:c r="Y1357" s="21"/>
    </x:row>
    <x:row r="1358">
      <x:c r="A1358" s="19"/>
      <x:c r="B1358" s="27"/>
      <x:c r="C1358" s="20"/>
      <x:c r="D1358" s="28"/>
      <x:c r="E1358" s="20"/>
      <x:c r="F1358" s="25"/>
      <x:c r="G1358" s="20"/>
      <x:c r="H1358" s="20"/>
      <x:c r="I1358" s="20"/>
      <x:c r="J1358" s="20"/>
      <x:c r="K1358" s="20"/>
      <x:c r="L1358" s="20"/>
      <x:c r="M1358" s="20"/>
      <x:c r="N1358" s="20"/>
      <x:c r="O1358" s="20"/>
      <x:c r="P1358" s="20"/>
      <x:c r="Q1358" s="20"/>
      <x:c r="R1358" s="20"/>
      <x:c r="S1358" s="20"/>
      <x:c r="T1358" s="20"/>
      <x:c r="U1358" s="20"/>
      <x:c r="V1358" s="20"/>
      <x:c r="W1358" s="20"/>
      <x:c r="X1358" s="20"/>
      <x:c r="Y1358" s="21"/>
    </x:row>
    <x:row r="1359">
      <x:c r="A1359" s="19"/>
      <x:c r="B1359" s="27"/>
      <x:c r="C1359" s="20"/>
      <x:c r="D1359" s="28"/>
      <x:c r="E1359" s="20"/>
      <x:c r="F1359" s="25"/>
      <x:c r="G1359" s="20"/>
      <x:c r="H1359" s="20"/>
      <x:c r="I1359" s="20"/>
      <x:c r="J1359" s="20"/>
      <x:c r="K1359" s="20"/>
      <x:c r="L1359" s="20"/>
      <x:c r="M1359" s="20"/>
      <x:c r="N1359" s="20"/>
      <x:c r="O1359" s="20"/>
      <x:c r="P1359" s="20"/>
      <x:c r="Q1359" s="20"/>
      <x:c r="R1359" s="20"/>
      <x:c r="S1359" s="20"/>
      <x:c r="T1359" s="20"/>
      <x:c r="U1359" s="20"/>
      <x:c r="V1359" s="20"/>
      <x:c r="W1359" s="20"/>
      <x:c r="X1359" s="20"/>
      <x:c r="Y1359" s="21"/>
    </x:row>
    <x:row r="1360">
      <x:c r="A1360" s="19"/>
      <x:c r="B1360" s="27"/>
      <x:c r="C1360" s="20"/>
      <x:c r="D1360" s="28"/>
      <x:c r="E1360" s="20"/>
      <x:c r="F1360" s="25"/>
      <x:c r="G1360" s="20"/>
      <x:c r="H1360" s="20"/>
      <x:c r="I1360" s="20"/>
      <x:c r="J1360" s="20"/>
      <x:c r="K1360" s="20"/>
      <x:c r="L1360" s="20"/>
      <x:c r="M1360" s="20"/>
      <x:c r="N1360" s="20"/>
      <x:c r="O1360" s="20"/>
      <x:c r="P1360" s="20"/>
      <x:c r="Q1360" s="20"/>
      <x:c r="R1360" s="20"/>
      <x:c r="S1360" s="20"/>
      <x:c r="T1360" s="20"/>
      <x:c r="U1360" s="20"/>
      <x:c r="V1360" s="20"/>
      <x:c r="W1360" s="20"/>
      <x:c r="X1360" s="20"/>
      <x:c r="Y1360" s="21"/>
    </x:row>
    <x:row r="1361">
      <x:c r="A1361" s="19"/>
      <x:c r="B1361" s="27"/>
      <x:c r="C1361" s="20"/>
      <x:c r="D1361" s="28"/>
      <x:c r="E1361" s="20"/>
      <x:c r="F1361" s="25"/>
      <x:c r="G1361" s="20"/>
      <x:c r="H1361" s="20"/>
      <x:c r="I1361" s="20"/>
      <x:c r="J1361" s="20"/>
      <x:c r="K1361" s="20"/>
      <x:c r="L1361" s="20"/>
      <x:c r="M1361" s="20"/>
      <x:c r="N1361" s="20"/>
      <x:c r="O1361" s="20"/>
      <x:c r="P1361" s="20"/>
      <x:c r="Q1361" s="20"/>
      <x:c r="R1361" s="20"/>
      <x:c r="S1361" s="20"/>
      <x:c r="T1361" s="20"/>
      <x:c r="U1361" s="20"/>
      <x:c r="V1361" s="20"/>
      <x:c r="W1361" s="20"/>
      <x:c r="X1361" s="20"/>
      <x:c r="Y1361" s="21"/>
    </x:row>
    <x:row r="1362">
      <x:c r="A1362" s="19"/>
      <x:c r="B1362" s="27"/>
      <x:c r="C1362" s="20"/>
      <x:c r="D1362" s="28"/>
      <x:c r="E1362" s="20"/>
      <x:c r="F1362" s="25"/>
      <x:c r="G1362" s="20"/>
      <x:c r="H1362" s="20"/>
      <x:c r="I1362" s="20"/>
      <x:c r="J1362" s="20"/>
      <x:c r="K1362" s="20"/>
      <x:c r="L1362" s="20"/>
      <x:c r="M1362" s="20"/>
      <x:c r="N1362" s="20"/>
      <x:c r="O1362" s="20"/>
      <x:c r="P1362" s="20"/>
      <x:c r="Q1362" s="20"/>
      <x:c r="R1362" s="20"/>
      <x:c r="S1362" s="20"/>
      <x:c r="T1362" s="20"/>
      <x:c r="U1362" s="20"/>
      <x:c r="V1362" s="20"/>
      <x:c r="W1362" s="20"/>
      <x:c r="X1362" s="20"/>
      <x:c r="Y1362" s="21"/>
    </x:row>
    <x:row r="1363">
      <x:c r="A1363" s="19"/>
      <x:c r="B1363" s="27"/>
      <x:c r="C1363" s="20"/>
      <x:c r="D1363" s="28"/>
      <x:c r="E1363" s="20"/>
      <x:c r="F1363" s="25"/>
      <x:c r="G1363" s="20"/>
      <x:c r="H1363" s="20"/>
      <x:c r="I1363" s="20"/>
      <x:c r="J1363" s="20"/>
      <x:c r="K1363" s="20"/>
      <x:c r="L1363" s="20"/>
      <x:c r="M1363" s="20"/>
      <x:c r="N1363" s="20"/>
      <x:c r="O1363" s="20"/>
      <x:c r="P1363" s="20"/>
      <x:c r="Q1363" s="20"/>
      <x:c r="R1363" s="20"/>
      <x:c r="S1363" s="20"/>
      <x:c r="T1363" s="20"/>
      <x:c r="U1363" s="20"/>
      <x:c r="V1363" s="20"/>
      <x:c r="W1363" s="20"/>
      <x:c r="X1363" s="20"/>
      <x:c r="Y1363" s="21"/>
    </x:row>
    <x:row r="1364">
      <x:c r="A1364" s="19"/>
      <x:c r="B1364" s="27"/>
      <x:c r="C1364" s="20"/>
      <x:c r="D1364" s="28"/>
      <x:c r="E1364" s="20"/>
      <x:c r="F1364" s="25"/>
      <x:c r="G1364" s="20"/>
      <x:c r="H1364" s="20"/>
      <x:c r="I1364" s="20"/>
      <x:c r="J1364" s="20"/>
      <x:c r="K1364" s="20"/>
      <x:c r="L1364" s="20"/>
      <x:c r="M1364" s="20"/>
      <x:c r="N1364" s="20"/>
      <x:c r="O1364" s="20"/>
      <x:c r="P1364" s="20"/>
      <x:c r="Q1364" s="20"/>
      <x:c r="R1364" s="20"/>
      <x:c r="S1364" s="20"/>
      <x:c r="T1364" s="20"/>
      <x:c r="U1364" s="20"/>
      <x:c r="V1364" s="20"/>
      <x:c r="W1364" s="20"/>
      <x:c r="X1364" s="20"/>
      <x:c r="Y1364" s="21"/>
    </x:row>
    <x:row r="1365">
      <x:c r="A1365" s="19"/>
      <x:c r="B1365" s="27"/>
      <x:c r="C1365" s="20"/>
      <x:c r="D1365" s="28"/>
      <x:c r="E1365" s="20"/>
      <x:c r="F1365" s="25"/>
      <x:c r="G1365" s="20"/>
      <x:c r="H1365" s="20"/>
      <x:c r="I1365" s="20"/>
      <x:c r="J1365" s="20"/>
      <x:c r="K1365" s="20"/>
      <x:c r="L1365" s="20"/>
      <x:c r="M1365" s="20"/>
      <x:c r="N1365" s="20"/>
      <x:c r="O1365" s="20"/>
      <x:c r="P1365" s="20"/>
      <x:c r="Q1365" s="20"/>
      <x:c r="R1365" s="20"/>
      <x:c r="S1365" s="20"/>
      <x:c r="T1365" s="20"/>
      <x:c r="U1365" s="20"/>
      <x:c r="V1365" s="20"/>
      <x:c r="W1365" s="20"/>
      <x:c r="X1365" s="20"/>
      <x:c r="Y1365" s="21"/>
    </x:row>
    <x:row r="1366">
      <x:c r="A1366" s="19"/>
      <x:c r="B1366" s="27"/>
      <x:c r="C1366" s="20"/>
      <x:c r="D1366" s="28"/>
      <x:c r="E1366" s="20"/>
      <x:c r="F1366" s="25"/>
      <x:c r="G1366" s="20"/>
      <x:c r="H1366" s="20"/>
      <x:c r="I1366" s="20"/>
      <x:c r="J1366" s="20"/>
      <x:c r="K1366" s="20"/>
      <x:c r="L1366" s="20"/>
      <x:c r="M1366" s="20"/>
      <x:c r="N1366" s="20"/>
      <x:c r="O1366" s="20"/>
      <x:c r="P1366" s="20"/>
      <x:c r="Q1366" s="20"/>
      <x:c r="R1366" s="20"/>
      <x:c r="S1366" s="20"/>
      <x:c r="T1366" s="20"/>
      <x:c r="U1366" s="20"/>
      <x:c r="V1366" s="20"/>
      <x:c r="W1366" s="20"/>
      <x:c r="X1366" s="20"/>
      <x:c r="Y1366" s="21"/>
    </x:row>
    <x:row r="1367">
      <x:c r="A1367" s="19"/>
      <x:c r="B1367" s="27"/>
      <x:c r="C1367" s="20"/>
      <x:c r="D1367" s="28"/>
      <x:c r="E1367" s="20"/>
      <x:c r="F1367" s="25"/>
      <x:c r="G1367" s="20"/>
      <x:c r="H1367" s="20"/>
      <x:c r="I1367" s="20"/>
      <x:c r="J1367" s="20"/>
      <x:c r="K1367" s="20"/>
      <x:c r="L1367" s="20"/>
      <x:c r="M1367" s="20"/>
      <x:c r="N1367" s="20"/>
      <x:c r="O1367" s="20"/>
      <x:c r="P1367" s="20"/>
      <x:c r="Q1367" s="20"/>
      <x:c r="R1367" s="20"/>
      <x:c r="S1367" s="20"/>
      <x:c r="T1367" s="20"/>
      <x:c r="U1367" s="20"/>
      <x:c r="V1367" s="20"/>
      <x:c r="W1367" s="20"/>
      <x:c r="X1367" s="20"/>
      <x:c r="Y1367" s="21"/>
    </x:row>
    <x:row r="1368">
      <x:c r="A1368" s="19"/>
      <x:c r="B1368" s="27"/>
      <x:c r="C1368" s="20"/>
      <x:c r="D1368" s="28"/>
      <x:c r="E1368" s="20"/>
      <x:c r="F1368" s="25"/>
      <x:c r="G1368" s="20"/>
      <x:c r="H1368" s="20"/>
      <x:c r="I1368" s="20"/>
      <x:c r="J1368" s="20"/>
      <x:c r="K1368" s="20"/>
      <x:c r="L1368" s="20"/>
      <x:c r="M1368" s="20"/>
      <x:c r="N1368" s="20"/>
      <x:c r="O1368" s="20"/>
      <x:c r="P1368" s="20"/>
      <x:c r="Q1368" s="20"/>
      <x:c r="R1368" s="20"/>
      <x:c r="S1368" s="20"/>
      <x:c r="T1368" s="20"/>
      <x:c r="U1368" s="20"/>
      <x:c r="V1368" s="20"/>
      <x:c r="W1368" s="20"/>
      <x:c r="X1368" s="20"/>
      <x:c r="Y1368" s="21"/>
    </x:row>
    <x:row r="1369">
      <x:c r="A1369" s="19"/>
      <x:c r="B1369" s="27"/>
      <x:c r="C1369" s="20"/>
      <x:c r="D1369" s="28"/>
      <x:c r="E1369" s="20"/>
      <x:c r="F1369" s="25"/>
      <x:c r="G1369" s="20"/>
      <x:c r="H1369" s="20"/>
      <x:c r="I1369" s="20"/>
      <x:c r="J1369" s="20"/>
      <x:c r="K1369" s="20"/>
      <x:c r="L1369" s="20"/>
      <x:c r="M1369" s="20"/>
      <x:c r="N1369" s="20"/>
      <x:c r="O1369" s="20"/>
      <x:c r="P1369" s="20"/>
      <x:c r="Q1369" s="20"/>
      <x:c r="R1369" s="20"/>
      <x:c r="S1369" s="20"/>
      <x:c r="T1369" s="20"/>
      <x:c r="U1369" s="20"/>
      <x:c r="V1369" s="20"/>
      <x:c r="W1369" s="20"/>
      <x:c r="X1369" s="20"/>
      <x:c r="Y1369" s="21"/>
    </x:row>
    <x:row r="1370">
      <x:c r="A1370" s="19"/>
      <x:c r="B1370" s="27"/>
      <x:c r="C1370" s="20"/>
      <x:c r="D1370" s="28"/>
      <x:c r="E1370" s="20"/>
      <x:c r="F1370" s="25"/>
      <x:c r="G1370" s="20"/>
      <x:c r="H1370" s="20"/>
      <x:c r="I1370" s="20"/>
      <x:c r="J1370" s="20"/>
      <x:c r="K1370" s="20"/>
      <x:c r="L1370" s="20"/>
      <x:c r="M1370" s="20"/>
      <x:c r="N1370" s="20"/>
      <x:c r="O1370" s="20"/>
      <x:c r="P1370" s="20"/>
      <x:c r="Q1370" s="20"/>
      <x:c r="R1370" s="20"/>
      <x:c r="S1370" s="20"/>
      <x:c r="T1370" s="20"/>
      <x:c r="U1370" s="20"/>
      <x:c r="V1370" s="20"/>
      <x:c r="W1370" s="20"/>
      <x:c r="X1370" s="20"/>
      <x:c r="Y1370" s="21"/>
    </x:row>
    <x:row r="1371">
      <x:c r="A1371" s="19"/>
      <x:c r="B1371" s="27"/>
      <x:c r="C1371" s="20"/>
      <x:c r="D1371" s="28"/>
      <x:c r="E1371" s="20"/>
      <x:c r="F1371" s="25"/>
      <x:c r="G1371" s="20"/>
      <x:c r="H1371" s="20"/>
      <x:c r="I1371" s="20"/>
      <x:c r="J1371" s="20"/>
      <x:c r="K1371" s="20"/>
      <x:c r="L1371" s="20"/>
      <x:c r="M1371" s="20"/>
      <x:c r="N1371" s="20"/>
      <x:c r="O1371" s="20"/>
      <x:c r="P1371" s="20"/>
      <x:c r="Q1371" s="20"/>
      <x:c r="R1371" s="20"/>
      <x:c r="S1371" s="20"/>
      <x:c r="T1371" s="20"/>
      <x:c r="U1371" s="20"/>
      <x:c r="V1371" s="20"/>
      <x:c r="W1371" s="20"/>
      <x:c r="X1371" s="20"/>
      <x:c r="Y1371" s="21"/>
    </x:row>
    <x:row r="1372">
      <x:c r="A1372" s="19"/>
      <x:c r="B1372" s="27"/>
      <x:c r="C1372" s="20"/>
      <x:c r="D1372" s="28"/>
      <x:c r="E1372" s="20"/>
      <x:c r="F1372" s="25"/>
      <x:c r="G1372" s="20"/>
      <x:c r="H1372" s="20"/>
      <x:c r="I1372" s="20"/>
      <x:c r="J1372" s="20"/>
      <x:c r="K1372" s="20"/>
      <x:c r="L1372" s="20"/>
      <x:c r="M1372" s="20"/>
      <x:c r="N1372" s="20"/>
      <x:c r="O1372" s="20"/>
      <x:c r="P1372" s="20"/>
      <x:c r="Q1372" s="20"/>
      <x:c r="R1372" s="20"/>
      <x:c r="S1372" s="20"/>
      <x:c r="T1372" s="20"/>
      <x:c r="U1372" s="20"/>
      <x:c r="V1372" s="20"/>
      <x:c r="W1372" s="20"/>
      <x:c r="X1372" s="20"/>
      <x:c r="Y1372" s="21"/>
    </x:row>
    <x:row r="1373">
      <x:c r="A1373" s="19"/>
      <x:c r="B1373" s="27"/>
      <x:c r="C1373" s="20"/>
      <x:c r="D1373" s="28"/>
      <x:c r="E1373" s="20"/>
      <x:c r="F1373" s="25"/>
      <x:c r="G1373" s="20"/>
      <x:c r="H1373" s="20"/>
      <x:c r="I1373" s="20"/>
      <x:c r="J1373" s="20"/>
      <x:c r="K1373" s="20"/>
      <x:c r="L1373" s="20"/>
      <x:c r="M1373" s="20"/>
      <x:c r="N1373" s="20"/>
      <x:c r="O1373" s="20"/>
      <x:c r="P1373" s="20"/>
      <x:c r="Q1373" s="20"/>
      <x:c r="R1373" s="20"/>
      <x:c r="S1373" s="20"/>
      <x:c r="T1373" s="20"/>
      <x:c r="U1373" s="20"/>
      <x:c r="V1373" s="20"/>
      <x:c r="W1373" s="20"/>
      <x:c r="X1373" s="20"/>
      <x:c r="Y1373" s="21"/>
    </x:row>
    <x:row r="1374">
      <x:c r="A1374" s="19"/>
      <x:c r="B1374" s="27"/>
      <x:c r="C1374" s="20"/>
      <x:c r="D1374" s="28"/>
      <x:c r="E1374" s="20"/>
      <x:c r="F1374" s="25"/>
      <x:c r="G1374" s="20"/>
      <x:c r="H1374" s="20"/>
      <x:c r="I1374" s="20"/>
      <x:c r="J1374" s="20"/>
      <x:c r="K1374" s="20"/>
      <x:c r="L1374" s="20"/>
      <x:c r="M1374" s="20"/>
      <x:c r="N1374" s="20"/>
      <x:c r="O1374" s="20"/>
      <x:c r="P1374" s="20"/>
      <x:c r="Q1374" s="20"/>
      <x:c r="R1374" s="20"/>
      <x:c r="S1374" s="20"/>
      <x:c r="T1374" s="20"/>
      <x:c r="U1374" s="20"/>
      <x:c r="V1374" s="20"/>
      <x:c r="W1374" s="20"/>
      <x:c r="X1374" s="20"/>
      <x:c r="Y1374" s="21"/>
    </x:row>
    <x:row r="1375">
      <x:c r="A1375" s="19"/>
      <x:c r="B1375" s="27"/>
      <x:c r="C1375" s="20"/>
      <x:c r="D1375" s="28"/>
      <x:c r="E1375" s="20"/>
      <x:c r="F1375" s="25"/>
      <x:c r="G1375" s="20"/>
      <x:c r="H1375" s="20"/>
      <x:c r="I1375" s="20"/>
      <x:c r="J1375" s="20"/>
      <x:c r="K1375" s="20"/>
      <x:c r="L1375" s="20"/>
      <x:c r="M1375" s="20"/>
      <x:c r="N1375" s="20"/>
      <x:c r="O1375" s="20"/>
      <x:c r="P1375" s="20"/>
      <x:c r="Q1375" s="20"/>
      <x:c r="R1375" s="20"/>
      <x:c r="S1375" s="20"/>
      <x:c r="T1375" s="20"/>
      <x:c r="U1375" s="20"/>
      <x:c r="V1375" s="20"/>
      <x:c r="W1375" s="20"/>
      <x:c r="X1375" s="20"/>
      <x:c r="Y1375" s="21"/>
    </x:row>
    <x:row r="1376">
      <x:c r="A1376" s="19"/>
      <x:c r="B1376" s="27"/>
      <x:c r="C1376" s="20"/>
      <x:c r="D1376" s="28"/>
      <x:c r="E1376" s="20"/>
      <x:c r="F1376" s="25"/>
      <x:c r="G1376" s="20"/>
      <x:c r="H1376" s="20"/>
      <x:c r="I1376" s="20"/>
      <x:c r="J1376" s="20"/>
      <x:c r="K1376" s="20"/>
      <x:c r="L1376" s="20"/>
      <x:c r="M1376" s="20"/>
      <x:c r="N1376" s="20"/>
      <x:c r="O1376" s="20"/>
      <x:c r="P1376" s="20"/>
      <x:c r="Q1376" s="20"/>
      <x:c r="R1376" s="20"/>
      <x:c r="S1376" s="20"/>
      <x:c r="T1376" s="20"/>
      <x:c r="U1376" s="20"/>
      <x:c r="V1376" s="20"/>
      <x:c r="W1376" s="20"/>
      <x:c r="X1376" s="20"/>
      <x:c r="Y1376" s="21"/>
    </x:row>
    <x:row r="1377">
      <x:c r="A1377" s="19"/>
      <x:c r="B1377" s="27"/>
      <x:c r="C1377" s="20"/>
      <x:c r="D1377" s="28"/>
      <x:c r="E1377" s="20"/>
      <x:c r="F1377" s="25"/>
      <x:c r="G1377" s="20"/>
      <x:c r="H1377" s="20"/>
      <x:c r="I1377" s="20"/>
      <x:c r="J1377" s="20"/>
      <x:c r="K1377" s="20"/>
      <x:c r="L1377" s="20"/>
      <x:c r="M1377" s="20"/>
      <x:c r="N1377" s="20"/>
      <x:c r="O1377" s="20"/>
      <x:c r="P1377" s="20"/>
      <x:c r="Q1377" s="20"/>
      <x:c r="R1377" s="20"/>
      <x:c r="S1377" s="20"/>
      <x:c r="T1377" s="20"/>
      <x:c r="U1377" s="20"/>
      <x:c r="V1377" s="20"/>
      <x:c r="W1377" s="20"/>
      <x:c r="X1377" s="20"/>
      <x:c r="Y1377" s="21"/>
    </x:row>
    <x:row r="1378">
      <x:c r="A1378" s="19"/>
      <x:c r="B1378" s="27"/>
      <x:c r="C1378" s="20"/>
      <x:c r="D1378" s="28"/>
      <x:c r="E1378" s="20"/>
      <x:c r="F1378" s="25"/>
      <x:c r="G1378" s="20"/>
      <x:c r="H1378" s="20"/>
      <x:c r="I1378" s="20"/>
      <x:c r="J1378" s="20"/>
      <x:c r="K1378" s="20"/>
      <x:c r="L1378" s="20"/>
      <x:c r="M1378" s="20"/>
      <x:c r="N1378" s="20"/>
      <x:c r="O1378" s="20"/>
      <x:c r="P1378" s="20"/>
      <x:c r="Q1378" s="20"/>
      <x:c r="R1378" s="20"/>
      <x:c r="S1378" s="20"/>
      <x:c r="T1378" s="20"/>
      <x:c r="U1378" s="20"/>
      <x:c r="V1378" s="20"/>
      <x:c r="W1378" s="20"/>
      <x:c r="X1378" s="20"/>
      <x:c r="Y1378" s="21"/>
    </x:row>
    <x:row r="1379">
      <x:c r="A1379" s="19"/>
      <x:c r="B1379" s="27"/>
      <x:c r="C1379" s="20"/>
      <x:c r="D1379" s="28"/>
      <x:c r="E1379" s="20"/>
      <x:c r="F1379" s="25"/>
      <x:c r="G1379" s="20"/>
      <x:c r="H1379" s="20"/>
      <x:c r="I1379" s="20"/>
      <x:c r="J1379" s="20"/>
      <x:c r="K1379" s="20"/>
      <x:c r="L1379" s="20"/>
      <x:c r="M1379" s="20"/>
      <x:c r="N1379" s="20"/>
      <x:c r="O1379" s="20"/>
      <x:c r="P1379" s="20"/>
      <x:c r="Q1379" s="20"/>
      <x:c r="R1379" s="20"/>
      <x:c r="S1379" s="20"/>
      <x:c r="T1379" s="20"/>
      <x:c r="U1379" s="20"/>
      <x:c r="V1379" s="20"/>
      <x:c r="W1379" s="20"/>
      <x:c r="X1379" s="20"/>
      <x:c r="Y1379" s="21"/>
    </x:row>
    <x:row r="1380">
      <x:c r="A1380" s="19"/>
      <x:c r="B1380" s="27"/>
      <x:c r="C1380" s="20"/>
      <x:c r="D1380" s="28"/>
      <x:c r="E1380" s="20"/>
      <x:c r="F1380" s="25"/>
      <x:c r="G1380" s="20"/>
      <x:c r="H1380" s="20"/>
      <x:c r="I1380" s="20"/>
      <x:c r="J1380" s="20"/>
      <x:c r="K1380" s="20"/>
      <x:c r="L1380" s="20"/>
      <x:c r="M1380" s="20"/>
      <x:c r="N1380" s="20"/>
      <x:c r="O1380" s="20"/>
      <x:c r="P1380" s="20"/>
      <x:c r="Q1380" s="20"/>
      <x:c r="R1380" s="20"/>
      <x:c r="S1380" s="20"/>
      <x:c r="T1380" s="20"/>
      <x:c r="U1380" s="20"/>
      <x:c r="V1380" s="20"/>
      <x:c r="W1380" s="20"/>
      <x:c r="X1380" s="20"/>
      <x:c r="Y1380" s="21"/>
    </x:row>
    <x:row r="1381">
      <x:c r="A1381" s="19"/>
      <x:c r="B1381" s="27"/>
      <x:c r="C1381" s="20"/>
      <x:c r="D1381" s="28"/>
      <x:c r="E1381" s="20"/>
      <x:c r="F1381" s="25"/>
      <x:c r="G1381" s="20"/>
      <x:c r="H1381" s="20"/>
      <x:c r="I1381" s="20"/>
      <x:c r="J1381" s="20"/>
      <x:c r="K1381" s="20"/>
      <x:c r="L1381" s="20"/>
      <x:c r="M1381" s="20"/>
      <x:c r="N1381" s="20"/>
      <x:c r="O1381" s="20"/>
      <x:c r="P1381" s="20"/>
      <x:c r="Q1381" s="20"/>
      <x:c r="R1381" s="20"/>
      <x:c r="S1381" s="20"/>
      <x:c r="T1381" s="20"/>
      <x:c r="U1381" s="20"/>
      <x:c r="V1381" s="20"/>
      <x:c r="W1381" s="20"/>
      <x:c r="X1381" s="20"/>
      <x:c r="Y1381" s="21"/>
    </x:row>
    <x:row r="1382">
      <x:c r="A1382" s="19"/>
      <x:c r="B1382" s="27"/>
      <x:c r="C1382" s="20"/>
      <x:c r="D1382" s="28"/>
      <x:c r="E1382" s="20"/>
      <x:c r="F1382" s="25"/>
      <x:c r="G1382" s="20"/>
      <x:c r="H1382" s="20"/>
      <x:c r="I1382" s="20"/>
      <x:c r="J1382" s="20"/>
      <x:c r="K1382" s="20"/>
      <x:c r="L1382" s="20"/>
      <x:c r="M1382" s="20"/>
      <x:c r="N1382" s="20"/>
      <x:c r="O1382" s="20"/>
      <x:c r="P1382" s="20"/>
      <x:c r="Q1382" s="20"/>
      <x:c r="R1382" s="20"/>
      <x:c r="S1382" s="20"/>
      <x:c r="T1382" s="20"/>
      <x:c r="U1382" s="20"/>
      <x:c r="V1382" s="20"/>
      <x:c r="W1382" s="20"/>
      <x:c r="X1382" s="20"/>
      <x:c r="Y1382" s="21"/>
    </x:row>
    <x:row r="1383">
      <x:c r="A1383" s="19"/>
      <x:c r="B1383" s="27"/>
      <x:c r="C1383" s="20"/>
      <x:c r="D1383" s="28"/>
      <x:c r="E1383" s="20"/>
      <x:c r="F1383" s="25"/>
      <x:c r="G1383" s="20"/>
      <x:c r="H1383" s="20"/>
      <x:c r="I1383" s="20"/>
      <x:c r="J1383" s="20"/>
      <x:c r="K1383" s="20"/>
      <x:c r="L1383" s="20"/>
      <x:c r="M1383" s="20"/>
      <x:c r="N1383" s="20"/>
      <x:c r="O1383" s="20"/>
      <x:c r="P1383" s="20"/>
      <x:c r="Q1383" s="20"/>
      <x:c r="R1383" s="20"/>
      <x:c r="S1383" s="20"/>
      <x:c r="T1383" s="20"/>
      <x:c r="U1383" s="20"/>
      <x:c r="V1383" s="20"/>
      <x:c r="W1383" s="20"/>
      <x:c r="X1383" s="20"/>
      <x:c r="Y1383" s="21"/>
    </x:row>
    <x:row r="1384">
      <x:c r="A1384" s="19"/>
      <x:c r="B1384" s="27"/>
      <x:c r="C1384" s="20"/>
      <x:c r="D1384" s="28"/>
      <x:c r="E1384" s="20"/>
      <x:c r="F1384" s="25"/>
      <x:c r="G1384" s="20"/>
      <x:c r="H1384" s="20"/>
      <x:c r="I1384" s="20"/>
      <x:c r="J1384" s="20"/>
      <x:c r="K1384" s="20"/>
      <x:c r="L1384" s="20"/>
      <x:c r="M1384" s="20"/>
      <x:c r="N1384" s="20"/>
      <x:c r="O1384" s="20"/>
      <x:c r="P1384" s="20"/>
      <x:c r="Q1384" s="20"/>
      <x:c r="R1384" s="20"/>
      <x:c r="S1384" s="20"/>
      <x:c r="T1384" s="20"/>
      <x:c r="U1384" s="20"/>
      <x:c r="V1384" s="20"/>
      <x:c r="W1384" s="20"/>
      <x:c r="X1384" s="20"/>
      <x:c r="Y1384" s="21"/>
    </x:row>
    <x:row r="1385">
      <x:c r="A1385" s="19"/>
      <x:c r="B1385" s="27"/>
      <x:c r="C1385" s="20"/>
      <x:c r="D1385" s="28"/>
      <x:c r="E1385" s="20"/>
      <x:c r="F1385" s="25"/>
      <x:c r="G1385" s="20"/>
      <x:c r="H1385" s="20"/>
      <x:c r="I1385" s="20"/>
      <x:c r="J1385" s="20"/>
      <x:c r="K1385" s="20"/>
      <x:c r="L1385" s="20"/>
      <x:c r="M1385" s="20"/>
      <x:c r="N1385" s="20"/>
      <x:c r="O1385" s="20"/>
      <x:c r="P1385" s="20"/>
      <x:c r="Q1385" s="20"/>
      <x:c r="R1385" s="20"/>
      <x:c r="S1385" s="20"/>
      <x:c r="T1385" s="20"/>
      <x:c r="U1385" s="20"/>
      <x:c r="V1385" s="20"/>
      <x:c r="W1385" s="20"/>
      <x:c r="X1385" s="20"/>
      <x:c r="Y1385" s="21"/>
    </x:row>
    <x:row r="1386">
      <x:c r="A1386" s="19"/>
      <x:c r="B1386" s="27"/>
      <x:c r="C1386" s="20"/>
      <x:c r="D1386" s="28"/>
      <x:c r="E1386" s="20"/>
      <x:c r="F1386" s="25"/>
      <x:c r="G1386" s="20"/>
      <x:c r="H1386" s="20"/>
      <x:c r="I1386" s="20"/>
      <x:c r="J1386" s="20"/>
      <x:c r="K1386" s="20"/>
      <x:c r="L1386" s="20"/>
      <x:c r="M1386" s="20"/>
      <x:c r="N1386" s="20"/>
      <x:c r="O1386" s="20"/>
      <x:c r="P1386" s="20"/>
      <x:c r="Q1386" s="20"/>
      <x:c r="R1386" s="20"/>
      <x:c r="S1386" s="20"/>
      <x:c r="T1386" s="20"/>
      <x:c r="U1386" s="20"/>
      <x:c r="V1386" s="20"/>
      <x:c r="W1386" s="20"/>
      <x:c r="X1386" s="20"/>
      <x:c r="Y1386" s="21"/>
    </x:row>
    <x:row r="1387">
      <x:c r="A1387" s="19"/>
      <x:c r="B1387" s="27"/>
      <x:c r="C1387" s="20"/>
      <x:c r="D1387" s="28"/>
      <x:c r="E1387" s="20"/>
      <x:c r="F1387" s="25"/>
      <x:c r="G1387" s="20"/>
      <x:c r="H1387" s="20"/>
      <x:c r="I1387" s="20"/>
      <x:c r="J1387" s="20"/>
      <x:c r="K1387" s="20"/>
      <x:c r="L1387" s="20"/>
      <x:c r="M1387" s="20"/>
      <x:c r="N1387" s="20"/>
      <x:c r="O1387" s="20"/>
      <x:c r="P1387" s="20"/>
      <x:c r="Q1387" s="20"/>
      <x:c r="R1387" s="20"/>
      <x:c r="S1387" s="20"/>
      <x:c r="T1387" s="20"/>
      <x:c r="U1387" s="20"/>
      <x:c r="V1387" s="20"/>
      <x:c r="W1387" s="20"/>
      <x:c r="X1387" s="20"/>
      <x:c r="Y1387" s="21"/>
    </x:row>
    <x:row r="1388">
      <x:c r="A1388" s="19"/>
      <x:c r="B1388" s="27"/>
      <x:c r="C1388" s="20"/>
      <x:c r="D1388" s="28"/>
      <x:c r="E1388" s="20"/>
      <x:c r="F1388" s="25"/>
      <x:c r="G1388" s="20"/>
      <x:c r="H1388" s="20"/>
      <x:c r="I1388" s="20"/>
      <x:c r="J1388" s="20"/>
      <x:c r="K1388" s="20"/>
      <x:c r="L1388" s="20"/>
      <x:c r="M1388" s="20"/>
      <x:c r="N1388" s="20"/>
      <x:c r="O1388" s="20"/>
      <x:c r="P1388" s="20"/>
      <x:c r="Q1388" s="20"/>
      <x:c r="R1388" s="20"/>
      <x:c r="S1388" s="20"/>
      <x:c r="T1388" s="20"/>
      <x:c r="U1388" s="20"/>
      <x:c r="V1388" s="20"/>
      <x:c r="W1388" s="20"/>
      <x:c r="X1388" s="20"/>
      <x:c r="Y1388" s="21"/>
    </x:row>
    <x:row r="1389">
      <x:c r="A1389" s="19"/>
      <x:c r="B1389" s="27"/>
      <x:c r="C1389" s="20"/>
      <x:c r="D1389" s="28"/>
      <x:c r="E1389" s="20"/>
      <x:c r="F1389" s="25"/>
      <x:c r="G1389" s="20"/>
      <x:c r="H1389" s="20"/>
      <x:c r="I1389" s="20"/>
      <x:c r="J1389" s="20"/>
      <x:c r="K1389" s="20"/>
      <x:c r="L1389" s="20"/>
      <x:c r="M1389" s="20"/>
      <x:c r="N1389" s="20"/>
      <x:c r="O1389" s="20"/>
      <x:c r="P1389" s="20"/>
      <x:c r="Q1389" s="20"/>
      <x:c r="R1389" s="20"/>
      <x:c r="S1389" s="20"/>
      <x:c r="T1389" s="20"/>
      <x:c r="U1389" s="20"/>
      <x:c r="V1389" s="20"/>
      <x:c r="W1389" s="20"/>
      <x:c r="X1389" s="20"/>
      <x:c r="Y1389" s="21"/>
    </x:row>
    <x:row r="1390">
      <x:c r="A1390" s="19"/>
      <x:c r="B1390" s="27"/>
      <x:c r="C1390" s="20"/>
      <x:c r="D1390" s="28"/>
      <x:c r="E1390" s="20"/>
      <x:c r="F1390" s="25"/>
      <x:c r="G1390" s="20"/>
      <x:c r="H1390" s="20"/>
      <x:c r="I1390" s="20"/>
      <x:c r="J1390" s="20"/>
      <x:c r="K1390" s="20"/>
      <x:c r="L1390" s="20"/>
      <x:c r="M1390" s="20"/>
      <x:c r="N1390" s="20"/>
      <x:c r="O1390" s="20"/>
      <x:c r="P1390" s="20"/>
      <x:c r="Q1390" s="20"/>
      <x:c r="R1390" s="20"/>
      <x:c r="S1390" s="20"/>
      <x:c r="T1390" s="20"/>
      <x:c r="U1390" s="20"/>
      <x:c r="V1390" s="20"/>
      <x:c r="W1390" s="20"/>
      <x:c r="X1390" s="20"/>
      <x:c r="Y1390" s="21"/>
    </x:row>
    <x:row r="1391">
      <x:c r="A1391" s="19"/>
      <x:c r="B1391" s="27"/>
      <x:c r="C1391" s="20"/>
      <x:c r="D1391" s="28"/>
      <x:c r="E1391" s="20"/>
      <x:c r="F1391" s="25"/>
      <x:c r="G1391" s="20"/>
      <x:c r="H1391" s="20"/>
      <x:c r="I1391" s="20"/>
      <x:c r="J1391" s="20"/>
      <x:c r="K1391" s="20"/>
      <x:c r="L1391" s="20"/>
      <x:c r="M1391" s="20"/>
      <x:c r="N1391" s="20"/>
      <x:c r="O1391" s="20"/>
      <x:c r="P1391" s="20"/>
      <x:c r="Q1391" s="20"/>
      <x:c r="R1391" s="20"/>
      <x:c r="S1391" s="20"/>
      <x:c r="T1391" s="20"/>
      <x:c r="U1391" s="20"/>
      <x:c r="V1391" s="20"/>
      <x:c r="W1391" s="20"/>
      <x:c r="X1391" s="20"/>
      <x:c r="Y1391" s="21"/>
    </x:row>
    <x:row r="1392">
      <x:c r="A1392" s="19"/>
      <x:c r="B1392" s="27"/>
      <x:c r="C1392" s="20"/>
      <x:c r="D1392" s="28"/>
      <x:c r="E1392" s="20"/>
      <x:c r="F1392" s="25"/>
      <x:c r="G1392" s="20"/>
      <x:c r="H1392" s="20"/>
      <x:c r="I1392" s="20"/>
      <x:c r="J1392" s="20"/>
      <x:c r="K1392" s="20"/>
      <x:c r="L1392" s="20"/>
      <x:c r="M1392" s="20"/>
      <x:c r="N1392" s="20"/>
      <x:c r="O1392" s="20"/>
      <x:c r="P1392" s="20"/>
      <x:c r="Q1392" s="20"/>
      <x:c r="R1392" s="20"/>
      <x:c r="S1392" s="20"/>
      <x:c r="T1392" s="20"/>
      <x:c r="U1392" s="20"/>
      <x:c r="V1392" s="20"/>
      <x:c r="W1392" s="20"/>
      <x:c r="X1392" s="20"/>
      <x:c r="Y1392" s="21"/>
    </x:row>
    <x:row r="1393">
      <x:c r="A1393" s="19"/>
      <x:c r="B1393" s="27"/>
      <x:c r="C1393" s="20"/>
      <x:c r="D1393" s="28"/>
      <x:c r="E1393" s="20"/>
      <x:c r="F1393" s="25"/>
      <x:c r="G1393" s="20"/>
      <x:c r="H1393" s="20"/>
      <x:c r="I1393" s="20"/>
      <x:c r="J1393" s="20"/>
      <x:c r="K1393" s="20"/>
      <x:c r="L1393" s="20"/>
      <x:c r="M1393" s="20"/>
      <x:c r="N1393" s="20"/>
      <x:c r="O1393" s="20"/>
      <x:c r="P1393" s="20"/>
      <x:c r="Q1393" s="20"/>
      <x:c r="R1393" s="20"/>
      <x:c r="S1393" s="20"/>
      <x:c r="T1393" s="20"/>
      <x:c r="U1393" s="20"/>
      <x:c r="V1393" s="20"/>
      <x:c r="W1393" s="20"/>
      <x:c r="X1393" s="20"/>
      <x:c r="Y1393" s="21"/>
    </x:row>
    <x:row r="1394">
      <x:c r="A1394" s="19"/>
      <x:c r="B1394" s="27"/>
      <x:c r="C1394" s="20"/>
      <x:c r="D1394" s="28"/>
      <x:c r="E1394" s="20"/>
      <x:c r="F1394" s="25"/>
      <x:c r="G1394" s="20"/>
      <x:c r="H1394" s="20"/>
      <x:c r="I1394" s="20"/>
      <x:c r="J1394" s="20"/>
      <x:c r="K1394" s="20"/>
      <x:c r="L1394" s="20"/>
      <x:c r="M1394" s="20"/>
      <x:c r="N1394" s="20"/>
      <x:c r="O1394" s="20"/>
      <x:c r="P1394" s="20"/>
      <x:c r="Q1394" s="20"/>
      <x:c r="R1394" s="20"/>
      <x:c r="S1394" s="20"/>
      <x:c r="T1394" s="20"/>
      <x:c r="U1394" s="20"/>
      <x:c r="V1394" s="20"/>
      <x:c r="W1394" s="20"/>
      <x:c r="X1394" s="20"/>
      <x:c r="Y1394" s="21"/>
    </x:row>
    <x:row r="1395">
      <x:c r="A1395" s="19"/>
      <x:c r="B1395" s="27"/>
      <x:c r="C1395" s="20"/>
      <x:c r="D1395" s="28"/>
      <x:c r="E1395" s="20"/>
      <x:c r="F1395" s="25"/>
      <x:c r="G1395" s="20"/>
      <x:c r="H1395" s="20"/>
      <x:c r="I1395" s="20"/>
      <x:c r="J1395" s="20"/>
      <x:c r="K1395" s="20"/>
      <x:c r="L1395" s="20"/>
      <x:c r="M1395" s="20"/>
      <x:c r="N1395" s="20"/>
      <x:c r="O1395" s="20"/>
      <x:c r="P1395" s="20"/>
      <x:c r="Q1395" s="20"/>
      <x:c r="R1395" s="20"/>
      <x:c r="S1395" s="20"/>
      <x:c r="T1395" s="20"/>
      <x:c r="U1395" s="20"/>
      <x:c r="V1395" s="20"/>
      <x:c r="W1395" s="20"/>
      <x:c r="X1395" s="20"/>
      <x:c r="Y1395" s="21"/>
    </x:row>
    <x:row r="1396">
      <x:c r="A1396" s="19"/>
      <x:c r="B1396" s="27"/>
      <x:c r="C1396" s="20"/>
      <x:c r="D1396" s="28"/>
      <x:c r="E1396" s="20"/>
      <x:c r="F1396" s="25"/>
      <x:c r="G1396" s="20"/>
      <x:c r="H1396" s="20"/>
      <x:c r="I1396" s="20"/>
      <x:c r="J1396" s="20"/>
      <x:c r="K1396" s="20"/>
      <x:c r="L1396" s="20"/>
      <x:c r="M1396" s="20"/>
      <x:c r="N1396" s="20"/>
      <x:c r="O1396" s="20"/>
      <x:c r="P1396" s="20"/>
      <x:c r="Q1396" s="20"/>
      <x:c r="R1396" s="20"/>
      <x:c r="S1396" s="20"/>
      <x:c r="T1396" s="20"/>
      <x:c r="U1396" s="20"/>
      <x:c r="V1396" s="20"/>
      <x:c r="W1396" s="20"/>
      <x:c r="X1396" s="20"/>
      <x:c r="Y1396" s="21"/>
    </x:row>
    <x:row r="1397">
      <x:c r="A1397" s="19"/>
      <x:c r="B1397" s="27"/>
      <x:c r="C1397" s="20"/>
      <x:c r="D1397" s="28"/>
      <x:c r="E1397" s="20"/>
      <x:c r="F1397" s="25"/>
      <x:c r="G1397" s="20"/>
      <x:c r="H1397" s="20"/>
      <x:c r="I1397" s="20"/>
      <x:c r="J1397" s="20"/>
      <x:c r="K1397" s="20"/>
      <x:c r="L1397" s="20"/>
      <x:c r="M1397" s="20"/>
      <x:c r="N1397" s="20"/>
      <x:c r="O1397" s="20"/>
      <x:c r="P1397" s="20"/>
      <x:c r="Q1397" s="20"/>
      <x:c r="R1397" s="20"/>
      <x:c r="S1397" s="20"/>
      <x:c r="T1397" s="20"/>
      <x:c r="U1397" s="20"/>
      <x:c r="V1397" s="20"/>
      <x:c r="W1397" s="20"/>
      <x:c r="X1397" s="20"/>
      <x:c r="Y1397" s="21"/>
    </x:row>
    <x:row r="1398">
      <x:c r="A1398" s="19"/>
      <x:c r="B1398" s="27"/>
      <x:c r="C1398" s="20"/>
      <x:c r="D1398" s="28"/>
      <x:c r="E1398" s="20"/>
      <x:c r="F1398" s="25"/>
      <x:c r="G1398" s="20"/>
      <x:c r="H1398" s="20"/>
      <x:c r="I1398" s="20"/>
      <x:c r="J1398" s="20"/>
      <x:c r="K1398" s="20"/>
      <x:c r="L1398" s="20"/>
      <x:c r="M1398" s="20"/>
      <x:c r="N1398" s="20"/>
      <x:c r="O1398" s="20"/>
      <x:c r="P1398" s="20"/>
      <x:c r="Q1398" s="20"/>
      <x:c r="R1398" s="20"/>
      <x:c r="S1398" s="20"/>
      <x:c r="T1398" s="20"/>
      <x:c r="U1398" s="20"/>
      <x:c r="V1398" s="20"/>
      <x:c r="W1398" s="20"/>
      <x:c r="X1398" s="20"/>
      <x:c r="Y1398" s="21"/>
    </x:row>
    <x:row r="1399">
      <x:c r="A1399" s="19"/>
      <x:c r="B1399" s="27"/>
      <x:c r="C1399" s="20"/>
      <x:c r="D1399" s="28"/>
      <x:c r="E1399" s="20"/>
      <x:c r="F1399" s="25"/>
      <x:c r="G1399" s="20"/>
      <x:c r="H1399" s="20"/>
      <x:c r="I1399" s="20"/>
      <x:c r="J1399" s="20"/>
      <x:c r="K1399" s="20"/>
      <x:c r="L1399" s="20"/>
      <x:c r="M1399" s="20"/>
      <x:c r="N1399" s="20"/>
      <x:c r="O1399" s="20"/>
      <x:c r="P1399" s="20"/>
      <x:c r="Q1399" s="20"/>
      <x:c r="R1399" s="20"/>
      <x:c r="S1399" s="20"/>
      <x:c r="T1399" s="20"/>
      <x:c r="U1399" s="20"/>
      <x:c r="V1399" s="20"/>
      <x:c r="W1399" s="20"/>
      <x:c r="X1399" s="20"/>
      <x:c r="Y1399" s="21"/>
    </x:row>
    <x:row r="1400">
      <x:c r="A1400" s="19"/>
      <x:c r="B1400" s="27"/>
      <x:c r="C1400" s="20"/>
      <x:c r="D1400" s="28"/>
      <x:c r="E1400" s="20"/>
      <x:c r="F1400" s="25"/>
      <x:c r="G1400" s="20"/>
      <x:c r="H1400" s="20"/>
      <x:c r="I1400" s="20"/>
      <x:c r="J1400" s="20"/>
      <x:c r="K1400" s="20"/>
      <x:c r="L1400" s="20"/>
      <x:c r="M1400" s="20"/>
      <x:c r="N1400" s="20"/>
      <x:c r="O1400" s="20"/>
      <x:c r="P1400" s="20"/>
      <x:c r="Q1400" s="20"/>
      <x:c r="R1400" s="20"/>
      <x:c r="S1400" s="20"/>
      <x:c r="T1400" s="20"/>
      <x:c r="U1400" s="20"/>
      <x:c r="V1400" s="20"/>
      <x:c r="W1400" s="20"/>
      <x:c r="X1400" s="20"/>
      <x:c r="Y1400" s="21"/>
    </x:row>
    <x:row r="1401">
      <x:c r="A1401" s="19"/>
      <x:c r="B1401" s="27"/>
      <x:c r="C1401" s="20"/>
      <x:c r="D1401" s="28"/>
      <x:c r="E1401" s="20"/>
      <x:c r="F1401" s="25"/>
      <x:c r="G1401" s="20"/>
      <x:c r="H1401" s="20"/>
      <x:c r="I1401" s="20"/>
      <x:c r="J1401" s="20"/>
      <x:c r="K1401" s="20"/>
      <x:c r="L1401" s="20"/>
      <x:c r="M1401" s="20"/>
      <x:c r="N1401" s="20"/>
      <x:c r="O1401" s="20"/>
      <x:c r="P1401" s="20"/>
      <x:c r="Q1401" s="20"/>
      <x:c r="R1401" s="20"/>
      <x:c r="S1401" s="20"/>
      <x:c r="T1401" s="20"/>
      <x:c r="U1401" s="20"/>
      <x:c r="V1401" s="20"/>
      <x:c r="W1401" s="20"/>
      <x:c r="X1401" s="20"/>
      <x:c r="Y1401" s="21"/>
    </x:row>
    <x:row r="1402">
      <x:c r="A1402" s="19"/>
      <x:c r="B1402" s="27"/>
      <x:c r="C1402" s="20"/>
      <x:c r="D1402" s="28"/>
      <x:c r="E1402" s="20"/>
      <x:c r="F1402" s="25"/>
      <x:c r="G1402" s="20"/>
      <x:c r="H1402" s="20"/>
      <x:c r="I1402" s="20"/>
      <x:c r="J1402" s="20"/>
      <x:c r="K1402" s="20"/>
      <x:c r="L1402" s="20"/>
      <x:c r="M1402" s="20"/>
      <x:c r="N1402" s="20"/>
      <x:c r="O1402" s="20"/>
      <x:c r="P1402" s="20"/>
      <x:c r="Q1402" s="20"/>
      <x:c r="R1402" s="20"/>
      <x:c r="S1402" s="20"/>
      <x:c r="T1402" s="20"/>
      <x:c r="U1402" s="20"/>
      <x:c r="V1402" s="20"/>
      <x:c r="W1402" s="20"/>
      <x:c r="X1402" s="20"/>
      <x:c r="Y1402" s="21"/>
    </x:row>
    <x:row r="1403">
      <x:c r="A1403" s="19"/>
      <x:c r="B1403" s="27"/>
      <x:c r="C1403" s="20"/>
      <x:c r="D1403" s="28"/>
      <x:c r="E1403" s="20"/>
      <x:c r="F1403" s="25"/>
      <x:c r="G1403" s="20"/>
      <x:c r="H1403" s="20"/>
      <x:c r="I1403" s="20"/>
      <x:c r="J1403" s="20"/>
      <x:c r="K1403" s="20"/>
      <x:c r="L1403" s="20"/>
      <x:c r="M1403" s="20"/>
      <x:c r="N1403" s="20"/>
      <x:c r="O1403" s="20"/>
      <x:c r="P1403" s="20"/>
      <x:c r="Q1403" s="20"/>
      <x:c r="R1403" s="20"/>
      <x:c r="S1403" s="20"/>
      <x:c r="T1403" s="20"/>
      <x:c r="U1403" s="20"/>
      <x:c r="V1403" s="20"/>
      <x:c r="W1403" s="20"/>
      <x:c r="X1403" s="20"/>
      <x:c r="Y1403" s="21"/>
    </x:row>
    <x:row r="1404">
      <x:c r="A1404" s="19"/>
      <x:c r="B1404" s="27"/>
      <x:c r="C1404" s="20"/>
      <x:c r="D1404" s="28"/>
      <x:c r="E1404" s="20"/>
      <x:c r="F1404" s="25"/>
      <x:c r="G1404" s="20"/>
      <x:c r="H1404" s="20"/>
      <x:c r="I1404" s="20"/>
      <x:c r="J1404" s="20"/>
      <x:c r="K1404" s="20"/>
      <x:c r="L1404" s="20"/>
      <x:c r="M1404" s="20"/>
      <x:c r="N1404" s="20"/>
      <x:c r="O1404" s="20"/>
      <x:c r="P1404" s="20"/>
      <x:c r="Q1404" s="20"/>
      <x:c r="R1404" s="20"/>
      <x:c r="S1404" s="20"/>
      <x:c r="T1404" s="20"/>
      <x:c r="U1404" s="20"/>
      <x:c r="V1404" s="20"/>
      <x:c r="W1404" s="20"/>
      <x:c r="X1404" s="20"/>
      <x:c r="Y1404" s="21"/>
    </x:row>
    <x:row r="1405">
      <x:c r="A1405" s="19"/>
      <x:c r="B1405" s="27"/>
      <x:c r="C1405" s="20"/>
      <x:c r="D1405" s="28"/>
      <x:c r="E1405" s="20"/>
      <x:c r="F1405" s="25"/>
      <x:c r="G1405" s="20"/>
      <x:c r="H1405" s="20"/>
      <x:c r="I1405" s="20"/>
      <x:c r="J1405" s="20"/>
      <x:c r="K1405" s="20"/>
      <x:c r="L1405" s="20"/>
      <x:c r="M1405" s="20"/>
      <x:c r="N1405" s="20"/>
      <x:c r="O1405" s="20"/>
      <x:c r="P1405" s="20"/>
      <x:c r="Q1405" s="20"/>
      <x:c r="R1405" s="20"/>
      <x:c r="S1405" s="20"/>
      <x:c r="T1405" s="20"/>
      <x:c r="U1405" s="20"/>
      <x:c r="V1405" s="20"/>
      <x:c r="W1405" s="20"/>
      <x:c r="X1405" s="20"/>
      <x:c r="Y1405" s="21"/>
    </x:row>
    <x:row r="1406">
      <x:c r="A1406" s="19"/>
      <x:c r="B1406" s="27"/>
      <x:c r="C1406" s="20"/>
      <x:c r="D1406" s="28"/>
      <x:c r="E1406" s="20"/>
      <x:c r="F1406" s="25"/>
      <x:c r="G1406" s="20"/>
      <x:c r="H1406" s="20"/>
      <x:c r="I1406" s="20"/>
      <x:c r="J1406" s="20"/>
      <x:c r="K1406" s="20"/>
      <x:c r="L1406" s="20"/>
      <x:c r="M1406" s="20"/>
      <x:c r="N1406" s="20"/>
      <x:c r="O1406" s="20"/>
      <x:c r="P1406" s="20"/>
      <x:c r="Q1406" s="20"/>
      <x:c r="R1406" s="20"/>
      <x:c r="S1406" s="20"/>
      <x:c r="T1406" s="20"/>
      <x:c r="U1406" s="20"/>
      <x:c r="V1406" s="20"/>
      <x:c r="W1406" s="20"/>
      <x:c r="X1406" s="20"/>
      <x:c r="Y1406" s="21"/>
    </x:row>
    <x:row r="1407">
      <x:c r="A1407" s="19"/>
      <x:c r="B1407" s="27"/>
      <x:c r="C1407" s="20"/>
      <x:c r="D1407" s="28"/>
      <x:c r="E1407" s="20"/>
      <x:c r="F1407" s="25"/>
      <x:c r="G1407" s="20"/>
      <x:c r="H1407" s="20"/>
      <x:c r="I1407" s="20"/>
      <x:c r="J1407" s="20"/>
      <x:c r="K1407" s="20"/>
      <x:c r="L1407" s="20"/>
      <x:c r="M1407" s="20"/>
      <x:c r="N1407" s="20"/>
      <x:c r="O1407" s="20"/>
      <x:c r="P1407" s="20"/>
      <x:c r="Q1407" s="20"/>
      <x:c r="R1407" s="20"/>
      <x:c r="S1407" s="20"/>
      <x:c r="T1407" s="20"/>
      <x:c r="U1407" s="20"/>
      <x:c r="V1407" s="20"/>
      <x:c r="W1407" s="20"/>
      <x:c r="X1407" s="20"/>
      <x:c r="Y1407" s="21"/>
    </x:row>
    <x:row r="1408">
      <x:c r="A1408" s="19"/>
      <x:c r="B1408" s="27"/>
      <x:c r="C1408" s="20"/>
      <x:c r="D1408" s="28"/>
      <x:c r="E1408" s="20"/>
      <x:c r="F1408" s="25"/>
      <x:c r="G1408" s="20"/>
      <x:c r="H1408" s="20"/>
      <x:c r="I1408" s="20"/>
      <x:c r="J1408" s="20"/>
      <x:c r="K1408" s="20"/>
      <x:c r="L1408" s="20"/>
      <x:c r="M1408" s="20"/>
      <x:c r="N1408" s="20"/>
      <x:c r="O1408" s="20"/>
      <x:c r="P1408" s="20"/>
      <x:c r="Q1408" s="20"/>
      <x:c r="R1408" s="20"/>
      <x:c r="S1408" s="20"/>
      <x:c r="T1408" s="20"/>
      <x:c r="U1408" s="20"/>
      <x:c r="V1408" s="20"/>
      <x:c r="W1408" s="20"/>
      <x:c r="X1408" s="20"/>
      <x:c r="Y1408" s="21"/>
    </x:row>
    <x:row r="1409">
      <x:c r="A1409" s="19"/>
      <x:c r="B1409" s="27"/>
      <x:c r="C1409" s="20"/>
      <x:c r="D1409" s="28"/>
      <x:c r="E1409" s="20"/>
      <x:c r="F1409" s="25"/>
      <x:c r="G1409" s="20"/>
      <x:c r="H1409" s="20"/>
      <x:c r="I1409" s="20"/>
      <x:c r="J1409" s="20"/>
      <x:c r="K1409" s="20"/>
      <x:c r="L1409" s="20"/>
      <x:c r="M1409" s="20"/>
      <x:c r="N1409" s="20"/>
      <x:c r="O1409" s="20"/>
      <x:c r="P1409" s="20"/>
      <x:c r="Q1409" s="20"/>
      <x:c r="R1409" s="20"/>
      <x:c r="S1409" s="20"/>
      <x:c r="T1409" s="20"/>
      <x:c r="U1409" s="20"/>
      <x:c r="V1409" s="20"/>
      <x:c r="W1409" s="20"/>
      <x:c r="X1409" s="20"/>
      <x:c r="Y1409" s="21"/>
    </x:row>
    <x:row r="1410">
      <x:c r="A1410" s="19"/>
      <x:c r="B1410" s="27"/>
      <x:c r="C1410" s="20"/>
      <x:c r="D1410" s="28"/>
      <x:c r="E1410" s="20"/>
      <x:c r="F1410" s="25"/>
      <x:c r="G1410" s="20"/>
      <x:c r="H1410" s="20"/>
      <x:c r="I1410" s="20"/>
      <x:c r="J1410" s="20"/>
      <x:c r="K1410" s="20"/>
      <x:c r="L1410" s="20"/>
      <x:c r="M1410" s="20"/>
      <x:c r="N1410" s="20"/>
      <x:c r="O1410" s="20"/>
      <x:c r="P1410" s="20"/>
      <x:c r="Q1410" s="20"/>
      <x:c r="R1410" s="20"/>
      <x:c r="S1410" s="20"/>
      <x:c r="T1410" s="20"/>
      <x:c r="U1410" s="20"/>
      <x:c r="V1410" s="20"/>
      <x:c r="W1410" s="20"/>
      <x:c r="X1410" s="20"/>
      <x:c r="Y1410" s="21"/>
    </x:row>
    <x:row r="1411">
      <x:c r="A1411" s="19"/>
      <x:c r="B1411" s="27"/>
      <x:c r="C1411" s="20"/>
      <x:c r="D1411" s="28"/>
      <x:c r="E1411" s="20"/>
      <x:c r="F1411" s="25"/>
      <x:c r="G1411" s="20"/>
      <x:c r="H1411" s="20"/>
      <x:c r="I1411" s="20"/>
      <x:c r="J1411" s="20"/>
      <x:c r="K1411" s="20"/>
      <x:c r="L1411" s="20"/>
      <x:c r="M1411" s="20"/>
      <x:c r="N1411" s="20"/>
      <x:c r="O1411" s="20"/>
      <x:c r="P1411" s="20"/>
      <x:c r="Q1411" s="20"/>
      <x:c r="R1411" s="20"/>
      <x:c r="S1411" s="20"/>
      <x:c r="T1411" s="20"/>
      <x:c r="U1411" s="20"/>
      <x:c r="V1411" s="20"/>
      <x:c r="W1411" s="20"/>
      <x:c r="X1411" s="20"/>
      <x:c r="Y1411" s="21"/>
    </x:row>
    <x:row r="1412">
      <x:c r="A1412" s="19"/>
      <x:c r="B1412" s="27"/>
      <x:c r="C1412" s="20"/>
      <x:c r="D1412" s="28"/>
      <x:c r="E1412" s="20"/>
      <x:c r="F1412" s="25"/>
      <x:c r="G1412" s="20"/>
      <x:c r="H1412" s="20"/>
      <x:c r="I1412" s="20"/>
      <x:c r="J1412" s="20"/>
      <x:c r="K1412" s="20"/>
      <x:c r="L1412" s="20"/>
      <x:c r="M1412" s="20"/>
      <x:c r="N1412" s="20"/>
      <x:c r="O1412" s="20"/>
      <x:c r="P1412" s="20"/>
      <x:c r="Q1412" s="20"/>
      <x:c r="R1412" s="20"/>
      <x:c r="S1412" s="20"/>
      <x:c r="T1412" s="20"/>
      <x:c r="U1412" s="20"/>
      <x:c r="V1412" s="20"/>
      <x:c r="W1412" s="20"/>
      <x:c r="X1412" s="20"/>
      <x:c r="Y1412" s="21"/>
    </x:row>
    <x:row r="1413">
      <x:c r="A1413" s="19"/>
      <x:c r="B1413" s="27"/>
      <x:c r="C1413" s="20"/>
      <x:c r="D1413" s="28"/>
      <x:c r="E1413" s="20"/>
      <x:c r="F1413" s="25"/>
      <x:c r="G1413" s="20"/>
      <x:c r="H1413" s="20"/>
      <x:c r="I1413" s="20"/>
      <x:c r="J1413" s="20"/>
      <x:c r="K1413" s="20"/>
      <x:c r="L1413" s="20"/>
      <x:c r="M1413" s="20"/>
      <x:c r="N1413" s="20"/>
      <x:c r="O1413" s="20"/>
      <x:c r="P1413" s="20"/>
      <x:c r="Q1413" s="20"/>
      <x:c r="R1413" s="20"/>
      <x:c r="S1413" s="20"/>
      <x:c r="T1413" s="20"/>
      <x:c r="U1413" s="20"/>
      <x:c r="V1413" s="20"/>
      <x:c r="W1413" s="20"/>
      <x:c r="X1413" s="20"/>
      <x:c r="Y1413" s="21"/>
    </x:row>
    <x:row r="1414">
      <x:c r="A1414" s="19"/>
      <x:c r="B1414" s="27"/>
      <x:c r="C1414" s="20"/>
      <x:c r="D1414" s="28"/>
      <x:c r="E1414" s="20"/>
      <x:c r="F1414" s="25"/>
      <x:c r="G1414" s="20"/>
      <x:c r="H1414" s="20"/>
      <x:c r="I1414" s="20"/>
      <x:c r="J1414" s="20"/>
      <x:c r="K1414" s="20"/>
      <x:c r="L1414" s="20"/>
      <x:c r="M1414" s="20"/>
      <x:c r="N1414" s="20"/>
      <x:c r="O1414" s="20"/>
      <x:c r="P1414" s="20"/>
      <x:c r="Q1414" s="20"/>
      <x:c r="R1414" s="20"/>
      <x:c r="S1414" s="20"/>
      <x:c r="T1414" s="20"/>
      <x:c r="U1414" s="20"/>
      <x:c r="V1414" s="20"/>
      <x:c r="W1414" s="20"/>
      <x:c r="X1414" s="20"/>
      <x:c r="Y1414" s="21"/>
    </x:row>
    <x:row r="1415">
      <x:c r="A1415" s="19"/>
      <x:c r="B1415" s="27"/>
      <x:c r="C1415" s="20"/>
      <x:c r="D1415" s="28"/>
      <x:c r="E1415" s="20"/>
      <x:c r="F1415" s="25"/>
      <x:c r="G1415" s="20"/>
      <x:c r="H1415" s="20"/>
      <x:c r="I1415" s="20"/>
      <x:c r="J1415" s="20"/>
      <x:c r="K1415" s="20"/>
      <x:c r="L1415" s="20"/>
      <x:c r="M1415" s="20"/>
      <x:c r="N1415" s="20"/>
      <x:c r="O1415" s="20"/>
      <x:c r="P1415" s="20"/>
      <x:c r="Q1415" s="20"/>
      <x:c r="R1415" s="20"/>
      <x:c r="S1415" s="20"/>
      <x:c r="T1415" s="20"/>
      <x:c r="U1415" s="20"/>
      <x:c r="V1415" s="20"/>
      <x:c r="W1415" s="20"/>
      <x:c r="X1415" s="20"/>
      <x:c r="Y1415" s="21"/>
    </x:row>
    <x:row r="1416">
      <x:c r="A1416" s="19"/>
      <x:c r="B1416" s="27"/>
      <x:c r="C1416" s="20"/>
      <x:c r="D1416" s="28"/>
      <x:c r="E1416" s="20"/>
      <x:c r="F1416" s="25"/>
      <x:c r="G1416" s="20"/>
      <x:c r="H1416" s="20"/>
      <x:c r="I1416" s="20"/>
      <x:c r="J1416" s="20"/>
      <x:c r="K1416" s="20"/>
      <x:c r="L1416" s="20"/>
      <x:c r="M1416" s="20"/>
      <x:c r="N1416" s="20"/>
      <x:c r="O1416" s="20"/>
      <x:c r="P1416" s="20"/>
      <x:c r="Q1416" s="20"/>
      <x:c r="R1416" s="20"/>
      <x:c r="S1416" s="20"/>
      <x:c r="T1416" s="20"/>
      <x:c r="U1416" s="20"/>
      <x:c r="V1416" s="20"/>
      <x:c r="W1416" s="20"/>
      <x:c r="X1416" s="20"/>
      <x:c r="Y1416" s="21"/>
    </x:row>
    <x:row r="1417">
      <x:c r="A1417" s="19"/>
      <x:c r="B1417" s="27"/>
      <x:c r="C1417" s="20"/>
      <x:c r="D1417" s="28"/>
      <x:c r="E1417" s="20"/>
      <x:c r="F1417" s="25"/>
      <x:c r="G1417" s="20"/>
      <x:c r="H1417" s="20"/>
      <x:c r="I1417" s="20"/>
      <x:c r="J1417" s="20"/>
      <x:c r="K1417" s="20"/>
      <x:c r="L1417" s="20"/>
      <x:c r="M1417" s="20"/>
      <x:c r="N1417" s="20"/>
      <x:c r="O1417" s="20"/>
      <x:c r="P1417" s="20"/>
      <x:c r="Q1417" s="20"/>
      <x:c r="R1417" s="20"/>
      <x:c r="S1417" s="20"/>
      <x:c r="T1417" s="20"/>
      <x:c r="U1417" s="20"/>
      <x:c r="V1417" s="20"/>
      <x:c r="W1417" s="20"/>
      <x:c r="X1417" s="20"/>
      <x:c r="Y1417" s="21"/>
    </x:row>
    <x:row r="1418">
      <x:c r="A1418" s="19"/>
      <x:c r="B1418" s="27"/>
      <x:c r="C1418" s="20"/>
      <x:c r="D1418" s="28"/>
      <x:c r="E1418" s="20"/>
      <x:c r="F1418" s="25"/>
      <x:c r="G1418" s="20"/>
      <x:c r="H1418" s="20"/>
      <x:c r="I1418" s="20"/>
      <x:c r="J1418" s="20"/>
      <x:c r="K1418" s="20"/>
      <x:c r="L1418" s="20"/>
      <x:c r="M1418" s="20"/>
      <x:c r="N1418" s="20"/>
      <x:c r="O1418" s="20"/>
      <x:c r="P1418" s="20"/>
      <x:c r="Q1418" s="20"/>
      <x:c r="R1418" s="20"/>
      <x:c r="S1418" s="20"/>
      <x:c r="T1418" s="20"/>
      <x:c r="U1418" s="20"/>
      <x:c r="V1418" s="20"/>
      <x:c r="W1418" s="20"/>
      <x:c r="X1418" s="20"/>
      <x:c r="Y1418" s="21"/>
    </x:row>
    <x:row r="1419">
      <x:c r="A1419" s="19"/>
      <x:c r="B1419" s="27"/>
      <x:c r="C1419" s="20"/>
      <x:c r="D1419" s="28"/>
      <x:c r="E1419" s="20"/>
      <x:c r="F1419" s="25"/>
      <x:c r="G1419" s="20"/>
      <x:c r="H1419" s="20"/>
      <x:c r="I1419" s="20"/>
      <x:c r="J1419" s="20"/>
      <x:c r="K1419" s="20"/>
      <x:c r="L1419" s="20"/>
      <x:c r="M1419" s="20"/>
      <x:c r="N1419" s="20"/>
      <x:c r="O1419" s="20"/>
      <x:c r="P1419" s="20"/>
      <x:c r="Q1419" s="20"/>
      <x:c r="R1419" s="20"/>
      <x:c r="S1419" s="20"/>
      <x:c r="T1419" s="20"/>
      <x:c r="U1419" s="20"/>
      <x:c r="V1419" s="20"/>
      <x:c r="W1419" s="20"/>
      <x:c r="X1419" s="20"/>
      <x:c r="Y1419" s="21"/>
    </x:row>
    <x:row r="1420">
      <x:c r="A1420" s="19"/>
      <x:c r="B1420" s="27"/>
      <x:c r="C1420" s="20"/>
      <x:c r="D1420" s="28"/>
      <x:c r="E1420" s="20"/>
      <x:c r="F1420" s="25"/>
      <x:c r="G1420" s="20"/>
      <x:c r="H1420" s="20"/>
      <x:c r="I1420" s="20"/>
      <x:c r="J1420" s="20"/>
      <x:c r="K1420" s="20"/>
      <x:c r="L1420" s="20"/>
      <x:c r="M1420" s="20"/>
      <x:c r="N1420" s="20"/>
      <x:c r="O1420" s="20"/>
      <x:c r="P1420" s="20"/>
      <x:c r="Q1420" s="20"/>
      <x:c r="R1420" s="20"/>
      <x:c r="S1420" s="20"/>
      <x:c r="T1420" s="20"/>
      <x:c r="U1420" s="20"/>
      <x:c r="V1420" s="20"/>
      <x:c r="W1420" s="20"/>
      <x:c r="X1420" s="20"/>
      <x:c r="Y1420" s="21"/>
    </x:row>
    <x:row r="1421">
      <x:c r="A1421" s="19"/>
      <x:c r="B1421" s="27"/>
      <x:c r="C1421" s="20"/>
      <x:c r="D1421" s="28"/>
      <x:c r="E1421" s="20"/>
      <x:c r="F1421" s="25"/>
      <x:c r="G1421" s="20"/>
      <x:c r="H1421" s="20"/>
      <x:c r="I1421" s="20"/>
      <x:c r="J1421" s="20"/>
      <x:c r="K1421" s="20"/>
      <x:c r="L1421" s="20"/>
      <x:c r="M1421" s="20"/>
      <x:c r="N1421" s="20"/>
      <x:c r="O1421" s="20"/>
      <x:c r="P1421" s="20"/>
      <x:c r="Q1421" s="20"/>
      <x:c r="R1421" s="20"/>
      <x:c r="S1421" s="20"/>
      <x:c r="T1421" s="20"/>
      <x:c r="U1421" s="20"/>
      <x:c r="V1421" s="20"/>
      <x:c r="W1421" s="20"/>
      <x:c r="X1421" s="20"/>
      <x:c r="Y1421" s="21"/>
    </x:row>
    <x:row r="1422">
      <x:c r="A1422" s="19"/>
      <x:c r="B1422" s="27"/>
      <x:c r="C1422" s="20"/>
      <x:c r="D1422" s="28"/>
      <x:c r="E1422" s="20"/>
      <x:c r="F1422" s="25"/>
      <x:c r="G1422" s="20"/>
      <x:c r="H1422" s="20"/>
      <x:c r="I1422" s="20"/>
      <x:c r="J1422" s="20"/>
      <x:c r="K1422" s="20"/>
      <x:c r="L1422" s="20"/>
      <x:c r="M1422" s="20"/>
      <x:c r="N1422" s="20"/>
      <x:c r="O1422" s="20"/>
      <x:c r="P1422" s="20"/>
      <x:c r="Q1422" s="20"/>
      <x:c r="R1422" s="20"/>
      <x:c r="S1422" s="20"/>
      <x:c r="T1422" s="20"/>
      <x:c r="U1422" s="20"/>
      <x:c r="V1422" s="20"/>
      <x:c r="W1422" s="20"/>
      <x:c r="X1422" s="20"/>
      <x:c r="Y1422" s="21"/>
    </x:row>
    <x:row r="1423">
      <x:c r="A1423" s="19"/>
      <x:c r="B1423" s="27"/>
      <x:c r="C1423" s="20"/>
      <x:c r="D1423" s="28"/>
      <x:c r="E1423" s="20"/>
      <x:c r="F1423" s="25"/>
      <x:c r="G1423" s="20"/>
      <x:c r="H1423" s="20"/>
      <x:c r="I1423" s="20"/>
      <x:c r="J1423" s="20"/>
      <x:c r="K1423" s="20"/>
      <x:c r="L1423" s="20"/>
      <x:c r="M1423" s="20"/>
      <x:c r="N1423" s="20"/>
      <x:c r="O1423" s="20"/>
      <x:c r="P1423" s="20"/>
      <x:c r="Q1423" s="20"/>
      <x:c r="R1423" s="20"/>
      <x:c r="S1423" s="20"/>
      <x:c r="T1423" s="20"/>
      <x:c r="U1423" s="20"/>
      <x:c r="V1423" s="20"/>
      <x:c r="W1423" s="20"/>
      <x:c r="X1423" s="20"/>
      <x:c r="Y1423" s="21"/>
    </x:row>
    <x:row r="1424">
      <x:c r="A1424" s="19"/>
      <x:c r="B1424" s="27"/>
      <x:c r="C1424" s="20"/>
      <x:c r="D1424" s="28"/>
      <x:c r="E1424" s="20"/>
      <x:c r="F1424" s="25"/>
      <x:c r="G1424" s="20"/>
      <x:c r="H1424" s="20"/>
      <x:c r="I1424" s="20"/>
      <x:c r="J1424" s="20"/>
      <x:c r="K1424" s="20"/>
      <x:c r="L1424" s="20"/>
      <x:c r="M1424" s="20"/>
      <x:c r="N1424" s="20"/>
      <x:c r="O1424" s="20"/>
      <x:c r="P1424" s="20"/>
      <x:c r="Q1424" s="20"/>
      <x:c r="R1424" s="20"/>
      <x:c r="S1424" s="20"/>
      <x:c r="T1424" s="20"/>
      <x:c r="U1424" s="20"/>
      <x:c r="V1424" s="20"/>
      <x:c r="W1424" s="20"/>
      <x:c r="X1424" s="20"/>
      <x:c r="Y1424" s="21"/>
    </x:row>
    <x:row r="1425">
      <x:c r="A1425" s="19"/>
      <x:c r="B1425" s="27"/>
      <x:c r="C1425" s="20"/>
      <x:c r="D1425" s="28"/>
      <x:c r="E1425" s="20"/>
      <x:c r="F1425" s="25"/>
      <x:c r="G1425" s="20"/>
      <x:c r="H1425" s="20"/>
      <x:c r="I1425" s="20"/>
      <x:c r="J1425" s="20"/>
      <x:c r="K1425" s="20"/>
      <x:c r="L1425" s="20"/>
      <x:c r="M1425" s="20"/>
      <x:c r="N1425" s="20"/>
      <x:c r="O1425" s="20"/>
      <x:c r="P1425" s="20"/>
      <x:c r="Q1425" s="20"/>
      <x:c r="R1425" s="20"/>
      <x:c r="S1425" s="20"/>
      <x:c r="T1425" s="20"/>
      <x:c r="U1425" s="20"/>
      <x:c r="V1425" s="20"/>
      <x:c r="W1425" s="20"/>
      <x:c r="X1425" s="20"/>
      <x:c r="Y1425" s="21"/>
    </x:row>
    <x:row r="1426">
      <x:c r="A1426" s="19"/>
      <x:c r="B1426" s="27"/>
      <x:c r="C1426" s="20"/>
      <x:c r="D1426" s="28"/>
      <x:c r="E1426" s="20"/>
      <x:c r="F1426" s="25"/>
      <x:c r="G1426" s="20"/>
      <x:c r="H1426" s="20"/>
      <x:c r="I1426" s="20"/>
      <x:c r="J1426" s="20"/>
      <x:c r="K1426" s="20"/>
      <x:c r="L1426" s="20"/>
      <x:c r="M1426" s="20"/>
      <x:c r="N1426" s="20"/>
      <x:c r="O1426" s="20"/>
      <x:c r="P1426" s="20"/>
      <x:c r="Q1426" s="20"/>
      <x:c r="R1426" s="20"/>
      <x:c r="S1426" s="20"/>
      <x:c r="T1426" s="20"/>
      <x:c r="U1426" s="20"/>
      <x:c r="V1426" s="20"/>
      <x:c r="W1426" s="20"/>
      <x:c r="X1426" s="20"/>
      <x:c r="Y1426" s="21"/>
    </x:row>
    <x:row r="1427">
      <x:c r="A1427" s="19"/>
      <x:c r="B1427" s="27"/>
      <x:c r="C1427" s="20"/>
      <x:c r="D1427" s="28"/>
      <x:c r="E1427" s="20"/>
      <x:c r="F1427" s="25"/>
      <x:c r="G1427" s="20"/>
      <x:c r="H1427" s="20"/>
      <x:c r="I1427" s="20"/>
      <x:c r="J1427" s="20"/>
      <x:c r="K1427" s="20"/>
      <x:c r="L1427" s="20"/>
      <x:c r="M1427" s="20"/>
      <x:c r="N1427" s="20"/>
      <x:c r="O1427" s="20"/>
      <x:c r="P1427" s="20"/>
      <x:c r="Q1427" s="20"/>
      <x:c r="R1427" s="20"/>
      <x:c r="S1427" s="20"/>
      <x:c r="T1427" s="20"/>
      <x:c r="U1427" s="20"/>
      <x:c r="V1427" s="20"/>
      <x:c r="W1427" s="20"/>
      <x:c r="X1427" s="20"/>
      <x:c r="Y1427" s="21"/>
    </x:row>
    <x:row r="1428">
      <x:c r="A1428" s="19"/>
      <x:c r="B1428" s="27"/>
      <x:c r="C1428" s="20"/>
      <x:c r="D1428" s="28"/>
      <x:c r="E1428" s="20"/>
      <x:c r="F1428" s="25"/>
      <x:c r="G1428" s="20"/>
      <x:c r="H1428" s="20"/>
      <x:c r="I1428" s="20"/>
      <x:c r="J1428" s="20"/>
      <x:c r="K1428" s="20"/>
      <x:c r="L1428" s="20"/>
      <x:c r="M1428" s="20"/>
      <x:c r="N1428" s="20"/>
      <x:c r="O1428" s="20"/>
      <x:c r="P1428" s="20"/>
      <x:c r="Q1428" s="20"/>
      <x:c r="R1428" s="20"/>
      <x:c r="S1428" s="20"/>
      <x:c r="T1428" s="20"/>
      <x:c r="U1428" s="20"/>
      <x:c r="V1428" s="20"/>
      <x:c r="W1428" s="20"/>
      <x:c r="X1428" s="20"/>
      <x:c r="Y1428" s="21"/>
    </x:row>
    <x:row r="1429">
      <x:c r="A1429" s="19"/>
      <x:c r="B1429" s="27"/>
      <x:c r="C1429" s="20"/>
      <x:c r="D1429" s="28"/>
      <x:c r="E1429" s="20"/>
      <x:c r="F1429" s="25"/>
      <x:c r="G1429" s="20"/>
      <x:c r="H1429" s="20"/>
      <x:c r="I1429" s="20"/>
      <x:c r="J1429" s="20"/>
      <x:c r="K1429" s="20"/>
      <x:c r="L1429" s="20"/>
      <x:c r="M1429" s="20"/>
      <x:c r="N1429" s="20"/>
      <x:c r="O1429" s="20"/>
      <x:c r="P1429" s="20"/>
      <x:c r="Q1429" s="20"/>
      <x:c r="R1429" s="20"/>
      <x:c r="S1429" s="20"/>
      <x:c r="T1429" s="20"/>
      <x:c r="U1429" s="20"/>
      <x:c r="V1429" s="20"/>
      <x:c r="W1429" s="20"/>
      <x:c r="X1429" s="20"/>
      <x:c r="Y1429" s="21"/>
    </x:row>
    <x:row r="1430">
      <x:c r="A1430" s="19"/>
      <x:c r="B1430" s="27"/>
      <x:c r="C1430" s="20"/>
      <x:c r="D1430" s="28"/>
      <x:c r="E1430" s="20"/>
      <x:c r="F1430" s="25"/>
      <x:c r="G1430" s="20"/>
      <x:c r="H1430" s="20"/>
      <x:c r="I1430" s="20"/>
      <x:c r="J1430" s="20"/>
      <x:c r="K1430" s="20"/>
      <x:c r="L1430" s="20"/>
      <x:c r="M1430" s="20"/>
      <x:c r="N1430" s="20"/>
      <x:c r="O1430" s="20"/>
      <x:c r="P1430" s="20"/>
      <x:c r="Q1430" s="20"/>
      <x:c r="R1430" s="20"/>
      <x:c r="S1430" s="20"/>
      <x:c r="T1430" s="20"/>
      <x:c r="U1430" s="20"/>
      <x:c r="V1430" s="20"/>
      <x:c r="W1430" s="20"/>
      <x:c r="X1430" s="20"/>
      <x:c r="Y1430" s="21"/>
    </x:row>
    <x:row r="1431">
      <x:c r="A1431" s="19"/>
      <x:c r="B1431" s="27"/>
      <x:c r="C1431" s="20"/>
      <x:c r="D1431" s="28"/>
      <x:c r="E1431" s="20"/>
      <x:c r="F1431" s="25"/>
      <x:c r="G1431" s="20"/>
      <x:c r="H1431" s="20"/>
      <x:c r="I1431" s="20"/>
      <x:c r="J1431" s="20"/>
      <x:c r="K1431" s="20"/>
      <x:c r="L1431" s="20"/>
      <x:c r="M1431" s="20"/>
      <x:c r="N1431" s="20"/>
      <x:c r="O1431" s="20"/>
      <x:c r="P1431" s="20"/>
      <x:c r="Q1431" s="20"/>
      <x:c r="R1431" s="20"/>
      <x:c r="S1431" s="20"/>
      <x:c r="T1431" s="20"/>
      <x:c r="U1431" s="20"/>
      <x:c r="V1431" s="20"/>
      <x:c r="W1431" s="20"/>
      <x:c r="X1431" s="20"/>
      <x:c r="Y1431" s="21"/>
    </x:row>
    <x:row r="1432">
      <x:c r="A1432" s="19"/>
      <x:c r="B1432" s="27"/>
      <x:c r="C1432" s="20"/>
      <x:c r="D1432" s="28"/>
      <x:c r="E1432" s="20"/>
      <x:c r="F1432" s="25"/>
      <x:c r="G1432" s="20"/>
      <x:c r="H1432" s="20"/>
      <x:c r="I1432" s="20"/>
      <x:c r="J1432" s="20"/>
      <x:c r="K1432" s="20"/>
      <x:c r="L1432" s="20"/>
      <x:c r="M1432" s="20"/>
      <x:c r="N1432" s="20"/>
      <x:c r="O1432" s="20"/>
      <x:c r="P1432" s="20"/>
      <x:c r="Q1432" s="20"/>
      <x:c r="R1432" s="20"/>
      <x:c r="S1432" s="20"/>
      <x:c r="T1432" s="20"/>
      <x:c r="U1432" s="20"/>
      <x:c r="V1432" s="20"/>
      <x:c r="W1432" s="20"/>
      <x:c r="X1432" s="20"/>
      <x:c r="Y1432" s="21"/>
    </x:row>
    <x:row r="1433">
      <x:c r="A1433" s="19"/>
      <x:c r="B1433" s="27"/>
      <x:c r="C1433" s="20"/>
      <x:c r="D1433" s="28"/>
      <x:c r="E1433" s="20"/>
      <x:c r="F1433" s="25"/>
      <x:c r="G1433" s="20"/>
      <x:c r="H1433" s="20"/>
      <x:c r="I1433" s="20"/>
      <x:c r="J1433" s="20"/>
      <x:c r="K1433" s="20"/>
      <x:c r="L1433" s="20"/>
      <x:c r="M1433" s="20"/>
      <x:c r="N1433" s="20"/>
      <x:c r="O1433" s="20"/>
      <x:c r="P1433" s="20"/>
      <x:c r="Q1433" s="20"/>
      <x:c r="R1433" s="20"/>
      <x:c r="S1433" s="20"/>
      <x:c r="T1433" s="20"/>
      <x:c r="U1433" s="20"/>
      <x:c r="V1433" s="20"/>
      <x:c r="W1433" s="20"/>
      <x:c r="X1433" s="20"/>
      <x:c r="Y1433" s="21"/>
    </x:row>
    <x:row r="1434">
      <x:c r="A1434" s="19"/>
      <x:c r="B1434" s="27"/>
      <x:c r="C1434" s="20"/>
      <x:c r="D1434" s="28"/>
      <x:c r="E1434" s="20"/>
      <x:c r="F1434" s="25"/>
      <x:c r="G1434" s="20"/>
      <x:c r="H1434" s="20"/>
      <x:c r="I1434" s="20"/>
      <x:c r="J1434" s="20"/>
      <x:c r="K1434" s="20"/>
      <x:c r="L1434" s="20"/>
      <x:c r="M1434" s="20"/>
      <x:c r="N1434" s="20"/>
      <x:c r="O1434" s="20"/>
      <x:c r="P1434" s="20"/>
      <x:c r="Q1434" s="20"/>
      <x:c r="R1434" s="20"/>
      <x:c r="S1434" s="20"/>
      <x:c r="T1434" s="20"/>
      <x:c r="U1434" s="20"/>
      <x:c r="V1434" s="20"/>
      <x:c r="W1434" s="20"/>
      <x:c r="X1434" s="20"/>
      <x:c r="Y1434" s="21"/>
    </x:row>
    <x:row r="1435">
      <x:c r="A1435" s="19"/>
      <x:c r="B1435" s="27"/>
      <x:c r="C1435" s="20"/>
      <x:c r="D1435" s="28"/>
      <x:c r="E1435" s="20"/>
      <x:c r="F1435" s="25"/>
      <x:c r="G1435" s="20"/>
      <x:c r="H1435" s="20"/>
      <x:c r="I1435" s="20"/>
      <x:c r="J1435" s="20"/>
      <x:c r="K1435" s="20"/>
      <x:c r="L1435" s="20"/>
      <x:c r="M1435" s="20"/>
      <x:c r="N1435" s="20"/>
      <x:c r="O1435" s="20"/>
      <x:c r="P1435" s="20"/>
      <x:c r="Q1435" s="20"/>
      <x:c r="R1435" s="20"/>
      <x:c r="S1435" s="20"/>
      <x:c r="T1435" s="20"/>
      <x:c r="U1435" s="20"/>
      <x:c r="V1435" s="20"/>
      <x:c r="W1435" s="20"/>
      <x:c r="X1435" s="20"/>
      <x:c r="Y1435" s="21"/>
    </x:row>
    <x:row r="1436">
      <x:c r="A1436" s="19"/>
      <x:c r="B1436" s="27"/>
      <x:c r="C1436" s="20"/>
      <x:c r="D1436" s="28"/>
      <x:c r="E1436" s="20"/>
      <x:c r="F1436" s="25"/>
      <x:c r="G1436" s="20"/>
      <x:c r="H1436" s="20"/>
      <x:c r="I1436" s="20"/>
      <x:c r="J1436" s="20"/>
      <x:c r="K1436" s="20"/>
      <x:c r="L1436" s="20"/>
      <x:c r="M1436" s="20"/>
      <x:c r="N1436" s="20"/>
      <x:c r="O1436" s="20"/>
      <x:c r="P1436" s="20"/>
      <x:c r="Q1436" s="20"/>
      <x:c r="R1436" s="20"/>
      <x:c r="S1436" s="20"/>
      <x:c r="T1436" s="20"/>
      <x:c r="U1436" s="20"/>
      <x:c r="V1436" s="20"/>
      <x:c r="W1436" s="20"/>
      <x:c r="X1436" s="20"/>
      <x:c r="Y1436" s="21"/>
    </x:row>
    <x:row r="1437">
      <x:c r="A1437" s="19"/>
      <x:c r="B1437" s="27"/>
      <x:c r="C1437" s="20"/>
      <x:c r="D1437" s="28"/>
      <x:c r="E1437" s="20"/>
      <x:c r="F1437" s="25"/>
      <x:c r="G1437" s="20"/>
      <x:c r="H1437" s="20"/>
      <x:c r="I1437" s="20"/>
      <x:c r="J1437" s="20"/>
      <x:c r="K1437" s="20"/>
      <x:c r="L1437" s="20"/>
      <x:c r="M1437" s="20"/>
      <x:c r="N1437" s="20"/>
      <x:c r="O1437" s="20"/>
      <x:c r="P1437" s="20"/>
      <x:c r="Q1437" s="20"/>
      <x:c r="R1437" s="20"/>
      <x:c r="S1437" s="20"/>
      <x:c r="T1437" s="20"/>
      <x:c r="U1437" s="20"/>
      <x:c r="V1437" s="20"/>
      <x:c r="W1437" s="20"/>
      <x:c r="X1437" s="20"/>
      <x:c r="Y1437" s="21"/>
    </x:row>
    <x:row r="1438">
      <x:c r="A1438" s="19"/>
      <x:c r="B1438" s="27"/>
      <x:c r="C1438" s="20"/>
      <x:c r="D1438" s="28"/>
      <x:c r="E1438" s="20"/>
      <x:c r="F1438" s="25"/>
      <x:c r="G1438" s="20"/>
      <x:c r="H1438" s="20"/>
      <x:c r="I1438" s="20"/>
      <x:c r="J1438" s="20"/>
      <x:c r="K1438" s="20"/>
      <x:c r="L1438" s="20"/>
      <x:c r="M1438" s="20"/>
      <x:c r="N1438" s="20"/>
      <x:c r="O1438" s="20"/>
      <x:c r="P1438" s="20"/>
      <x:c r="Q1438" s="20"/>
      <x:c r="R1438" s="20"/>
      <x:c r="S1438" s="20"/>
      <x:c r="T1438" s="20"/>
      <x:c r="U1438" s="20"/>
      <x:c r="V1438" s="20"/>
      <x:c r="W1438" s="20"/>
      <x:c r="X1438" s="20"/>
      <x:c r="Y1438" s="21"/>
    </x:row>
    <x:row r="1439">
      <x:c r="A1439" s="19"/>
      <x:c r="B1439" s="27"/>
      <x:c r="C1439" s="20"/>
      <x:c r="D1439" s="28"/>
      <x:c r="E1439" s="20"/>
      <x:c r="F1439" s="25"/>
      <x:c r="G1439" s="20"/>
      <x:c r="H1439" s="20"/>
      <x:c r="I1439" s="20"/>
      <x:c r="J1439" s="20"/>
      <x:c r="K1439" s="20"/>
      <x:c r="L1439" s="20"/>
      <x:c r="M1439" s="20"/>
      <x:c r="N1439" s="20"/>
      <x:c r="O1439" s="20"/>
      <x:c r="P1439" s="20"/>
      <x:c r="Q1439" s="20"/>
      <x:c r="R1439" s="20"/>
      <x:c r="S1439" s="20"/>
      <x:c r="T1439" s="20"/>
      <x:c r="U1439" s="20"/>
      <x:c r="V1439" s="20"/>
      <x:c r="W1439" s="20"/>
      <x:c r="X1439" s="20"/>
      <x:c r="Y1439" s="21"/>
    </x:row>
    <x:row r="1440">
      <x:c r="A1440" s="19"/>
      <x:c r="B1440" s="27"/>
      <x:c r="C1440" s="20"/>
      <x:c r="D1440" s="28"/>
      <x:c r="E1440" s="20"/>
      <x:c r="F1440" s="25"/>
      <x:c r="G1440" s="20"/>
      <x:c r="H1440" s="20"/>
      <x:c r="I1440" s="20"/>
      <x:c r="J1440" s="20"/>
      <x:c r="K1440" s="20"/>
      <x:c r="L1440" s="20"/>
      <x:c r="M1440" s="20"/>
      <x:c r="N1440" s="20"/>
      <x:c r="O1440" s="20"/>
      <x:c r="P1440" s="20"/>
      <x:c r="Q1440" s="20"/>
      <x:c r="R1440" s="20"/>
      <x:c r="S1440" s="20"/>
      <x:c r="T1440" s="20"/>
      <x:c r="U1440" s="20"/>
      <x:c r="V1440" s="20"/>
      <x:c r="W1440" s="20"/>
      <x:c r="X1440" s="20"/>
      <x:c r="Y1440" s="21"/>
    </x:row>
    <x:row r="1441">
      <x:c r="A1441" s="19"/>
      <x:c r="B1441" s="27"/>
      <x:c r="C1441" s="20"/>
      <x:c r="D1441" s="28"/>
      <x:c r="E1441" s="20"/>
      <x:c r="F1441" s="25"/>
      <x:c r="G1441" s="20"/>
      <x:c r="H1441" s="20"/>
      <x:c r="I1441" s="20"/>
      <x:c r="J1441" s="20"/>
      <x:c r="K1441" s="20"/>
      <x:c r="L1441" s="20"/>
      <x:c r="M1441" s="20"/>
      <x:c r="N1441" s="20"/>
      <x:c r="O1441" s="20"/>
      <x:c r="P1441" s="20"/>
      <x:c r="Q1441" s="20"/>
      <x:c r="R1441" s="20"/>
      <x:c r="S1441" s="20"/>
      <x:c r="T1441" s="20"/>
      <x:c r="U1441" s="20"/>
      <x:c r="V1441" s="20"/>
      <x:c r="W1441" s="20"/>
      <x:c r="X1441" s="20"/>
      <x:c r="Y1441" s="21"/>
    </x:row>
    <x:row r="1442">
      <x:c r="A1442" s="19"/>
      <x:c r="B1442" s="27"/>
      <x:c r="C1442" s="20"/>
      <x:c r="D1442" s="28"/>
      <x:c r="E1442" s="20"/>
      <x:c r="F1442" s="25"/>
      <x:c r="G1442" s="20"/>
      <x:c r="H1442" s="20"/>
      <x:c r="I1442" s="20"/>
      <x:c r="J1442" s="20"/>
      <x:c r="K1442" s="20"/>
      <x:c r="L1442" s="20"/>
      <x:c r="M1442" s="20"/>
      <x:c r="N1442" s="20"/>
      <x:c r="O1442" s="20"/>
      <x:c r="P1442" s="20"/>
      <x:c r="Q1442" s="20"/>
      <x:c r="R1442" s="20"/>
      <x:c r="S1442" s="20"/>
      <x:c r="T1442" s="20"/>
      <x:c r="U1442" s="20"/>
      <x:c r="V1442" s="20"/>
      <x:c r="W1442" s="20"/>
      <x:c r="X1442" s="20"/>
      <x:c r="Y1442" s="21"/>
    </x:row>
    <x:row r="1443">
      <x:c r="A1443" s="19"/>
      <x:c r="B1443" s="27"/>
      <x:c r="C1443" s="20"/>
      <x:c r="D1443" s="28"/>
      <x:c r="E1443" s="20"/>
      <x:c r="F1443" s="25"/>
      <x:c r="G1443" s="20"/>
      <x:c r="H1443" s="20"/>
      <x:c r="I1443" s="20"/>
      <x:c r="J1443" s="20"/>
      <x:c r="K1443" s="20"/>
      <x:c r="L1443" s="20"/>
      <x:c r="M1443" s="20"/>
      <x:c r="N1443" s="20"/>
      <x:c r="O1443" s="20"/>
      <x:c r="P1443" s="20"/>
      <x:c r="Q1443" s="20"/>
      <x:c r="R1443" s="20"/>
      <x:c r="S1443" s="20"/>
      <x:c r="T1443" s="20"/>
      <x:c r="U1443" s="20"/>
      <x:c r="V1443" s="20"/>
      <x:c r="W1443" s="20"/>
      <x:c r="X1443" s="20"/>
      <x:c r="Y1443" s="21"/>
    </x:row>
    <x:row r="1444">
      <x:c r="A1444" s="19"/>
      <x:c r="B1444" s="27"/>
      <x:c r="C1444" s="20"/>
      <x:c r="D1444" s="28"/>
      <x:c r="E1444" s="20"/>
      <x:c r="F1444" s="25"/>
      <x:c r="G1444" s="20"/>
      <x:c r="H1444" s="20"/>
      <x:c r="I1444" s="20"/>
      <x:c r="J1444" s="20"/>
      <x:c r="K1444" s="20"/>
      <x:c r="L1444" s="20"/>
      <x:c r="M1444" s="20"/>
      <x:c r="N1444" s="20"/>
      <x:c r="O1444" s="20"/>
      <x:c r="P1444" s="20"/>
      <x:c r="Q1444" s="20"/>
      <x:c r="R1444" s="20"/>
      <x:c r="S1444" s="20"/>
      <x:c r="T1444" s="20"/>
      <x:c r="U1444" s="20"/>
      <x:c r="V1444" s="20"/>
      <x:c r="W1444" s="20"/>
      <x:c r="X1444" s="20"/>
      <x:c r="Y1444" s="21"/>
    </x:row>
    <x:row r="1445">
      <x:c r="A1445" s="19"/>
      <x:c r="B1445" s="27"/>
      <x:c r="C1445" s="20"/>
      <x:c r="D1445" s="28"/>
      <x:c r="E1445" s="20"/>
      <x:c r="F1445" s="25"/>
      <x:c r="G1445" s="20"/>
      <x:c r="H1445" s="20"/>
      <x:c r="I1445" s="20"/>
      <x:c r="J1445" s="20"/>
      <x:c r="K1445" s="20"/>
      <x:c r="L1445" s="20"/>
      <x:c r="M1445" s="20"/>
      <x:c r="N1445" s="20"/>
      <x:c r="O1445" s="20"/>
      <x:c r="P1445" s="20"/>
      <x:c r="Q1445" s="20"/>
      <x:c r="R1445" s="20"/>
      <x:c r="S1445" s="20"/>
      <x:c r="T1445" s="20"/>
      <x:c r="U1445" s="20"/>
      <x:c r="V1445" s="20"/>
      <x:c r="W1445" s="20"/>
      <x:c r="X1445" s="20"/>
      <x:c r="Y1445" s="21"/>
    </x:row>
    <x:row r="1446">
      <x:c r="A1446" s="19"/>
      <x:c r="B1446" s="27"/>
      <x:c r="C1446" s="20"/>
      <x:c r="D1446" s="28"/>
      <x:c r="E1446" s="20"/>
      <x:c r="F1446" s="25"/>
      <x:c r="G1446" s="20"/>
      <x:c r="H1446" s="20"/>
      <x:c r="I1446" s="20"/>
      <x:c r="J1446" s="20"/>
      <x:c r="K1446" s="20"/>
      <x:c r="L1446" s="20"/>
      <x:c r="M1446" s="20"/>
      <x:c r="N1446" s="20"/>
      <x:c r="O1446" s="20"/>
      <x:c r="P1446" s="20"/>
      <x:c r="Q1446" s="20"/>
      <x:c r="R1446" s="20"/>
      <x:c r="S1446" s="20"/>
      <x:c r="T1446" s="20"/>
      <x:c r="U1446" s="20"/>
      <x:c r="V1446" s="20"/>
      <x:c r="W1446" s="20"/>
      <x:c r="X1446" s="20"/>
      <x:c r="Y1446" s="21"/>
    </x:row>
    <x:row r="1447">
      <x:c r="A1447" s="19"/>
      <x:c r="B1447" s="27"/>
      <x:c r="C1447" s="20"/>
      <x:c r="D1447" s="28"/>
      <x:c r="E1447" s="20"/>
      <x:c r="F1447" s="25"/>
      <x:c r="G1447" s="20"/>
      <x:c r="H1447" s="20"/>
      <x:c r="I1447" s="20"/>
      <x:c r="J1447" s="20"/>
      <x:c r="K1447" s="20"/>
      <x:c r="L1447" s="20"/>
      <x:c r="M1447" s="20"/>
      <x:c r="N1447" s="20"/>
      <x:c r="O1447" s="20"/>
      <x:c r="P1447" s="20"/>
      <x:c r="Q1447" s="20"/>
      <x:c r="R1447" s="20"/>
      <x:c r="S1447" s="20"/>
      <x:c r="T1447" s="20"/>
      <x:c r="U1447" s="20"/>
      <x:c r="V1447" s="20"/>
      <x:c r="W1447" s="20"/>
      <x:c r="X1447" s="20"/>
      <x:c r="Y1447" s="21"/>
    </x:row>
    <x:row r="1448">
      <x:c r="A1448" s="19"/>
      <x:c r="B1448" s="27"/>
      <x:c r="C1448" s="20"/>
      <x:c r="D1448" s="28"/>
      <x:c r="E1448" s="20"/>
      <x:c r="F1448" s="25"/>
      <x:c r="G1448" s="20"/>
      <x:c r="H1448" s="20"/>
      <x:c r="I1448" s="20"/>
      <x:c r="J1448" s="20"/>
      <x:c r="K1448" s="20"/>
      <x:c r="L1448" s="20"/>
      <x:c r="M1448" s="20"/>
      <x:c r="N1448" s="20"/>
      <x:c r="O1448" s="20"/>
      <x:c r="P1448" s="20"/>
      <x:c r="Q1448" s="20"/>
      <x:c r="R1448" s="20"/>
      <x:c r="S1448" s="20"/>
      <x:c r="T1448" s="20"/>
      <x:c r="U1448" s="20"/>
      <x:c r="V1448" s="20"/>
      <x:c r="W1448" s="20"/>
      <x:c r="X1448" s="20"/>
      <x:c r="Y1448" s="21"/>
    </x:row>
    <x:row r="1449">
      <x:c r="A1449" s="19"/>
      <x:c r="B1449" s="27"/>
      <x:c r="C1449" s="20"/>
      <x:c r="D1449" s="28"/>
      <x:c r="E1449" s="20"/>
      <x:c r="F1449" s="25"/>
      <x:c r="G1449" s="20"/>
      <x:c r="H1449" s="20"/>
      <x:c r="I1449" s="20"/>
      <x:c r="J1449" s="20"/>
      <x:c r="K1449" s="20"/>
      <x:c r="L1449" s="20"/>
      <x:c r="M1449" s="20"/>
      <x:c r="N1449" s="20"/>
      <x:c r="O1449" s="20"/>
      <x:c r="P1449" s="20"/>
      <x:c r="Q1449" s="20"/>
      <x:c r="R1449" s="20"/>
      <x:c r="S1449" s="20"/>
      <x:c r="T1449" s="20"/>
      <x:c r="U1449" s="20"/>
      <x:c r="V1449" s="20"/>
      <x:c r="W1449" s="20"/>
      <x:c r="X1449" s="20"/>
      <x:c r="Y1449" s="21"/>
    </x:row>
    <x:row r="1450">
      <x:c r="A1450" s="19"/>
      <x:c r="B1450" s="27"/>
      <x:c r="C1450" s="20"/>
      <x:c r="D1450" s="28"/>
      <x:c r="E1450" s="20"/>
      <x:c r="F1450" s="25"/>
      <x:c r="G1450" s="20"/>
      <x:c r="H1450" s="20"/>
      <x:c r="I1450" s="20"/>
      <x:c r="J1450" s="20"/>
      <x:c r="K1450" s="20"/>
      <x:c r="L1450" s="20"/>
      <x:c r="M1450" s="20"/>
      <x:c r="N1450" s="20"/>
      <x:c r="O1450" s="20"/>
      <x:c r="P1450" s="20"/>
      <x:c r="Q1450" s="20"/>
      <x:c r="R1450" s="20"/>
      <x:c r="S1450" s="20"/>
      <x:c r="T1450" s="20"/>
      <x:c r="U1450" s="20"/>
      <x:c r="V1450" s="20"/>
      <x:c r="W1450" s="20"/>
      <x:c r="X1450" s="20"/>
      <x:c r="Y1450" s="21"/>
    </x:row>
    <x:row r="1451">
      <x:c r="A1451" s="19"/>
      <x:c r="B1451" s="27"/>
      <x:c r="C1451" s="20"/>
      <x:c r="D1451" s="28"/>
      <x:c r="E1451" s="20"/>
      <x:c r="F1451" s="25"/>
      <x:c r="G1451" s="20"/>
      <x:c r="H1451" s="20"/>
      <x:c r="I1451" s="20"/>
      <x:c r="J1451" s="20"/>
      <x:c r="K1451" s="20"/>
      <x:c r="L1451" s="20"/>
      <x:c r="M1451" s="20"/>
      <x:c r="N1451" s="20"/>
      <x:c r="O1451" s="20"/>
      <x:c r="P1451" s="20"/>
      <x:c r="Q1451" s="20"/>
      <x:c r="R1451" s="20"/>
      <x:c r="S1451" s="20"/>
      <x:c r="T1451" s="20"/>
      <x:c r="U1451" s="20"/>
      <x:c r="V1451" s="20"/>
      <x:c r="W1451" s="20"/>
      <x:c r="X1451" s="20"/>
      <x:c r="Y1451" s="21"/>
    </x:row>
    <x:row r="1452">
      <x:c r="A1452" s="19"/>
      <x:c r="B1452" s="27"/>
      <x:c r="C1452" s="20"/>
      <x:c r="D1452" s="28"/>
      <x:c r="E1452" s="20"/>
      <x:c r="F1452" s="25"/>
      <x:c r="G1452" s="20"/>
      <x:c r="H1452" s="20"/>
      <x:c r="I1452" s="20"/>
      <x:c r="J1452" s="20"/>
      <x:c r="K1452" s="20"/>
      <x:c r="L1452" s="20"/>
      <x:c r="M1452" s="20"/>
      <x:c r="N1452" s="20"/>
      <x:c r="O1452" s="20"/>
      <x:c r="P1452" s="20"/>
      <x:c r="Q1452" s="20"/>
      <x:c r="R1452" s="20"/>
      <x:c r="S1452" s="20"/>
      <x:c r="T1452" s="20"/>
      <x:c r="U1452" s="20"/>
      <x:c r="V1452" s="20"/>
      <x:c r="W1452" s="20"/>
      <x:c r="X1452" s="20"/>
      <x:c r="Y1452" s="21"/>
    </x:row>
    <x:row r="1453">
      <x:c r="A1453" s="19"/>
      <x:c r="B1453" s="27"/>
      <x:c r="C1453" s="20"/>
      <x:c r="D1453" s="28"/>
      <x:c r="E1453" s="20"/>
      <x:c r="F1453" s="25"/>
      <x:c r="G1453" s="20"/>
      <x:c r="H1453" s="20"/>
      <x:c r="I1453" s="20"/>
      <x:c r="J1453" s="20"/>
      <x:c r="K1453" s="20"/>
      <x:c r="L1453" s="20"/>
      <x:c r="M1453" s="20"/>
      <x:c r="N1453" s="20"/>
      <x:c r="O1453" s="20"/>
      <x:c r="P1453" s="20"/>
      <x:c r="Q1453" s="20"/>
      <x:c r="R1453" s="20"/>
      <x:c r="S1453" s="20"/>
      <x:c r="T1453" s="20"/>
      <x:c r="U1453" s="20"/>
      <x:c r="V1453" s="20"/>
      <x:c r="W1453" s="20"/>
      <x:c r="X1453" s="20"/>
      <x:c r="Y1453" s="21"/>
    </x:row>
    <x:row r="1454">
      <x:c r="A1454" s="19"/>
      <x:c r="B1454" s="27"/>
      <x:c r="C1454" s="20"/>
      <x:c r="D1454" s="28"/>
      <x:c r="E1454" s="20"/>
      <x:c r="F1454" s="25"/>
      <x:c r="G1454" s="20"/>
      <x:c r="H1454" s="20"/>
      <x:c r="I1454" s="20"/>
      <x:c r="J1454" s="20"/>
      <x:c r="K1454" s="20"/>
      <x:c r="L1454" s="20"/>
      <x:c r="M1454" s="20"/>
      <x:c r="N1454" s="20"/>
      <x:c r="O1454" s="20"/>
      <x:c r="P1454" s="20"/>
      <x:c r="Q1454" s="20"/>
      <x:c r="R1454" s="20"/>
      <x:c r="S1454" s="20"/>
      <x:c r="T1454" s="20"/>
      <x:c r="U1454" s="20"/>
      <x:c r="V1454" s="20"/>
      <x:c r="W1454" s="20"/>
      <x:c r="X1454" s="20"/>
      <x:c r="Y1454" s="21"/>
    </x:row>
    <x:row r="1455">
      <x:c r="A1455" s="19"/>
      <x:c r="B1455" s="27"/>
      <x:c r="C1455" s="20"/>
      <x:c r="D1455" s="28"/>
      <x:c r="E1455" s="20"/>
      <x:c r="F1455" s="25"/>
      <x:c r="G1455" s="20"/>
      <x:c r="H1455" s="20"/>
      <x:c r="I1455" s="20"/>
      <x:c r="J1455" s="20"/>
      <x:c r="K1455" s="20"/>
      <x:c r="L1455" s="20"/>
      <x:c r="M1455" s="20"/>
      <x:c r="N1455" s="20"/>
      <x:c r="O1455" s="20"/>
      <x:c r="P1455" s="20"/>
      <x:c r="Q1455" s="20"/>
      <x:c r="R1455" s="20"/>
      <x:c r="S1455" s="20"/>
      <x:c r="T1455" s="20"/>
      <x:c r="U1455" s="20"/>
      <x:c r="V1455" s="20"/>
      <x:c r="W1455" s="20"/>
      <x:c r="X1455" s="20"/>
      <x:c r="Y1455" s="21"/>
    </x:row>
    <x:row r="1456">
      <x:c r="A1456" s="19"/>
      <x:c r="B1456" s="27"/>
      <x:c r="C1456" s="20"/>
      <x:c r="D1456" s="28"/>
      <x:c r="E1456" s="20"/>
      <x:c r="F1456" s="25"/>
      <x:c r="G1456" s="20"/>
      <x:c r="H1456" s="20"/>
      <x:c r="I1456" s="20"/>
      <x:c r="J1456" s="20"/>
      <x:c r="K1456" s="20"/>
      <x:c r="L1456" s="20"/>
      <x:c r="M1456" s="20"/>
      <x:c r="N1456" s="20"/>
      <x:c r="O1456" s="20"/>
      <x:c r="P1456" s="20"/>
      <x:c r="Q1456" s="20"/>
      <x:c r="R1456" s="20"/>
      <x:c r="S1456" s="20"/>
      <x:c r="T1456" s="20"/>
      <x:c r="U1456" s="20"/>
      <x:c r="V1456" s="20"/>
      <x:c r="W1456" s="20"/>
      <x:c r="X1456" s="20"/>
      <x:c r="Y1456" s="21"/>
    </x:row>
    <x:row r="1457">
      <x:c r="A1457" s="19"/>
      <x:c r="B1457" s="27"/>
      <x:c r="C1457" s="20"/>
      <x:c r="D1457" s="28"/>
      <x:c r="E1457" s="20"/>
      <x:c r="F1457" s="25"/>
      <x:c r="G1457" s="20"/>
      <x:c r="H1457" s="20"/>
      <x:c r="I1457" s="20"/>
      <x:c r="J1457" s="20"/>
      <x:c r="K1457" s="20"/>
      <x:c r="L1457" s="20"/>
      <x:c r="M1457" s="20"/>
      <x:c r="N1457" s="20"/>
      <x:c r="O1457" s="20"/>
      <x:c r="P1457" s="20"/>
      <x:c r="Q1457" s="20"/>
      <x:c r="R1457" s="20"/>
      <x:c r="S1457" s="20"/>
      <x:c r="T1457" s="20"/>
      <x:c r="U1457" s="20"/>
      <x:c r="V1457" s="20"/>
      <x:c r="W1457" s="20"/>
      <x:c r="X1457" s="20"/>
      <x:c r="Y1457" s="21"/>
    </x:row>
    <x:row r="1458">
      <x:c r="A1458" s="19"/>
      <x:c r="B1458" s="27"/>
      <x:c r="C1458" s="20"/>
      <x:c r="D1458" s="28"/>
      <x:c r="E1458" s="20"/>
      <x:c r="F1458" s="25"/>
      <x:c r="G1458" s="20"/>
      <x:c r="H1458" s="20"/>
      <x:c r="I1458" s="20"/>
      <x:c r="J1458" s="20"/>
      <x:c r="K1458" s="20"/>
      <x:c r="L1458" s="20"/>
      <x:c r="M1458" s="20"/>
      <x:c r="N1458" s="20"/>
      <x:c r="O1458" s="20"/>
      <x:c r="P1458" s="20"/>
      <x:c r="Q1458" s="20"/>
      <x:c r="R1458" s="20"/>
      <x:c r="S1458" s="20"/>
      <x:c r="T1458" s="20"/>
      <x:c r="U1458" s="20"/>
      <x:c r="V1458" s="20"/>
      <x:c r="W1458" s="20"/>
      <x:c r="X1458" s="20"/>
      <x:c r="Y1458" s="21"/>
    </x:row>
    <x:row r="1459">
      <x:c r="A1459" s="19"/>
      <x:c r="B1459" s="27"/>
      <x:c r="C1459" s="20"/>
      <x:c r="D1459" s="28"/>
      <x:c r="E1459" s="20"/>
      <x:c r="F1459" s="25"/>
      <x:c r="G1459" s="20"/>
      <x:c r="H1459" s="20"/>
      <x:c r="I1459" s="20"/>
      <x:c r="J1459" s="20"/>
      <x:c r="K1459" s="20"/>
      <x:c r="L1459" s="20"/>
      <x:c r="M1459" s="20"/>
      <x:c r="N1459" s="20"/>
      <x:c r="O1459" s="20"/>
      <x:c r="P1459" s="20"/>
      <x:c r="Q1459" s="20"/>
      <x:c r="R1459" s="20"/>
      <x:c r="S1459" s="20"/>
      <x:c r="T1459" s="20"/>
      <x:c r="U1459" s="20"/>
      <x:c r="V1459" s="20"/>
      <x:c r="W1459" s="20"/>
      <x:c r="X1459" s="20"/>
      <x:c r="Y1459" s="21"/>
    </x:row>
    <x:row r="1460">
      <x:c r="A1460" s="19"/>
      <x:c r="B1460" s="27"/>
      <x:c r="C1460" s="20"/>
      <x:c r="D1460" s="28"/>
      <x:c r="E1460" s="20"/>
      <x:c r="F1460" s="25"/>
      <x:c r="G1460" s="20"/>
      <x:c r="H1460" s="20"/>
      <x:c r="I1460" s="20"/>
      <x:c r="J1460" s="20"/>
      <x:c r="K1460" s="20"/>
      <x:c r="L1460" s="20"/>
      <x:c r="M1460" s="20"/>
      <x:c r="N1460" s="20"/>
      <x:c r="O1460" s="20"/>
      <x:c r="P1460" s="20"/>
      <x:c r="Q1460" s="20"/>
      <x:c r="R1460" s="20"/>
      <x:c r="S1460" s="20"/>
      <x:c r="T1460" s="20"/>
      <x:c r="U1460" s="20"/>
      <x:c r="V1460" s="20"/>
      <x:c r="W1460" s="20"/>
      <x:c r="X1460" s="20"/>
      <x:c r="Y1460" s="21"/>
    </x:row>
    <x:row r="1461">
      <x:c r="A1461" s="19"/>
      <x:c r="B1461" s="27"/>
      <x:c r="C1461" s="20"/>
      <x:c r="D1461" s="28"/>
      <x:c r="E1461" s="20"/>
      <x:c r="F1461" s="25"/>
      <x:c r="G1461" s="20"/>
      <x:c r="H1461" s="20"/>
      <x:c r="I1461" s="20"/>
      <x:c r="J1461" s="20"/>
      <x:c r="K1461" s="20"/>
      <x:c r="L1461" s="20"/>
      <x:c r="M1461" s="20"/>
      <x:c r="N1461" s="20"/>
      <x:c r="O1461" s="20"/>
      <x:c r="P1461" s="20"/>
      <x:c r="Q1461" s="20"/>
      <x:c r="R1461" s="20"/>
      <x:c r="S1461" s="20"/>
      <x:c r="T1461" s="20"/>
      <x:c r="U1461" s="20"/>
      <x:c r="V1461" s="20"/>
      <x:c r="W1461" s="20"/>
      <x:c r="X1461" s="20"/>
      <x:c r="Y1461" s="21"/>
    </x:row>
    <x:row r="1462">
      <x:c r="A1462" s="19"/>
      <x:c r="B1462" s="27"/>
      <x:c r="C1462" s="20"/>
      <x:c r="D1462" s="28"/>
      <x:c r="E1462" s="20"/>
      <x:c r="F1462" s="25"/>
      <x:c r="G1462" s="20"/>
      <x:c r="H1462" s="20"/>
      <x:c r="I1462" s="20"/>
      <x:c r="J1462" s="20"/>
      <x:c r="K1462" s="20"/>
      <x:c r="L1462" s="20"/>
      <x:c r="M1462" s="20"/>
      <x:c r="N1462" s="20"/>
      <x:c r="O1462" s="20"/>
      <x:c r="P1462" s="20"/>
      <x:c r="Q1462" s="20"/>
      <x:c r="R1462" s="20"/>
      <x:c r="S1462" s="20"/>
      <x:c r="T1462" s="20"/>
      <x:c r="U1462" s="20"/>
      <x:c r="V1462" s="20"/>
      <x:c r="W1462" s="20"/>
      <x:c r="X1462" s="20"/>
      <x:c r="Y1462" s="21"/>
    </x:row>
    <x:row r="1463">
      <x:c r="A1463" s="19"/>
      <x:c r="B1463" s="27"/>
      <x:c r="C1463" s="20"/>
      <x:c r="D1463" s="28"/>
      <x:c r="E1463" s="20"/>
      <x:c r="F1463" s="25"/>
      <x:c r="G1463" s="20"/>
      <x:c r="H1463" s="20"/>
      <x:c r="I1463" s="20"/>
      <x:c r="J1463" s="20"/>
      <x:c r="K1463" s="20"/>
      <x:c r="L1463" s="20"/>
      <x:c r="M1463" s="20"/>
      <x:c r="N1463" s="20"/>
      <x:c r="O1463" s="20"/>
      <x:c r="P1463" s="20"/>
      <x:c r="Q1463" s="20"/>
      <x:c r="R1463" s="20"/>
      <x:c r="S1463" s="20"/>
      <x:c r="T1463" s="20"/>
      <x:c r="U1463" s="20"/>
      <x:c r="V1463" s="20"/>
      <x:c r="W1463" s="20"/>
      <x:c r="X1463" s="20"/>
      <x:c r="Y1463" s="21"/>
    </x:row>
    <x:row r="1464">
      <x:c r="A1464" s="19"/>
      <x:c r="B1464" s="27"/>
      <x:c r="C1464" s="20"/>
      <x:c r="D1464" s="28"/>
      <x:c r="E1464" s="20"/>
      <x:c r="F1464" s="25"/>
      <x:c r="G1464" s="20"/>
      <x:c r="H1464" s="20"/>
      <x:c r="I1464" s="20"/>
      <x:c r="J1464" s="20"/>
      <x:c r="K1464" s="20"/>
      <x:c r="L1464" s="20"/>
      <x:c r="M1464" s="20"/>
      <x:c r="N1464" s="20"/>
      <x:c r="O1464" s="20"/>
      <x:c r="P1464" s="20"/>
      <x:c r="Q1464" s="20"/>
      <x:c r="R1464" s="20"/>
      <x:c r="S1464" s="20"/>
      <x:c r="T1464" s="20"/>
      <x:c r="U1464" s="20"/>
      <x:c r="V1464" s="20"/>
      <x:c r="W1464" s="20"/>
      <x:c r="X1464" s="20"/>
      <x:c r="Y1464" s="21"/>
    </x:row>
    <x:row r="1465">
      <x:c r="A1465" s="19"/>
      <x:c r="B1465" s="27"/>
      <x:c r="C1465" s="20"/>
      <x:c r="D1465" s="28"/>
      <x:c r="E1465" s="20"/>
      <x:c r="F1465" s="25"/>
      <x:c r="G1465" s="20"/>
      <x:c r="H1465" s="20"/>
      <x:c r="I1465" s="20"/>
      <x:c r="J1465" s="20"/>
      <x:c r="K1465" s="20"/>
      <x:c r="L1465" s="20"/>
      <x:c r="M1465" s="20"/>
      <x:c r="N1465" s="20"/>
      <x:c r="O1465" s="20"/>
      <x:c r="P1465" s="20"/>
      <x:c r="Q1465" s="20"/>
      <x:c r="R1465" s="20"/>
      <x:c r="S1465" s="20"/>
      <x:c r="T1465" s="20"/>
      <x:c r="U1465" s="20"/>
      <x:c r="V1465" s="20"/>
      <x:c r="W1465" s="20"/>
      <x:c r="X1465" s="20"/>
      <x:c r="Y1465" s="21"/>
    </x:row>
    <x:row r="1466">
      <x:c r="A1466" s="19"/>
      <x:c r="B1466" s="27"/>
      <x:c r="C1466" s="20"/>
      <x:c r="D1466" s="28"/>
      <x:c r="E1466" s="20"/>
      <x:c r="F1466" s="25"/>
      <x:c r="G1466" s="20"/>
      <x:c r="H1466" s="20"/>
      <x:c r="I1466" s="20"/>
      <x:c r="J1466" s="20"/>
      <x:c r="K1466" s="20"/>
      <x:c r="L1466" s="20"/>
      <x:c r="M1466" s="20"/>
      <x:c r="N1466" s="20"/>
      <x:c r="O1466" s="20"/>
      <x:c r="P1466" s="20"/>
      <x:c r="Q1466" s="20"/>
      <x:c r="R1466" s="20"/>
      <x:c r="S1466" s="20"/>
      <x:c r="T1466" s="20"/>
      <x:c r="U1466" s="20"/>
      <x:c r="V1466" s="20"/>
      <x:c r="W1466" s="20"/>
      <x:c r="X1466" s="20"/>
      <x:c r="Y1466" s="21"/>
    </x:row>
    <x:row r="1467">
      <x:c r="A1467" s="19"/>
      <x:c r="B1467" s="27"/>
      <x:c r="C1467" s="20"/>
      <x:c r="D1467" s="28"/>
      <x:c r="E1467" s="20"/>
      <x:c r="F1467" s="25"/>
      <x:c r="G1467" s="20"/>
      <x:c r="H1467" s="20"/>
      <x:c r="I1467" s="20"/>
      <x:c r="J1467" s="20"/>
      <x:c r="K1467" s="20"/>
      <x:c r="L1467" s="20"/>
      <x:c r="M1467" s="20"/>
      <x:c r="N1467" s="20"/>
      <x:c r="O1467" s="20"/>
      <x:c r="P1467" s="20"/>
      <x:c r="Q1467" s="20"/>
      <x:c r="R1467" s="20"/>
      <x:c r="S1467" s="20"/>
      <x:c r="T1467" s="20"/>
      <x:c r="U1467" s="20"/>
      <x:c r="V1467" s="20"/>
      <x:c r="W1467" s="20"/>
      <x:c r="X1467" s="20"/>
      <x:c r="Y1467" s="21"/>
    </x:row>
    <x:row r="1468">
      <x:c r="A1468" s="19"/>
      <x:c r="B1468" s="27"/>
      <x:c r="C1468" s="20"/>
      <x:c r="D1468" s="28"/>
      <x:c r="E1468" s="20"/>
      <x:c r="F1468" s="25"/>
      <x:c r="G1468" s="20"/>
      <x:c r="H1468" s="20"/>
      <x:c r="I1468" s="20"/>
      <x:c r="J1468" s="20"/>
      <x:c r="K1468" s="20"/>
      <x:c r="L1468" s="20"/>
      <x:c r="M1468" s="20"/>
      <x:c r="N1468" s="20"/>
      <x:c r="O1468" s="20"/>
      <x:c r="P1468" s="20"/>
      <x:c r="Q1468" s="20"/>
      <x:c r="R1468" s="20"/>
      <x:c r="S1468" s="20"/>
      <x:c r="T1468" s="20"/>
      <x:c r="U1468" s="20"/>
      <x:c r="V1468" s="20"/>
      <x:c r="W1468" s="20"/>
      <x:c r="X1468" s="20"/>
      <x:c r="Y1468" s="21"/>
    </x:row>
    <x:row r="1469">
      <x:c r="A1469" s="19"/>
      <x:c r="B1469" s="27"/>
      <x:c r="C1469" s="20"/>
      <x:c r="D1469" s="28"/>
      <x:c r="E1469" s="20"/>
      <x:c r="F1469" s="25"/>
      <x:c r="G1469" s="20"/>
      <x:c r="H1469" s="20"/>
      <x:c r="I1469" s="20"/>
      <x:c r="J1469" s="20"/>
      <x:c r="K1469" s="20"/>
      <x:c r="L1469" s="20"/>
      <x:c r="M1469" s="20"/>
      <x:c r="N1469" s="20"/>
      <x:c r="O1469" s="20"/>
      <x:c r="P1469" s="20"/>
      <x:c r="Q1469" s="20"/>
      <x:c r="R1469" s="20"/>
      <x:c r="S1469" s="20"/>
      <x:c r="T1469" s="20"/>
      <x:c r="U1469" s="20"/>
      <x:c r="V1469" s="20"/>
      <x:c r="W1469" s="20"/>
      <x:c r="X1469" s="20"/>
      <x:c r="Y1469" s="21"/>
    </x:row>
    <x:row r="1470">
      <x:c r="A1470" s="19"/>
      <x:c r="B1470" s="27"/>
      <x:c r="C1470" s="20"/>
      <x:c r="D1470" s="28"/>
      <x:c r="E1470" s="20"/>
      <x:c r="F1470" s="25"/>
      <x:c r="G1470" s="20"/>
      <x:c r="H1470" s="20"/>
      <x:c r="I1470" s="20"/>
      <x:c r="J1470" s="20"/>
      <x:c r="K1470" s="20"/>
      <x:c r="L1470" s="20"/>
      <x:c r="M1470" s="20"/>
      <x:c r="N1470" s="20"/>
      <x:c r="O1470" s="20"/>
      <x:c r="P1470" s="20"/>
      <x:c r="Q1470" s="20"/>
      <x:c r="R1470" s="20"/>
      <x:c r="S1470" s="20"/>
      <x:c r="T1470" s="20"/>
      <x:c r="U1470" s="20"/>
      <x:c r="V1470" s="20"/>
      <x:c r="W1470" s="20"/>
      <x:c r="X1470" s="20"/>
      <x:c r="Y1470" s="21"/>
    </x:row>
    <x:row r="1471">
      <x:c r="A1471" s="19"/>
      <x:c r="B1471" s="27"/>
      <x:c r="C1471" s="20"/>
      <x:c r="D1471" s="28"/>
      <x:c r="E1471" s="20"/>
      <x:c r="F1471" s="25"/>
      <x:c r="G1471" s="20"/>
      <x:c r="H1471" s="20"/>
      <x:c r="I1471" s="20"/>
      <x:c r="J1471" s="20"/>
      <x:c r="K1471" s="20"/>
      <x:c r="L1471" s="20"/>
      <x:c r="M1471" s="20"/>
      <x:c r="N1471" s="20"/>
      <x:c r="O1471" s="20"/>
      <x:c r="P1471" s="20"/>
      <x:c r="Q1471" s="20"/>
      <x:c r="R1471" s="20"/>
      <x:c r="S1471" s="20"/>
      <x:c r="T1471" s="20"/>
      <x:c r="U1471" s="20"/>
      <x:c r="V1471" s="20"/>
      <x:c r="W1471" s="20"/>
      <x:c r="X1471" s="20"/>
      <x:c r="Y1471" s="21"/>
    </x:row>
    <x:row r="1472">
      <x:c r="A1472" s="19"/>
      <x:c r="B1472" s="27"/>
      <x:c r="C1472" s="20"/>
      <x:c r="D1472" s="28"/>
      <x:c r="E1472" s="20"/>
      <x:c r="F1472" s="25"/>
      <x:c r="G1472" s="20"/>
      <x:c r="H1472" s="20"/>
      <x:c r="I1472" s="20"/>
      <x:c r="J1472" s="20"/>
      <x:c r="K1472" s="20"/>
      <x:c r="L1472" s="20"/>
      <x:c r="M1472" s="20"/>
      <x:c r="N1472" s="20"/>
      <x:c r="O1472" s="20"/>
      <x:c r="P1472" s="20"/>
      <x:c r="Q1472" s="20"/>
      <x:c r="R1472" s="20"/>
      <x:c r="S1472" s="20"/>
      <x:c r="T1472" s="20"/>
      <x:c r="U1472" s="20"/>
      <x:c r="V1472" s="20"/>
      <x:c r="W1472" s="20"/>
      <x:c r="X1472" s="20"/>
      <x:c r="Y1472" s="21"/>
    </x:row>
    <x:row r="1473">
      <x:c r="A1473" s="19"/>
      <x:c r="B1473" s="27"/>
      <x:c r="C1473" s="20"/>
      <x:c r="D1473" s="28"/>
      <x:c r="E1473" s="20"/>
      <x:c r="F1473" s="25"/>
      <x:c r="G1473" s="20"/>
      <x:c r="H1473" s="20"/>
      <x:c r="I1473" s="20"/>
      <x:c r="J1473" s="20"/>
      <x:c r="K1473" s="20"/>
      <x:c r="L1473" s="20"/>
      <x:c r="M1473" s="20"/>
      <x:c r="N1473" s="20"/>
      <x:c r="O1473" s="20"/>
      <x:c r="P1473" s="20"/>
      <x:c r="Q1473" s="20"/>
      <x:c r="R1473" s="20"/>
      <x:c r="S1473" s="20"/>
      <x:c r="T1473" s="20"/>
      <x:c r="U1473" s="20"/>
      <x:c r="V1473" s="20"/>
      <x:c r="W1473" s="20"/>
      <x:c r="X1473" s="20"/>
      <x:c r="Y1473" s="21"/>
    </x:row>
    <x:row r="1474">
      <x:c r="A1474" s="19"/>
      <x:c r="B1474" s="27"/>
      <x:c r="C1474" s="20"/>
      <x:c r="D1474" s="28"/>
      <x:c r="E1474" s="20"/>
      <x:c r="F1474" s="25"/>
      <x:c r="G1474" s="20"/>
      <x:c r="H1474" s="20"/>
      <x:c r="I1474" s="20"/>
      <x:c r="J1474" s="20"/>
      <x:c r="K1474" s="20"/>
      <x:c r="L1474" s="20"/>
      <x:c r="M1474" s="20"/>
      <x:c r="N1474" s="20"/>
      <x:c r="O1474" s="20"/>
      <x:c r="P1474" s="20"/>
      <x:c r="Q1474" s="20"/>
      <x:c r="R1474" s="20"/>
      <x:c r="S1474" s="20"/>
      <x:c r="T1474" s="20"/>
      <x:c r="U1474" s="20"/>
      <x:c r="V1474" s="20"/>
      <x:c r="W1474" s="20"/>
      <x:c r="X1474" s="20"/>
      <x:c r="Y1474" s="21"/>
    </x:row>
    <x:row r="1475">
      <x:c r="A1475" s="19"/>
      <x:c r="B1475" s="27"/>
      <x:c r="C1475" s="20"/>
      <x:c r="D1475" s="28"/>
      <x:c r="E1475" s="20"/>
      <x:c r="F1475" s="25"/>
      <x:c r="G1475" s="20"/>
      <x:c r="H1475" s="20"/>
      <x:c r="I1475" s="20"/>
      <x:c r="J1475" s="20"/>
      <x:c r="K1475" s="20"/>
      <x:c r="L1475" s="20"/>
      <x:c r="M1475" s="20"/>
      <x:c r="N1475" s="20"/>
      <x:c r="O1475" s="20"/>
      <x:c r="P1475" s="20"/>
      <x:c r="Q1475" s="20"/>
      <x:c r="R1475" s="20"/>
      <x:c r="S1475" s="20"/>
      <x:c r="T1475" s="20"/>
      <x:c r="U1475" s="20"/>
      <x:c r="V1475" s="20"/>
      <x:c r="W1475" s="20"/>
      <x:c r="X1475" s="20"/>
      <x:c r="Y1475" s="21"/>
    </x:row>
    <x:row r="1476">
      <x:c r="A1476" s="19"/>
      <x:c r="B1476" s="27"/>
      <x:c r="C1476" s="20"/>
      <x:c r="D1476" s="28"/>
      <x:c r="E1476" s="20"/>
      <x:c r="F1476" s="25"/>
      <x:c r="G1476" s="20"/>
      <x:c r="H1476" s="20"/>
      <x:c r="I1476" s="20"/>
      <x:c r="J1476" s="20"/>
      <x:c r="K1476" s="20"/>
      <x:c r="L1476" s="20"/>
      <x:c r="M1476" s="20"/>
      <x:c r="N1476" s="20"/>
      <x:c r="O1476" s="20"/>
      <x:c r="P1476" s="20"/>
      <x:c r="Q1476" s="20"/>
      <x:c r="R1476" s="20"/>
      <x:c r="S1476" s="20"/>
      <x:c r="T1476" s="20"/>
      <x:c r="U1476" s="20"/>
      <x:c r="V1476" s="20"/>
      <x:c r="W1476" s="20"/>
      <x:c r="X1476" s="20"/>
      <x:c r="Y1476" s="21"/>
    </x:row>
    <x:row r="1477">
      <x:c r="A1477" s="19"/>
      <x:c r="B1477" s="27"/>
      <x:c r="C1477" s="20"/>
      <x:c r="D1477" s="28"/>
      <x:c r="E1477" s="20"/>
      <x:c r="F1477" s="25"/>
      <x:c r="G1477" s="20"/>
      <x:c r="H1477" s="20"/>
      <x:c r="I1477" s="20"/>
      <x:c r="J1477" s="20"/>
      <x:c r="K1477" s="20"/>
      <x:c r="L1477" s="20"/>
      <x:c r="M1477" s="20"/>
      <x:c r="N1477" s="20"/>
      <x:c r="O1477" s="20"/>
      <x:c r="P1477" s="20"/>
      <x:c r="Q1477" s="20"/>
      <x:c r="R1477" s="20"/>
      <x:c r="S1477" s="20"/>
      <x:c r="T1477" s="20"/>
      <x:c r="U1477" s="20"/>
      <x:c r="V1477" s="20"/>
      <x:c r="W1477" s="20"/>
      <x:c r="X1477" s="20"/>
      <x:c r="Y1477" s="21"/>
    </x:row>
    <x:row r="1478">
      <x:c r="A1478" s="19"/>
      <x:c r="B1478" s="27"/>
      <x:c r="C1478" s="20"/>
      <x:c r="D1478" s="28"/>
      <x:c r="E1478" s="20"/>
      <x:c r="F1478" s="25"/>
      <x:c r="G1478" s="20"/>
      <x:c r="H1478" s="20"/>
      <x:c r="I1478" s="20"/>
      <x:c r="J1478" s="20"/>
      <x:c r="K1478" s="20"/>
      <x:c r="L1478" s="20"/>
      <x:c r="M1478" s="20"/>
      <x:c r="N1478" s="20"/>
      <x:c r="O1478" s="20"/>
      <x:c r="P1478" s="20"/>
      <x:c r="Q1478" s="20"/>
      <x:c r="R1478" s="20"/>
      <x:c r="S1478" s="20"/>
      <x:c r="T1478" s="20"/>
      <x:c r="U1478" s="20"/>
      <x:c r="V1478" s="20"/>
      <x:c r="W1478" s="20"/>
      <x:c r="X1478" s="20"/>
      <x:c r="Y1478" s="21"/>
    </x:row>
    <x:row r="1479">
      <x:c r="A1479" s="19"/>
      <x:c r="B1479" s="27"/>
      <x:c r="C1479" s="20"/>
      <x:c r="D1479" s="28"/>
      <x:c r="E1479" s="20"/>
      <x:c r="F1479" s="25"/>
      <x:c r="G1479" s="20"/>
      <x:c r="H1479" s="20"/>
      <x:c r="I1479" s="20"/>
      <x:c r="J1479" s="20"/>
      <x:c r="K1479" s="20"/>
      <x:c r="L1479" s="20"/>
      <x:c r="M1479" s="20"/>
      <x:c r="N1479" s="20"/>
      <x:c r="O1479" s="20"/>
      <x:c r="P1479" s="20"/>
      <x:c r="Q1479" s="20"/>
      <x:c r="R1479" s="20"/>
      <x:c r="S1479" s="20"/>
      <x:c r="T1479" s="20"/>
      <x:c r="U1479" s="20"/>
      <x:c r="V1479" s="20"/>
      <x:c r="W1479" s="20"/>
      <x:c r="X1479" s="20"/>
      <x:c r="Y1479" s="21"/>
    </x:row>
    <x:row r="1480">
      <x:c r="A1480" s="19"/>
      <x:c r="B1480" s="27"/>
      <x:c r="C1480" s="20"/>
      <x:c r="D1480" s="28"/>
      <x:c r="E1480" s="20"/>
      <x:c r="F1480" s="25"/>
      <x:c r="G1480" s="20"/>
      <x:c r="H1480" s="20"/>
      <x:c r="I1480" s="20"/>
      <x:c r="J1480" s="20"/>
      <x:c r="K1480" s="20"/>
      <x:c r="L1480" s="20"/>
      <x:c r="M1480" s="20"/>
      <x:c r="N1480" s="20"/>
      <x:c r="O1480" s="20"/>
      <x:c r="P1480" s="20"/>
      <x:c r="Q1480" s="20"/>
      <x:c r="R1480" s="20"/>
      <x:c r="S1480" s="20"/>
      <x:c r="T1480" s="20"/>
      <x:c r="U1480" s="20"/>
      <x:c r="V1480" s="20"/>
      <x:c r="W1480" s="20"/>
      <x:c r="X1480" s="20"/>
      <x:c r="Y1480" s="21"/>
    </x:row>
    <x:row r="1481">
      <x:c r="A1481" s="19"/>
      <x:c r="B1481" s="27"/>
      <x:c r="C1481" s="20"/>
      <x:c r="D1481" s="28"/>
      <x:c r="E1481" s="20"/>
      <x:c r="F1481" s="25"/>
      <x:c r="G1481" s="20"/>
      <x:c r="H1481" s="20"/>
      <x:c r="I1481" s="20"/>
      <x:c r="J1481" s="20"/>
      <x:c r="K1481" s="20"/>
      <x:c r="L1481" s="20"/>
      <x:c r="M1481" s="20"/>
      <x:c r="N1481" s="20"/>
      <x:c r="O1481" s="20"/>
      <x:c r="P1481" s="20"/>
      <x:c r="Q1481" s="20"/>
      <x:c r="R1481" s="20"/>
      <x:c r="S1481" s="20"/>
      <x:c r="T1481" s="20"/>
      <x:c r="U1481" s="20"/>
      <x:c r="V1481" s="20"/>
      <x:c r="W1481" s="20"/>
      <x:c r="X1481" s="20"/>
      <x:c r="Y1481" s="21"/>
    </x:row>
    <x:row r="1482">
      <x:c r="A1482" s="19"/>
      <x:c r="B1482" s="27"/>
      <x:c r="C1482" s="20"/>
      <x:c r="D1482" s="28"/>
      <x:c r="E1482" s="20"/>
      <x:c r="F1482" s="25"/>
      <x:c r="G1482" s="20"/>
      <x:c r="H1482" s="20"/>
      <x:c r="I1482" s="20"/>
      <x:c r="J1482" s="20"/>
      <x:c r="K1482" s="20"/>
      <x:c r="L1482" s="20"/>
      <x:c r="M1482" s="20"/>
      <x:c r="N1482" s="20"/>
      <x:c r="O1482" s="20"/>
      <x:c r="P1482" s="20"/>
      <x:c r="Q1482" s="20"/>
      <x:c r="R1482" s="20"/>
      <x:c r="S1482" s="20"/>
      <x:c r="T1482" s="20"/>
      <x:c r="U1482" s="20"/>
      <x:c r="V1482" s="20"/>
      <x:c r="W1482" s="20"/>
      <x:c r="X1482" s="20"/>
      <x:c r="Y1482" s="21"/>
    </x:row>
    <x:row r="1483">
      <x:c r="A1483" s="19"/>
      <x:c r="B1483" s="27"/>
      <x:c r="C1483" s="20"/>
      <x:c r="D1483" s="28"/>
      <x:c r="E1483" s="20"/>
      <x:c r="F1483" s="25"/>
      <x:c r="G1483" s="20"/>
      <x:c r="H1483" s="20"/>
      <x:c r="I1483" s="20"/>
      <x:c r="J1483" s="20"/>
      <x:c r="K1483" s="20"/>
      <x:c r="L1483" s="20"/>
      <x:c r="M1483" s="20"/>
      <x:c r="N1483" s="20"/>
      <x:c r="O1483" s="20"/>
      <x:c r="P1483" s="20"/>
      <x:c r="Q1483" s="20"/>
      <x:c r="R1483" s="20"/>
      <x:c r="S1483" s="20"/>
      <x:c r="T1483" s="20"/>
      <x:c r="U1483" s="20"/>
      <x:c r="V1483" s="20"/>
      <x:c r="W1483" s="20"/>
      <x:c r="X1483" s="20"/>
      <x:c r="Y1483" s="21"/>
    </x:row>
    <x:row r="1484">
      <x:c r="A1484" s="19"/>
      <x:c r="B1484" s="27"/>
      <x:c r="C1484" s="20"/>
      <x:c r="D1484" s="28"/>
      <x:c r="E1484" s="20"/>
      <x:c r="F1484" s="25"/>
      <x:c r="G1484" s="20"/>
      <x:c r="H1484" s="20"/>
      <x:c r="I1484" s="20"/>
      <x:c r="J1484" s="20"/>
      <x:c r="K1484" s="20"/>
      <x:c r="L1484" s="20"/>
      <x:c r="M1484" s="20"/>
      <x:c r="N1484" s="20"/>
      <x:c r="O1484" s="20"/>
      <x:c r="P1484" s="20"/>
      <x:c r="Q1484" s="20"/>
      <x:c r="R1484" s="20"/>
      <x:c r="S1484" s="20"/>
      <x:c r="T1484" s="20"/>
      <x:c r="U1484" s="20"/>
      <x:c r="V1484" s="20"/>
      <x:c r="W1484" s="20"/>
      <x:c r="X1484" s="20"/>
      <x:c r="Y1484" s="21"/>
    </x:row>
    <x:row r="1485">
      <x:c r="A1485" s="19"/>
      <x:c r="B1485" s="27"/>
      <x:c r="C1485" s="20"/>
      <x:c r="D1485" s="28"/>
      <x:c r="E1485" s="20"/>
      <x:c r="F1485" s="25"/>
      <x:c r="G1485" s="20"/>
      <x:c r="H1485" s="20"/>
      <x:c r="I1485" s="20"/>
      <x:c r="J1485" s="20"/>
      <x:c r="K1485" s="20"/>
      <x:c r="L1485" s="20"/>
      <x:c r="M1485" s="20"/>
      <x:c r="N1485" s="20"/>
      <x:c r="O1485" s="20"/>
      <x:c r="P1485" s="20"/>
      <x:c r="Q1485" s="20"/>
      <x:c r="R1485" s="20"/>
      <x:c r="S1485" s="20"/>
      <x:c r="T1485" s="20"/>
      <x:c r="U1485" s="20"/>
      <x:c r="V1485" s="20"/>
      <x:c r="W1485" s="20"/>
      <x:c r="X1485" s="20"/>
      <x:c r="Y1485" s="21"/>
    </x:row>
    <x:row r="1486">
      <x:c r="A1486" s="19"/>
      <x:c r="B1486" s="27"/>
      <x:c r="C1486" s="20"/>
      <x:c r="D1486" s="28"/>
      <x:c r="E1486" s="20"/>
      <x:c r="F1486" s="25"/>
      <x:c r="G1486" s="20"/>
      <x:c r="H1486" s="20"/>
      <x:c r="I1486" s="20"/>
      <x:c r="J1486" s="20"/>
      <x:c r="K1486" s="20"/>
      <x:c r="L1486" s="20"/>
      <x:c r="M1486" s="20"/>
      <x:c r="N1486" s="20"/>
      <x:c r="O1486" s="20"/>
      <x:c r="P1486" s="20"/>
      <x:c r="Q1486" s="20"/>
      <x:c r="R1486" s="20"/>
      <x:c r="S1486" s="20"/>
      <x:c r="T1486" s="20"/>
      <x:c r="U1486" s="20"/>
      <x:c r="V1486" s="20"/>
      <x:c r="W1486" s="20"/>
      <x:c r="X1486" s="20"/>
      <x:c r="Y1486" s="21"/>
    </x:row>
    <x:row r="1487">
      <x:c r="A1487" s="19"/>
      <x:c r="B1487" s="27"/>
      <x:c r="C1487" s="20"/>
      <x:c r="D1487" s="28"/>
      <x:c r="E1487" s="20"/>
      <x:c r="F1487" s="25"/>
      <x:c r="G1487" s="20"/>
      <x:c r="H1487" s="20"/>
      <x:c r="I1487" s="20"/>
      <x:c r="J1487" s="20"/>
      <x:c r="K1487" s="20"/>
      <x:c r="L1487" s="20"/>
      <x:c r="M1487" s="20"/>
      <x:c r="N1487" s="20"/>
      <x:c r="O1487" s="20"/>
      <x:c r="P1487" s="20"/>
      <x:c r="Q1487" s="20"/>
      <x:c r="R1487" s="20"/>
      <x:c r="S1487" s="20"/>
      <x:c r="T1487" s="20"/>
      <x:c r="U1487" s="20"/>
      <x:c r="V1487" s="20"/>
      <x:c r="W1487" s="20"/>
      <x:c r="X1487" s="20"/>
      <x:c r="Y1487" s="21"/>
    </x:row>
    <x:row r="1488">
      <x:c r="A1488" s="19"/>
      <x:c r="B1488" s="27"/>
      <x:c r="C1488" s="20"/>
      <x:c r="D1488" s="28"/>
      <x:c r="E1488" s="20"/>
      <x:c r="F1488" s="25"/>
      <x:c r="G1488" s="20"/>
      <x:c r="H1488" s="20"/>
      <x:c r="I1488" s="20"/>
      <x:c r="J1488" s="20"/>
      <x:c r="K1488" s="20"/>
      <x:c r="L1488" s="20"/>
      <x:c r="M1488" s="20"/>
      <x:c r="N1488" s="20"/>
      <x:c r="O1488" s="20"/>
      <x:c r="P1488" s="20"/>
      <x:c r="Q1488" s="20"/>
      <x:c r="R1488" s="20"/>
      <x:c r="S1488" s="20"/>
      <x:c r="T1488" s="20"/>
      <x:c r="U1488" s="20"/>
      <x:c r="V1488" s="20"/>
      <x:c r="W1488" s="20"/>
      <x:c r="X1488" s="20"/>
      <x:c r="Y1488" s="21"/>
    </x:row>
    <x:row r="1489">
      <x:c r="A1489" s="19"/>
      <x:c r="B1489" s="27"/>
      <x:c r="C1489" s="20"/>
      <x:c r="D1489" s="28"/>
      <x:c r="E1489" s="20"/>
      <x:c r="F1489" s="25"/>
      <x:c r="G1489" s="20"/>
      <x:c r="H1489" s="20"/>
      <x:c r="I1489" s="20"/>
      <x:c r="J1489" s="20"/>
      <x:c r="K1489" s="20"/>
      <x:c r="L1489" s="20"/>
      <x:c r="M1489" s="20"/>
      <x:c r="N1489" s="20"/>
      <x:c r="O1489" s="20"/>
      <x:c r="P1489" s="20"/>
      <x:c r="Q1489" s="20"/>
      <x:c r="R1489" s="20"/>
      <x:c r="S1489" s="20"/>
      <x:c r="T1489" s="20"/>
      <x:c r="U1489" s="20"/>
      <x:c r="V1489" s="20"/>
      <x:c r="W1489" s="20"/>
      <x:c r="X1489" s="20"/>
      <x:c r="Y1489" s="21"/>
    </x:row>
    <x:row r="1490">
      <x:c r="A1490" s="19"/>
      <x:c r="B1490" s="27"/>
      <x:c r="C1490" s="20"/>
      <x:c r="D1490" s="28"/>
      <x:c r="E1490" s="20"/>
      <x:c r="F1490" s="25"/>
      <x:c r="G1490" s="20"/>
      <x:c r="H1490" s="20"/>
      <x:c r="I1490" s="20"/>
      <x:c r="J1490" s="20"/>
      <x:c r="K1490" s="20"/>
      <x:c r="L1490" s="20"/>
      <x:c r="M1490" s="20"/>
      <x:c r="N1490" s="20"/>
      <x:c r="O1490" s="20"/>
      <x:c r="P1490" s="20"/>
      <x:c r="Q1490" s="20"/>
      <x:c r="R1490" s="20"/>
      <x:c r="S1490" s="20"/>
      <x:c r="T1490" s="20"/>
      <x:c r="U1490" s="20"/>
      <x:c r="V1490" s="20"/>
      <x:c r="W1490" s="20"/>
      <x:c r="X1490" s="20"/>
      <x:c r="Y1490" s="21"/>
    </x:row>
    <x:row r="1491">
      <x:c r="A1491" s="19"/>
      <x:c r="B1491" s="27"/>
      <x:c r="C1491" s="20"/>
      <x:c r="D1491" s="28"/>
      <x:c r="E1491" s="20"/>
      <x:c r="F1491" s="25"/>
      <x:c r="G1491" s="20"/>
      <x:c r="H1491" s="20"/>
      <x:c r="I1491" s="20"/>
      <x:c r="J1491" s="20"/>
      <x:c r="K1491" s="20"/>
      <x:c r="L1491" s="20"/>
      <x:c r="M1491" s="20"/>
      <x:c r="N1491" s="20"/>
      <x:c r="O1491" s="20"/>
      <x:c r="P1491" s="20"/>
      <x:c r="Q1491" s="20"/>
      <x:c r="R1491" s="20"/>
      <x:c r="S1491" s="20"/>
      <x:c r="T1491" s="20"/>
      <x:c r="U1491" s="20"/>
      <x:c r="V1491" s="20"/>
      <x:c r="W1491" s="20"/>
      <x:c r="X1491" s="20"/>
      <x:c r="Y1491" s="21"/>
    </x:row>
    <x:row r="1492">
      <x:c r="A1492" s="19"/>
      <x:c r="B1492" s="27"/>
      <x:c r="C1492" s="20"/>
      <x:c r="D1492" s="28"/>
      <x:c r="E1492" s="20"/>
      <x:c r="F1492" s="25"/>
      <x:c r="G1492" s="20"/>
      <x:c r="H1492" s="20"/>
      <x:c r="I1492" s="20"/>
      <x:c r="J1492" s="20"/>
      <x:c r="K1492" s="20"/>
      <x:c r="L1492" s="20"/>
      <x:c r="M1492" s="20"/>
      <x:c r="N1492" s="20"/>
      <x:c r="O1492" s="20"/>
      <x:c r="P1492" s="20"/>
      <x:c r="Q1492" s="20"/>
      <x:c r="R1492" s="20"/>
      <x:c r="S1492" s="20"/>
      <x:c r="T1492" s="20"/>
      <x:c r="U1492" s="20"/>
      <x:c r="V1492" s="20"/>
      <x:c r="W1492" s="20"/>
      <x:c r="X1492" s="20"/>
      <x:c r="Y1492" s="21"/>
    </x:row>
    <x:row r="1493">
      <x:c r="A1493" s="19"/>
      <x:c r="B1493" s="27"/>
      <x:c r="C1493" s="20"/>
      <x:c r="D1493" s="28"/>
      <x:c r="E1493" s="20"/>
      <x:c r="F1493" s="25"/>
      <x:c r="G1493" s="20"/>
      <x:c r="H1493" s="20"/>
      <x:c r="I1493" s="20"/>
      <x:c r="J1493" s="20"/>
      <x:c r="K1493" s="20"/>
      <x:c r="L1493" s="20"/>
      <x:c r="M1493" s="20"/>
      <x:c r="N1493" s="20"/>
      <x:c r="O1493" s="20"/>
      <x:c r="P1493" s="20"/>
      <x:c r="Q1493" s="20"/>
      <x:c r="R1493" s="20"/>
      <x:c r="S1493" s="20"/>
      <x:c r="T1493" s="20"/>
      <x:c r="U1493" s="20"/>
      <x:c r="V1493" s="20"/>
      <x:c r="W1493" s="20"/>
      <x:c r="X1493" s="20"/>
      <x:c r="Y1493" s="21"/>
    </x:row>
    <x:row r="1494">
      <x:c r="A1494" s="19"/>
      <x:c r="B1494" s="27"/>
      <x:c r="C1494" s="20"/>
      <x:c r="D1494" s="28"/>
      <x:c r="E1494" s="20"/>
      <x:c r="F1494" s="25"/>
      <x:c r="G1494" s="20"/>
      <x:c r="H1494" s="20"/>
      <x:c r="I1494" s="20"/>
      <x:c r="J1494" s="20"/>
      <x:c r="K1494" s="20"/>
      <x:c r="L1494" s="20"/>
      <x:c r="M1494" s="20"/>
      <x:c r="N1494" s="20"/>
      <x:c r="O1494" s="20"/>
      <x:c r="P1494" s="20"/>
      <x:c r="Q1494" s="20"/>
      <x:c r="R1494" s="20"/>
      <x:c r="S1494" s="20"/>
      <x:c r="T1494" s="20"/>
      <x:c r="U1494" s="20"/>
      <x:c r="V1494" s="20"/>
      <x:c r="W1494" s="20"/>
      <x:c r="X1494" s="20"/>
      <x:c r="Y1494" s="21"/>
    </x:row>
    <x:row r="1495">
      <x:c r="A1495" s="19"/>
      <x:c r="B1495" s="27"/>
      <x:c r="C1495" s="20"/>
      <x:c r="D1495" s="28"/>
      <x:c r="E1495" s="20"/>
      <x:c r="F1495" s="25"/>
      <x:c r="G1495" s="20"/>
      <x:c r="H1495" s="20"/>
      <x:c r="I1495" s="20"/>
      <x:c r="J1495" s="20"/>
      <x:c r="K1495" s="20"/>
      <x:c r="L1495" s="20"/>
      <x:c r="M1495" s="20"/>
      <x:c r="N1495" s="20"/>
      <x:c r="O1495" s="20"/>
      <x:c r="P1495" s="20"/>
      <x:c r="Q1495" s="20"/>
      <x:c r="R1495" s="20"/>
      <x:c r="S1495" s="20"/>
      <x:c r="T1495" s="20"/>
      <x:c r="U1495" s="20"/>
      <x:c r="V1495" s="20"/>
      <x:c r="W1495" s="20"/>
      <x:c r="X1495" s="20"/>
      <x:c r="Y1495" s="21"/>
    </x:row>
    <x:row r="1496">
      <x:c r="A1496" s="19"/>
      <x:c r="B1496" s="27"/>
      <x:c r="C1496" s="20"/>
      <x:c r="D1496" s="28"/>
      <x:c r="E1496" s="20"/>
      <x:c r="F1496" s="25"/>
      <x:c r="G1496" s="20"/>
      <x:c r="H1496" s="20"/>
      <x:c r="I1496" s="20"/>
      <x:c r="J1496" s="20"/>
      <x:c r="K1496" s="20"/>
      <x:c r="L1496" s="20"/>
      <x:c r="M1496" s="20"/>
      <x:c r="N1496" s="20"/>
      <x:c r="O1496" s="20"/>
      <x:c r="P1496" s="20"/>
      <x:c r="Q1496" s="20"/>
      <x:c r="R1496" s="20"/>
      <x:c r="S1496" s="20"/>
      <x:c r="T1496" s="20"/>
      <x:c r="U1496" s="20"/>
      <x:c r="V1496" s="20"/>
      <x:c r="W1496" s="20"/>
      <x:c r="X1496" s="20"/>
      <x:c r="Y1496" s="21"/>
    </x:row>
    <x:row r="1497">
      <x:c r="A1497" s="19"/>
      <x:c r="B1497" s="27"/>
      <x:c r="C1497" s="20"/>
      <x:c r="D1497" s="28"/>
      <x:c r="E1497" s="20"/>
      <x:c r="F1497" s="25"/>
      <x:c r="G1497" s="20"/>
      <x:c r="H1497" s="20"/>
      <x:c r="I1497" s="20"/>
      <x:c r="J1497" s="20"/>
      <x:c r="K1497" s="20"/>
      <x:c r="L1497" s="20"/>
      <x:c r="M1497" s="20"/>
      <x:c r="N1497" s="20"/>
      <x:c r="O1497" s="20"/>
      <x:c r="P1497" s="20"/>
      <x:c r="Q1497" s="20"/>
      <x:c r="R1497" s="20"/>
      <x:c r="S1497" s="20"/>
      <x:c r="T1497" s="20"/>
      <x:c r="U1497" s="20"/>
      <x:c r="V1497" s="20"/>
      <x:c r="W1497" s="20"/>
      <x:c r="X1497" s="20"/>
      <x:c r="Y1497" s="21"/>
    </x:row>
    <x:row r="1498">
      <x:c r="A1498" s="19"/>
      <x:c r="B1498" s="27"/>
      <x:c r="C1498" s="20"/>
      <x:c r="D1498" s="28"/>
      <x:c r="E1498" s="20"/>
      <x:c r="F1498" s="25"/>
      <x:c r="G1498" s="20"/>
      <x:c r="H1498" s="20"/>
      <x:c r="I1498" s="20"/>
      <x:c r="J1498" s="20"/>
      <x:c r="K1498" s="20"/>
      <x:c r="L1498" s="20"/>
      <x:c r="M1498" s="20"/>
      <x:c r="N1498" s="20"/>
      <x:c r="O1498" s="20"/>
      <x:c r="P1498" s="20"/>
      <x:c r="Q1498" s="20"/>
      <x:c r="R1498" s="20"/>
      <x:c r="S1498" s="20"/>
      <x:c r="T1498" s="20"/>
      <x:c r="U1498" s="20"/>
      <x:c r="V1498" s="20"/>
      <x:c r="W1498" s="20"/>
      <x:c r="X1498" s="20"/>
      <x:c r="Y1498" s="21"/>
    </x:row>
    <x:row r="1499">
      <x:c r="A1499" s="19"/>
      <x:c r="B1499" s="27"/>
      <x:c r="C1499" s="20"/>
      <x:c r="D1499" s="28"/>
      <x:c r="E1499" s="20"/>
      <x:c r="F1499" s="25"/>
      <x:c r="G1499" s="20"/>
      <x:c r="H1499" s="20"/>
      <x:c r="I1499" s="20"/>
      <x:c r="J1499" s="20"/>
      <x:c r="K1499" s="20"/>
      <x:c r="L1499" s="20"/>
      <x:c r="M1499" s="20"/>
      <x:c r="N1499" s="20"/>
      <x:c r="O1499" s="20"/>
      <x:c r="P1499" s="20"/>
      <x:c r="Q1499" s="20"/>
      <x:c r="R1499" s="20"/>
      <x:c r="S1499" s="20"/>
      <x:c r="T1499" s="20"/>
      <x:c r="U1499" s="20"/>
      <x:c r="V1499" s="20"/>
      <x:c r="W1499" s="20"/>
      <x:c r="X1499" s="20"/>
      <x:c r="Y1499" s="21"/>
    </x:row>
    <x:row r="1500">
      <x:c r="A1500" s="19"/>
      <x:c r="B1500" s="27"/>
      <x:c r="C1500" s="20"/>
      <x:c r="D1500" s="28"/>
      <x:c r="E1500" s="20"/>
      <x:c r="F1500" s="25"/>
      <x:c r="G1500" s="20"/>
      <x:c r="H1500" s="20"/>
      <x:c r="I1500" s="20"/>
      <x:c r="J1500" s="20"/>
      <x:c r="K1500" s="20"/>
      <x:c r="L1500" s="20"/>
      <x:c r="M1500" s="20"/>
      <x:c r="N1500" s="20"/>
      <x:c r="O1500" s="20"/>
      <x:c r="P1500" s="20"/>
      <x:c r="Q1500" s="20"/>
      <x:c r="R1500" s="20"/>
      <x:c r="S1500" s="20"/>
      <x:c r="T1500" s="20"/>
      <x:c r="U1500" s="20"/>
      <x:c r="V1500" s="20"/>
      <x:c r="W1500" s="20"/>
      <x:c r="X1500" s="20"/>
      <x:c r="Y1500" s="21"/>
    </x:row>
    <x:row r="1501">
      <x:c r="A1501" s="19"/>
      <x:c r="B1501" s="27"/>
      <x:c r="C1501" s="20"/>
      <x:c r="D1501" s="28"/>
      <x:c r="E1501" s="20"/>
      <x:c r="F1501" s="25"/>
      <x:c r="G1501" s="20"/>
      <x:c r="H1501" s="20"/>
      <x:c r="I1501" s="20"/>
      <x:c r="J1501" s="20"/>
      <x:c r="K1501" s="20"/>
      <x:c r="L1501" s="20"/>
      <x:c r="M1501" s="20"/>
      <x:c r="N1501" s="20"/>
      <x:c r="O1501" s="20"/>
      <x:c r="P1501" s="20"/>
      <x:c r="Q1501" s="20"/>
      <x:c r="R1501" s="20"/>
      <x:c r="S1501" s="20"/>
      <x:c r="T1501" s="20"/>
      <x:c r="U1501" s="20"/>
      <x:c r="V1501" s="20"/>
      <x:c r="W1501" s="20"/>
      <x:c r="X1501" s="20"/>
      <x:c r="Y1501" s="21"/>
    </x:row>
    <x:row r="1502">
      <x:c r="A1502" s="19"/>
      <x:c r="B1502" s="27"/>
      <x:c r="C1502" s="20"/>
      <x:c r="D1502" s="28"/>
      <x:c r="E1502" s="20"/>
      <x:c r="F1502" s="25"/>
      <x:c r="G1502" s="20"/>
      <x:c r="H1502" s="20"/>
      <x:c r="I1502" s="20"/>
      <x:c r="J1502" s="20"/>
      <x:c r="K1502" s="20"/>
      <x:c r="L1502" s="20"/>
      <x:c r="M1502" s="20"/>
      <x:c r="N1502" s="20"/>
      <x:c r="O1502" s="20"/>
      <x:c r="P1502" s="20"/>
      <x:c r="Q1502" s="20"/>
      <x:c r="R1502" s="20"/>
      <x:c r="S1502" s="20"/>
      <x:c r="T1502" s="20"/>
      <x:c r="U1502" s="20"/>
      <x:c r="V1502" s="20"/>
      <x:c r="W1502" s="20"/>
      <x:c r="X1502" s="20"/>
      <x:c r="Y1502" s="21"/>
    </x:row>
    <x:row r="1503">
      <x:c r="A1503" s="19"/>
      <x:c r="B1503" s="27"/>
      <x:c r="C1503" s="20"/>
      <x:c r="D1503" s="28"/>
      <x:c r="E1503" s="20"/>
      <x:c r="F1503" s="25"/>
      <x:c r="G1503" s="20"/>
      <x:c r="H1503" s="20"/>
      <x:c r="I1503" s="20"/>
      <x:c r="J1503" s="20"/>
      <x:c r="K1503" s="20"/>
      <x:c r="L1503" s="20"/>
      <x:c r="M1503" s="20"/>
      <x:c r="N1503" s="20"/>
      <x:c r="O1503" s="20"/>
      <x:c r="P1503" s="20"/>
      <x:c r="Q1503" s="20"/>
      <x:c r="R1503" s="20"/>
      <x:c r="S1503" s="20"/>
      <x:c r="T1503" s="20"/>
      <x:c r="U1503" s="20"/>
      <x:c r="V1503" s="20"/>
      <x:c r="W1503" s="20"/>
      <x:c r="X1503" s="20"/>
      <x:c r="Y1503" s="21"/>
    </x:row>
    <x:row r="1504">
      <x:c r="A1504" s="19"/>
      <x:c r="B1504" s="27"/>
      <x:c r="C1504" s="20"/>
      <x:c r="D1504" s="28"/>
      <x:c r="E1504" s="20"/>
      <x:c r="F1504" s="25"/>
      <x:c r="G1504" s="20"/>
      <x:c r="H1504" s="20"/>
      <x:c r="I1504" s="20"/>
      <x:c r="J1504" s="20"/>
      <x:c r="K1504" s="20"/>
      <x:c r="L1504" s="20"/>
      <x:c r="M1504" s="20"/>
      <x:c r="N1504" s="20"/>
      <x:c r="O1504" s="20"/>
      <x:c r="P1504" s="20"/>
      <x:c r="Q1504" s="20"/>
      <x:c r="R1504" s="20"/>
      <x:c r="S1504" s="20"/>
      <x:c r="T1504" s="20"/>
      <x:c r="U1504" s="20"/>
      <x:c r="V1504" s="20"/>
      <x:c r="W1504" s="20"/>
      <x:c r="X1504" s="20"/>
      <x:c r="Y1504" s="21"/>
    </x:row>
    <x:row r="1505">
      <x:c r="A1505" s="19"/>
      <x:c r="B1505" s="27"/>
      <x:c r="C1505" s="20"/>
      <x:c r="D1505" s="28"/>
      <x:c r="E1505" s="20"/>
      <x:c r="F1505" s="25"/>
      <x:c r="G1505" s="20"/>
      <x:c r="H1505" s="20"/>
      <x:c r="I1505" s="20"/>
      <x:c r="J1505" s="20"/>
      <x:c r="K1505" s="20"/>
      <x:c r="L1505" s="20"/>
      <x:c r="M1505" s="20"/>
      <x:c r="N1505" s="20"/>
      <x:c r="O1505" s="20"/>
      <x:c r="P1505" s="20"/>
      <x:c r="Q1505" s="20"/>
      <x:c r="R1505" s="20"/>
      <x:c r="S1505" s="20"/>
      <x:c r="T1505" s="20"/>
      <x:c r="U1505" s="20"/>
      <x:c r="V1505" s="20"/>
      <x:c r="W1505" s="20"/>
      <x:c r="X1505" s="20"/>
      <x:c r="Y1505" s="21"/>
    </x:row>
    <x:row r="1506">
      <x:c r="A1506" s="19"/>
      <x:c r="B1506" s="27"/>
      <x:c r="C1506" s="20"/>
      <x:c r="D1506" s="28"/>
      <x:c r="E1506" s="20"/>
      <x:c r="F1506" s="25"/>
      <x:c r="G1506" s="20"/>
      <x:c r="H1506" s="20"/>
      <x:c r="I1506" s="20"/>
      <x:c r="J1506" s="20"/>
      <x:c r="K1506" s="20"/>
      <x:c r="L1506" s="20"/>
      <x:c r="M1506" s="20"/>
      <x:c r="N1506" s="20"/>
      <x:c r="O1506" s="20"/>
      <x:c r="P1506" s="20"/>
      <x:c r="Q1506" s="20"/>
      <x:c r="R1506" s="20"/>
      <x:c r="S1506" s="20"/>
      <x:c r="T1506" s="20"/>
      <x:c r="U1506" s="20"/>
      <x:c r="V1506" s="20"/>
      <x:c r="W1506" s="20"/>
      <x:c r="X1506" s="20"/>
      <x:c r="Y1506" s="21"/>
    </x:row>
    <x:row r="1507">
      <x:c r="A1507" s="19"/>
      <x:c r="B1507" s="27"/>
      <x:c r="C1507" s="20"/>
      <x:c r="D1507" s="28"/>
      <x:c r="E1507" s="20"/>
      <x:c r="F1507" s="25"/>
      <x:c r="G1507" s="20"/>
      <x:c r="H1507" s="20"/>
      <x:c r="I1507" s="20"/>
      <x:c r="J1507" s="20"/>
      <x:c r="K1507" s="20"/>
      <x:c r="L1507" s="20"/>
      <x:c r="M1507" s="20"/>
      <x:c r="N1507" s="20"/>
      <x:c r="O1507" s="20"/>
      <x:c r="P1507" s="20"/>
      <x:c r="Q1507" s="20"/>
      <x:c r="R1507" s="20"/>
      <x:c r="S1507" s="20"/>
      <x:c r="T1507" s="20"/>
      <x:c r="U1507" s="20"/>
      <x:c r="V1507" s="20"/>
      <x:c r="W1507" s="20"/>
      <x:c r="X1507" s="20"/>
      <x:c r="Y1507" s="21"/>
    </x:row>
    <x:row r="1508">
      <x:c r="A1508" s="19"/>
      <x:c r="B1508" s="27"/>
      <x:c r="C1508" s="20"/>
      <x:c r="D1508" s="28"/>
      <x:c r="E1508" s="20"/>
      <x:c r="F1508" s="25"/>
      <x:c r="G1508" s="20"/>
      <x:c r="H1508" s="20"/>
      <x:c r="I1508" s="20"/>
      <x:c r="J1508" s="20"/>
      <x:c r="K1508" s="20"/>
      <x:c r="L1508" s="20"/>
      <x:c r="M1508" s="20"/>
      <x:c r="N1508" s="20"/>
      <x:c r="O1508" s="20"/>
      <x:c r="P1508" s="20"/>
      <x:c r="Q1508" s="20"/>
      <x:c r="R1508" s="20"/>
      <x:c r="S1508" s="20"/>
      <x:c r="T1508" s="20"/>
      <x:c r="U1508" s="20"/>
      <x:c r="V1508" s="20"/>
      <x:c r="W1508" s="20"/>
      <x:c r="X1508" s="20"/>
      <x:c r="Y1508" s="21"/>
    </x:row>
    <x:row r="1509">
      <x:c r="A1509" s="19"/>
      <x:c r="B1509" s="27"/>
      <x:c r="C1509" s="20"/>
      <x:c r="D1509" s="28"/>
      <x:c r="E1509" s="20"/>
      <x:c r="F1509" s="25"/>
      <x:c r="G1509" s="20"/>
      <x:c r="H1509" s="20"/>
      <x:c r="I1509" s="20"/>
      <x:c r="J1509" s="20"/>
      <x:c r="K1509" s="20"/>
      <x:c r="L1509" s="20"/>
      <x:c r="M1509" s="20"/>
      <x:c r="N1509" s="20"/>
      <x:c r="O1509" s="20"/>
      <x:c r="P1509" s="20"/>
      <x:c r="Q1509" s="20"/>
      <x:c r="R1509" s="20"/>
      <x:c r="S1509" s="20"/>
      <x:c r="T1509" s="20"/>
      <x:c r="U1509" s="20"/>
      <x:c r="V1509" s="20"/>
      <x:c r="W1509" s="20"/>
      <x:c r="X1509" s="20"/>
      <x:c r="Y1509" s="21"/>
    </x:row>
    <x:row r="1510">
      <x:c r="A1510" s="19"/>
      <x:c r="B1510" s="27"/>
      <x:c r="C1510" s="20"/>
      <x:c r="D1510" s="28"/>
      <x:c r="E1510" s="20"/>
      <x:c r="F1510" s="25"/>
      <x:c r="G1510" s="20"/>
      <x:c r="H1510" s="20"/>
      <x:c r="I1510" s="20"/>
      <x:c r="J1510" s="20"/>
      <x:c r="K1510" s="20"/>
      <x:c r="L1510" s="20"/>
      <x:c r="M1510" s="20"/>
      <x:c r="N1510" s="20"/>
      <x:c r="O1510" s="20"/>
      <x:c r="P1510" s="20"/>
      <x:c r="Q1510" s="20"/>
      <x:c r="R1510" s="20"/>
      <x:c r="S1510" s="20"/>
      <x:c r="T1510" s="20"/>
      <x:c r="U1510" s="20"/>
      <x:c r="V1510" s="20"/>
      <x:c r="W1510" s="20"/>
      <x:c r="X1510" s="20"/>
      <x:c r="Y1510" s="21"/>
    </x:row>
    <x:row r="1511">
      <x:c r="A1511" s="19"/>
      <x:c r="B1511" s="27"/>
      <x:c r="C1511" s="20"/>
      <x:c r="D1511" s="28"/>
      <x:c r="E1511" s="20"/>
      <x:c r="F1511" s="25"/>
      <x:c r="G1511" s="20"/>
      <x:c r="H1511" s="20"/>
      <x:c r="I1511" s="20"/>
      <x:c r="J1511" s="20"/>
      <x:c r="K1511" s="20"/>
      <x:c r="L1511" s="20"/>
      <x:c r="M1511" s="20"/>
      <x:c r="N1511" s="20"/>
      <x:c r="O1511" s="20"/>
      <x:c r="P1511" s="20"/>
      <x:c r="Q1511" s="20"/>
      <x:c r="R1511" s="20"/>
      <x:c r="S1511" s="20"/>
      <x:c r="T1511" s="20"/>
      <x:c r="U1511" s="20"/>
      <x:c r="V1511" s="20"/>
      <x:c r="W1511" s="20"/>
      <x:c r="X1511" s="20"/>
      <x:c r="Y1511" s="21"/>
    </x:row>
    <x:row r="1512">
      <x:c r="A1512" s="19"/>
      <x:c r="B1512" s="27"/>
      <x:c r="C1512" s="20"/>
      <x:c r="D1512" s="28"/>
      <x:c r="E1512" s="20"/>
      <x:c r="F1512" s="25"/>
      <x:c r="G1512" s="20"/>
      <x:c r="H1512" s="20"/>
      <x:c r="I1512" s="20"/>
      <x:c r="J1512" s="20"/>
      <x:c r="K1512" s="20"/>
      <x:c r="L1512" s="20"/>
      <x:c r="M1512" s="20"/>
      <x:c r="N1512" s="20"/>
      <x:c r="O1512" s="20"/>
      <x:c r="P1512" s="20"/>
      <x:c r="Q1512" s="20"/>
      <x:c r="R1512" s="20"/>
      <x:c r="S1512" s="20"/>
      <x:c r="T1512" s="20"/>
      <x:c r="U1512" s="20"/>
      <x:c r="V1512" s="20"/>
      <x:c r="W1512" s="20"/>
      <x:c r="X1512" s="20"/>
      <x:c r="Y1512" s="21"/>
    </x:row>
    <x:row r="1513">
      <x:c r="A1513" s="19"/>
      <x:c r="B1513" s="27"/>
      <x:c r="C1513" s="20"/>
      <x:c r="D1513" s="28"/>
      <x:c r="E1513" s="20"/>
      <x:c r="F1513" s="25"/>
      <x:c r="G1513" s="20"/>
      <x:c r="H1513" s="20"/>
      <x:c r="I1513" s="20"/>
      <x:c r="J1513" s="20"/>
      <x:c r="K1513" s="20"/>
      <x:c r="L1513" s="20"/>
      <x:c r="M1513" s="20"/>
      <x:c r="N1513" s="20"/>
      <x:c r="O1513" s="20"/>
      <x:c r="P1513" s="20"/>
      <x:c r="Q1513" s="20"/>
      <x:c r="R1513" s="20"/>
      <x:c r="S1513" s="20"/>
      <x:c r="T1513" s="20"/>
      <x:c r="U1513" s="20"/>
      <x:c r="V1513" s="20"/>
      <x:c r="W1513" s="20"/>
      <x:c r="X1513" s="20"/>
      <x:c r="Y1513" s="21"/>
    </x:row>
    <x:row r="1514">
      <x:c r="A1514" s="19"/>
      <x:c r="B1514" s="27"/>
      <x:c r="C1514" s="20"/>
      <x:c r="D1514" s="28"/>
      <x:c r="E1514" s="20"/>
      <x:c r="F1514" s="25"/>
      <x:c r="G1514" s="20"/>
      <x:c r="H1514" s="20"/>
      <x:c r="I1514" s="20"/>
      <x:c r="J1514" s="20"/>
      <x:c r="K1514" s="20"/>
      <x:c r="L1514" s="20"/>
      <x:c r="M1514" s="20"/>
      <x:c r="N1514" s="20"/>
      <x:c r="O1514" s="20"/>
      <x:c r="P1514" s="20"/>
      <x:c r="Q1514" s="20"/>
      <x:c r="R1514" s="20"/>
      <x:c r="S1514" s="20"/>
      <x:c r="T1514" s="20"/>
      <x:c r="U1514" s="20"/>
      <x:c r="V1514" s="20"/>
      <x:c r="W1514" s="20"/>
      <x:c r="X1514" s="20"/>
      <x:c r="Y1514" s="21"/>
    </x:row>
    <x:row r="1515">
      <x:c r="A1515" s="19"/>
      <x:c r="B1515" s="27"/>
      <x:c r="C1515" s="20"/>
      <x:c r="D1515" s="28"/>
      <x:c r="E1515" s="20"/>
      <x:c r="F1515" s="25"/>
      <x:c r="G1515" s="20"/>
      <x:c r="H1515" s="20"/>
      <x:c r="I1515" s="20"/>
      <x:c r="J1515" s="20"/>
      <x:c r="K1515" s="20"/>
      <x:c r="L1515" s="20"/>
      <x:c r="M1515" s="20"/>
      <x:c r="N1515" s="20"/>
      <x:c r="O1515" s="20"/>
      <x:c r="P1515" s="20"/>
      <x:c r="Q1515" s="20"/>
      <x:c r="R1515" s="20"/>
      <x:c r="S1515" s="20"/>
      <x:c r="T1515" s="20"/>
      <x:c r="U1515" s="20"/>
      <x:c r="V1515" s="20"/>
      <x:c r="W1515" s="20"/>
      <x:c r="X1515" s="20"/>
      <x:c r="Y1515" s="21"/>
    </x:row>
    <x:row r="1516">
      <x:c r="A1516" s="19"/>
      <x:c r="B1516" s="27"/>
      <x:c r="C1516" s="20"/>
      <x:c r="D1516" s="28"/>
      <x:c r="E1516" s="20"/>
      <x:c r="F1516" s="25"/>
      <x:c r="G1516" s="20"/>
      <x:c r="H1516" s="20"/>
      <x:c r="I1516" s="20"/>
      <x:c r="J1516" s="20"/>
      <x:c r="K1516" s="20"/>
      <x:c r="L1516" s="20"/>
      <x:c r="M1516" s="20"/>
      <x:c r="N1516" s="20"/>
      <x:c r="O1516" s="20"/>
      <x:c r="P1516" s="20"/>
      <x:c r="Q1516" s="20"/>
      <x:c r="R1516" s="20"/>
      <x:c r="S1516" s="20"/>
      <x:c r="T1516" s="20"/>
      <x:c r="U1516" s="20"/>
      <x:c r="V1516" s="20"/>
      <x:c r="W1516" s="20"/>
      <x:c r="X1516" s="20"/>
      <x:c r="Y1516" s="21"/>
    </x:row>
    <x:row r="1517">
      <x:c r="A1517" s="19"/>
      <x:c r="B1517" s="27"/>
      <x:c r="C1517" s="20"/>
      <x:c r="D1517" s="28"/>
      <x:c r="E1517" s="20"/>
      <x:c r="F1517" s="25"/>
      <x:c r="G1517" s="20"/>
      <x:c r="H1517" s="20"/>
      <x:c r="I1517" s="20"/>
      <x:c r="J1517" s="20"/>
      <x:c r="K1517" s="20"/>
      <x:c r="L1517" s="20"/>
      <x:c r="M1517" s="20"/>
      <x:c r="N1517" s="20"/>
      <x:c r="O1517" s="20"/>
      <x:c r="P1517" s="20"/>
      <x:c r="Q1517" s="20"/>
      <x:c r="R1517" s="20"/>
      <x:c r="S1517" s="20"/>
      <x:c r="T1517" s="20"/>
      <x:c r="U1517" s="20"/>
      <x:c r="V1517" s="20"/>
      <x:c r="W1517" s="20"/>
      <x:c r="X1517" s="20"/>
      <x:c r="Y1517" s="21"/>
    </x:row>
    <x:row r="1518">
      <x:c r="A1518" s="19"/>
      <x:c r="B1518" s="27"/>
      <x:c r="C1518" s="20"/>
      <x:c r="D1518" s="28"/>
      <x:c r="E1518" s="20"/>
      <x:c r="F1518" s="25"/>
      <x:c r="G1518" s="20"/>
      <x:c r="H1518" s="20"/>
      <x:c r="I1518" s="20"/>
      <x:c r="J1518" s="20"/>
      <x:c r="K1518" s="20"/>
      <x:c r="L1518" s="20"/>
      <x:c r="M1518" s="20"/>
      <x:c r="N1518" s="20"/>
      <x:c r="O1518" s="20"/>
      <x:c r="P1518" s="20"/>
      <x:c r="Q1518" s="20"/>
      <x:c r="R1518" s="20"/>
      <x:c r="S1518" s="20"/>
      <x:c r="T1518" s="20"/>
      <x:c r="U1518" s="20"/>
      <x:c r="V1518" s="20"/>
      <x:c r="W1518" s="20"/>
      <x:c r="X1518" s="20"/>
      <x:c r="Y1518" s="21"/>
    </x:row>
    <x:row r="1519">
      <x:c r="A1519" s="19"/>
      <x:c r="B1519" s="27"/>
      <x:c r="C1519" s="20"/>
      <x:c r="D1519" s="28"/>
      <x:c r="E1519" s="20"/>
      <x:c r="F1519" s="25"/>
      <x:c r="G1519" s="20"/>
      <x:c r="H1519" s="20"/>
      <x:c r="I1519" s="20"/>
      <x:c r="J1519" s="20"/>
      <x:c r="K1519" s="20"/>
      <x:c r="L1519" s="20"/>
      <x:c r="M1519" s="20"/>
      <x:c r="N1519" s="20"/>
      <x:c r="O1519" s="20"/>
      <x:c r="P1519" s="20"/>
      <x:c r="Q1519" s="20"/>
      <x:c r="R1519" s="20"/>
      <x:c r="S1519" s="20"/>
      <x:c r="T1519" s="20"/>
      <x:c r="U1519" s="20"/>
      <x:c r="V1519" s="20"/>
      <x:c r="W1519" s="20"/>
      <x:c r="X1519" s="20"/>
      <x:c r="Y1519" s="21"/>
    </x:row>
    <x:row r="1520">
      <x:c r="A1520" s="19"/>
      <x:c r="B1520" s="27"/>
      <x:c r="C1520" s="20"/>
      <x:c r="D1520" s="28"/>
      <x:c r="E1520" s="20"/>
      <x:c r="F1520" s="25"/>
      <x:c r="G1520" s="20"/>
      <x:c r="H1520" s="20"/>
      <x:c r="I1520" s="20"/>
      <x:c r="J1520" s="20"/>
      <x:c r="K1520" s="20"/>
      <x:c r="L1520" s="20"/>
      <x:c r="M1520" s="20"/>
      <x:c r="N1520" s="20"/>
      <x:c r="O1520" s="20"/>
      <x:c r="P1520" s="20"/>
      <x:c r="Q1520" s="20"/>
      <x:c r="R1520" s="20"/>
      <x:c r="S1520" s="20"/>
      <x:c r="T1520" s="20"/>
      <x:c r="U1520" s="20"/>
      <x:c r="V1520" s="20"/>
      <x:c r="W1520" s="20"/>
      <x:c r="X1520" s="20"/>
      <x:c r="Y1520" s="21"/>
    </x:row>
    <x:row r="1521">
      <x:c r="A1521" s="19"/>
      <x:c r="B1521" s="27"/>
      <x:c r="C1521" s="20"/>
      <x:c r="D1521" s="28"/>
      <x:c r="E1521" s="20"/>
      <x:c r="F1521" s="25"/>
      <x:c r="G1521" s="20"/>
      <x:c r="H1521" s="20"/>
      <x:c r="I1521" s="20"/>
      <x:c r="J1521" s="20"/>
      <x:c r="K1521" s="20"/>
      <x:c r="L1521" s="20"/>
      <x:c r="M1521" s="20"/>
      <x:c r="N1521" s="20"/>
      <x:c r="O1521" s="20"/>
      <x:c r="P1521" s="20"/>
      <x:c r="Q1521" s="20"/>
      <x:c r="R1521" s="20"/>
      <x:c r="S1521" s="20"/>
      <x:c r="T1521" s="20"/>
      <x:c r="U1521" s="20"/>
      <x:c r="V1521" s="20"/>
      <x:c r="W1521" s="20"/>
      <x:c r="X1521" s="20"/>
      <x:c r="Y1521" s="21"/>
    </x:row>
    <x:row r="1522">
      <x:c r="A1522" s="19"/>
      <x:c r="B1522" s="27"/>
      <x:c r="C1522" s="20"/>
      <x:c r="D1522" s="28"/>
      <x:c r="E1522" s="20"/>
      <x:c r="F1522" s="25"/>
      <x:c r="G1522" s="20"/>
      <x:c r="H1522" s="20"/>
      <x:c r="I1522" s="20"/>
      <x:c r="J1522" s="20"/>
      <x:c r="K1522" s="20"/>
      <x:c r="L1522" s="20"/>
      <x:c r="M1522" s="20"/>
      <x:c r="N1522" s="20"/>
      <x:c r="O1522" s="20"/>
      <x:c r="P1522" s="20"/>
      <x:c r="Q1522" s="20"/>
      <x:c r="R1522" s="20"/>
      <x:c r="S1522" s="20"/>
      <x:c r="T1522" s="20"/>
      <x:c r="U1522" s="20"/>
      <x:c r="V1522" s="20"/>
      <x:c r="W1522" s="20"/>
      <x:c r="X1522" s="20"/>
      <x:c r="Y1522" s="21"/>
    </x:row>
    <x:row r="1523">
      <x:c r="A1523" s="19"/>
      <x:c r="B1523" s="27"/>
      <x:c r="C1523" s="20"/>
      <x:c r="D1523" s="28"/>
      <x:c r="E1523" s="20"/>
      <x:c r="F1523" s="25"/>
      <x:c r="G1523" s="20"/>
      <x:c r="H1523" s="20"/>
      <x:c r="I1523" s="20"/>
      <x:c r="J1523" s="20"/>
      <x:c r="K1523" s="20"/>
      <x:c r="L1523" s="20"/>
      <x:c r="M1523" s="20"/>
      <x:c r="N1523" s="20"/>
      <x:c r="O1523" s="20"/>
      <x:c r="P1523" s="20"/>
      <x:c r="Q1523" s="20"/>
      <x:c r="R1523" s="20"/>
      <x:c r="S1523" s="20"/>
      <x:c r="T1523" s="20"/>
      <x:c r="U1523" s="20"/>
      <x:c r="V1523" s="20"/>
      <x:c r="W1523" s="20"/>
      <x:c r="X1523" s="20"/>
      <x:c r="Y1523" s="21"/>
    </x:row>
    <x:row r="1524">
      <x:c r="A1524" s="19"/>
      <x:c r="B1524" s="27"/>
      <x:c r="C1524" s="20"/>
      <x:c r="D1524" s="28"/>
      <x:c r="E1524" s="20"/>
      <x:c r="F1524" s="25"/>
      <x:c r="G1524" s="20"/>
      <x:c r="H1524" s="20"/>
      <x:c r="I1524" s="20"/>
      <x:c r="J1524" s="20"/>
      <x:c r="K1524" s="20"/>
      <x:c r="L1524" s="20"/>
      <x:c r="M1524" s="20"/>
      <x:c r="N1524" s="20"/>
      <x:c r="O1524" s="20"/>
      <x:c r="P1524" s="20"/>
      <x:c r="Q1524" s="20"/>
      <x:c r="R1524" s="20"/>
      <x:c r="S1524" s="20"/>
      <x:c r="T1524" s="20"/>
      <x:c r="U1524" s="20"/>
      <x:c r="V1524" s="20"/>
      <x:c r="W1524" s="20"/>
      <x:c r="X1524" s="20"/>
      <x:c r="Y1524" s="21"/>
    </x:row>
    <x:row r="1525">
      <x:c r="A1525" s="19"/>
      <x:c r="B1525" s="27"/>
      <x:c r="C1525" s="20"/>
      <x:c r="D1525" s="28"/>
      <x:c r="E1525" s="20"/>
      <x:c r="F1525" s="25"/>
      <x:c r="G1525" s="20"/>
      <x:c r="H1525" s="20"/>
      <x:c r="I1525" s="20"/>
      <x:c r="J1525" s="20"/>
      <x:c r="K1525" s="20"/>
      <x:c r="L1525" s="20"/>
      <x:c r="M1525" s="20"/>
      <x:c r="N1525" s="20"/>
      <x:c r="O1525" s="20"/>
      <x:c r="P1525" s="20"/>
      <x:c r="Q1525" s="20"/>
      <x:c r="R1525" s="20"/>
      <x:c r="S1525" s="20"/>
      <x:c r="T1525" s="20"/>
      <x:c r="U1525" s="20"/>
      <x:c r="V1525" s="20"/>
      <x:c r="W1525" s="20"/>
      <x:c r="X1525" s="20"/>
      <x:c r="Y1525" s="21"/>
    </x:row>
    <x:row r="1526">
      <x:c r="A1526" s="19"/>
      <x:c r="B1526" s="27"/>
      <x:c r="C1526" s="20"/>
      <x:c r="D1526" s="28"/>
      <x:c r="E1526" s="20"/>
      <x:c r="F1526" s="25"/>
      <x:c r="G1526" s="20"/>
      <x:c r="H1526" s="20"/>
      <x:c r="I1526" s="20"/>
      <x:c r="J1526" s="20"/>
      <x:c r="K1526" s="20"/>
      <x:c r="L1526" s="20"/>
      <x:c r="M1526" s="20"/>
      <x:c r="N1526" s="20"/>
      <x:c r="O1526" s="20"/>
      <x:c r="P1526" s="20"/>
      <x:c r="Q1526" s="20"/>
      <x:c r="R1526" s="20"/>
      <x:c r="S1526" s="20"/>
      <x:c r="T1526" s="20"/>
      <x:c r="U1526" s="20"/>
      <x:c r="V1526" s="20"/>
      <x:c r="W1526" s="20"/>
      <x:c r="X1526" s="20"/>
      <x:c r="Y1526" s="21"/>
    </x:row>
    <x:row r="1527">
      <x:c r="A1527" s="19"/>
      <x:c r="B1527" s="27"/>
      <x:c r="C1527" s="20"/>
      <x:c r="D1527" s="28"/>
      <x:c r="E1527" s="20"/>
      <x:c r="F1527" s="25"/>
      <x:c r="G1527" s="20"/>
      <x:c r="H1527" s="20"/>
      <x:c r="I1527" s="20"/>
      <x:c r="J1527" s="20"/>
      <x:c r="K1527" s="20"/>
      <x:c r="L1527" s="20"/>
      <x:c r="M1527" s="20"/>
      <x:c r="N1527" s="20"/>
      <x:c r="O1527" s="20"/>
      <x:c r="P1527" s="20"/>
      <x:c r="Q1527" s="20"/>
      <x:c r="R1527" s="20"/>
      <x:c r="S1527" s="20"/>
      <x:c r="T1527" s="20"/>
      <x:c r="U1527" s="20"/>
      <x:c r="V1527" s="20"/>
      <x:c r="W1527" s="20"/>
      <x:c r="X1527" s="20"/>
      <x:c r="Y1527" s="21"/>
    </x:row>
    <x:row r="1528">
      <x:c r="A1528" s="19"/>
      <x:c r="B1528" s="27"/>
      <x:c r="C1528" s="20"/>
      <x:c r="D1528" s="28"/>
      <x:c r="E1528" s="20"/>
      <x:c r="F1528" s="25"/>
      <x:c r="G1528" s="20"/>
      <x:c r="H1528" s="20"/>
      <x:c r="I1528" s="20"/>
      <x:c r="J1528" s="20"/>
      <x:c r="K1528" s="20"/>
      <x:c r="L1528" s="20"/>
      <x:c r="M1528" s="20"/>
      <x:c r="N1528" s="20"/>
      <x:c r="O1528" s="20"/>
      <x:c r="P1528" s="20"/>
      <x:c r="Q1528" s="20"/>
      <x:c r="R1528" s="20"/>
      <x:c r="S1528" s="20"/>
      <x:c r="T1528" s="20"/>
      <x:c r="U1528" s="20"/>
      <x:c r="V1528" s="20"/>
      <x:c r="W1528" s="20"/>
      <x:c r="X1528" s="20"/>
      <x:c r="Y1528" s="21"/>
    </x:row>
    <x:row r="1529">
      <x:c r="A1529" s="19"/>
      <x:c r="B1529" s="27"/>
      <x:c r="C1529" s="20"/>
      <x:c r="D1529" s="28"/>
      <x:c r="E1529" s="20"/>
      <x:c r="F1529" s="25"/>
      <x:c r="G1529" s="20"/>
      <x:c r="H1529" s="20"/>
      <x:c r="I1529" s="20"/>
      <x:c r="J1529" s="20"/>
      <x:c r="K1529" s="20"/>
      <x:c r="L1529" s="20"/>
      <x:c r="M1529" s="20"/>
      <x:c r="N1529" s="20"/>
      <x:c r="O1529" s="20"/>
      <x:c r="P1529" s="20"/>
      <x:c r="Q1529" s="20"/>
      <x:c r="R1529" s="20"/>
      <x:c r="S1529" s="20"/>
      <x:c r="T1529" s="20"/>
      <x:c r="U1529" s="20"/>
      <x:c r="V1529" s="20"/>
      <x:c r="W1529" s="20"/>
      <x:c r="X1529" s="20"/>
      <x:c r="Y1529" s="21"/>
    </x:row>
    <x:row r="1530">
      <x:c r="A1530" s="19"/>
      <x:c r="B1530" s="27"/>
      <x:c r="C1530" s="20"/>
      <x:c r="D1530" s="28"/>
      <x:c r="E1530" s="20"/>
      <x:c r="F1530" s="25"/>
      <x:c r="G1530" s="20"/>
      <x:c r="H1530" s="20"/>
      <x:c r="I1530" s="20"/>
      <x:c r="J1530" s="20"/>
      <x:c r="K1530" s="20"/>
      <x:c r="L1530" s="20"/>
      <x:c r="M1530" s="20"/>
      <x:c r="N1530" s="20"/>
      <x:c r="O1530" s="20"/>
      <x:c r="P1530" s="20"/>
      <x:c r="Q1530" s="20"/>
      <x:c r="R1530" s="20"/>
      <x:c r="S1530" s="20"/>
      <x:c r="T1530" s="20"/>
      <x:c r="U1530" s="20"/>
      <x:c r="V1530" s="20"/>
      <x:c r="W1530" s="20"/>
      <x:c r="X1530" s="20"/>
      <x:c r="Y1530" s="21"/>
    </x:row>
    <x:row r="1531">
      <x:c r="A1531" s="19"/>
      <x:c r="B1531" s="27"/>
      <x:c r="C1531" s="20"/>
      <x:c r="D1531" s="28"/>
      <x:c r="E1531" s="20"/>
      <x:c r="F1531" s="25"/>
      <x:c r="G1531" s="20"/>
      <x:c r="H1531" s="20"/>
      <x:c r="I1531" s="20"/>
      <x:c r="J1531" s="20"/>
      <x:c r="K1531" s="20"/>
      <x:c r="L1531" s="20"/>
      <x:c r="M1531" s="20"/>
      <x:c r="N1531" s="20"/>
      <x:c r="O1531" s="20"/>
      <x:c r="P1531" s="20"/>
      <x:c r="Q1531" s="20"/>
      <x:c r="R1531" s="20"/>
      <x:c r="S1531" s="20"/>
      <x:c r="T1531" s="20"/>
      <x:c r="U1531" s="20"/>
      <x:c r="V1531" s="20"/>
      <x:c r="W1531" s="20"/>
      <x:c r="X1531" s="20"/>
      <x:c r="Y1531" s="21"/>
    </x:row>
    <x:row r="1532">
      <x:c r="A1532" s="19"/>
      <x:c r="B1532" s="27"/>
      <x:c r="C1532" s="20"/>
      <x:c r="D1532" s="28"/>
      <x:c r="E1532" s="20"/>
      <x:c r="F1532" s="25"/>
      <x:c r="G1532" s="20"/>
      <x:c r="H1532" s="20"/>
      <x:c r="I1532" s="20"/>
      <x:c r="J1532" s="20"/>
      <x:c r="K1532" s="20"/>
      <x:c r="L1532" s="20"/>
      <x:c r="M1532" s="20"/>
      <x:c r="N1532" s="20"/>
      <x:c r="O1532" s="20"/>
      <x:c r="P1532" s="20"/>
      <x:c r="Q1532" s="20"/>
      <x:c r="R1532" s="20"/>
      <x:c r="S1532" s="20"/>
      <x:c r="T1532" s="20"/>
      <x:c r="U1532" s="20"/>
      <x:c r="V1532" s="20"/>
      <x:c r="W1532" s="20"/>
      <x:c r="X1532" s="20"/>
      <x:c r="Y1532" s="21"/>
    </x:row>
    <x:row r="1533">
      <x:c r="A1533" s="19"/>
      <x:c r="B1533" s="27"/>
      <x:c r="C1533" s="20"/>
      <x:c r="D1533" s="28"/>
      <x:c r="E1533" s="20"/>
      <x:c r="F1533" s="25"/>
      <x:c r="G1533" s="20"/>
      <x:c r="H1533" s="20"/>
      <x:c r="I1533" s="20"/>
      <x:c r="J1533" s="20"/>
      <x:c r="K1533" s="20"/>
      <x:c r="L1533" s="20"/>
      <x:c r="M1533" s="20"/>
      <x:c r="N1533" s="20"/>
      <x:c r="O1533" s="20"/>
      <x:c r="P1533" s="20"/>
      <x:c r="Q1533" s="20"/>
      <x:c r="R1533" s="20"/>
      <x:c r="S1533" s="20"/>
      <x:c r="T1533" s="20"/>
      <x:c r="U1533" s="20"/>
      <x:c r="V1533" s="20"/>
      <x:c r="W1533" s="20"/>
      <x:c r="X1533" s="20"/>
      <x:c r="Y1533" s="21"/>
    </x:row>
    <x:row r="1534">
      <x:c r="A1534" s="19"/>
      <x:c r="B1534" s="27"/>
      <x:c r="C1534" s="20"/>
      <x:c r="D1534" s="28"/>
      <x:c r="E1534" s="20"/>
      <x:c r="F1534" s="25"/>
      <x:c r="G1534" s="20"/>
      <x:c r="H1534" s="20"/>
      <x:c r="I1534" s="20"/>
      <x:c r="J1534" s="20"/>
      <x:c r="K1534" s="20"/>
      <x:c r="L1534" s="20"/>
      <x:c r="M1534" s="20"/>
      <x:c r="N1534" s="20"/>
      <x:c r="O1534" s="20"/>
      <x:c r="P1534" s="20"/>
      <x:c r="Q1534" s="20"/>
      <x:c r="R1534" s="20"/>
      <x:c r="S1534" s="20"/>
      <x:c r="T1534" s="20"/>
      <x:c r="U1534" s="20"/>
      <x:c r="V1534" s="20"/>
      <x:c r="W1534" s="20"/>
      <x:c r="X1534" s="20"/>
      <x:c r="Y1534" s="21"/>
    </x:row>
    <x:row r="1535">
      <x:c r="A1535" s="19"/>
      <x:c r="B1535" s="27"/>
      <x:c r="C1535" s="20"/>
      <x:c r="D1535" s="28"/>
      <x:c r="E1535" s="20"/>
      <x:c r="F1535" s="25"/>
      <x:c r="G1535" s="20"/>
      <x:c r="H1535" s="20"/>
      <x:c r="I1535" s="20"/>
      <x:c r="J1535" s="20"/>
      <x:c r="K1535" s="20"/>
      <x:c r="L1535" s="20"/>
      <x:c r="M1535" s="20"/>
      <x:c r="N1535" s="20"/>
      <x:c r="O1535" s="20"/>
      <x:c r="P1535" s="20"/>
      <x:c r="Q1535" s="20"/>
      <x:c r="R1535" s="20"/>
      <x:c r="S1535" s="20"/>
      <x:c r="T1535" s="20"/>
      <x:c r="U1535" s="20"/>
      <x:c r="V1535" s="20"/>
      <x:c r="W1535" s="20"/>
      <x:c r="X1535" s="20"/>
      <x:c r="Y1535" s="21"/>
    </x:row>
    <x:row r="1536">
      <x:c r="A1536" s="19"/>
      <x:c r="B1536" s="27"/>
      <x:c r="C1536" s="20"/>
      <x:c r="D1536" s="28"/>
      <x:c r="E1536" s="20"/>
      <x:c r="F1536" s="25"/>
      <x:c r="G1536" s="20"/>
      <x:c r="H1536" s="20"/>
      <x:c r="I1536" s="20"/>
      <x:c r="J1536" s="20"/>
      <x:c r="K1536" s="20"/>
      <x:c r="L1536" s="20"/>
      <x:c r="M1536" s="20"/>
      <x:c r="N1536" s="20"/>
      <x:c r="O1536" s="20"/>
      <x:c r="P1536" s="20"/>
      <x:c r="Q1536" s="20"/>
      <x:c r="R1536" s="20"/>
      <x:c r="S1536" s="20"/>
      <x:c r="T1536" s="20"/>
      <x:c r="U1536" s="20"/>
      <x:c r="V1536" s="20"/>
      <x:c r="W1536" s="20"/>
      <x:c r="X1536" s="20"/>
      <x:c r="Y1536" s="21"/>
    </x:row>
    <x:row r="1537">
      <x:c r="A1537" s="19"/>
      <x:c r="B1537" s="27"/>
      <x:c r="C1537" s="20"/>
      <x:c r="D1537" s="28"/>
      <x:c r="E1537" s="20"/>
      <x:c r="F1537" s="25"/>
      <x:c r="G1537" s="20"/>
      <x:c r="H1537" s="20"/>
      <x:c r="I1537" s="20"/>
      <x:c r="J1537" s="20"/>
      <x:c r="K1537" s="20"/>
      <x:c r="L1537" s="20"/>
      <x:c r="M1537" s="20"/>
      <x:c r="N1537" s="20"/>
      <x:c r="O1537" s="20"/>
      <x:c r="P1537" s="20"/>
      <x:c r="Q1537" s="20"/>
      <x:c r="R1537" s="20"/>
      <x:c r="S1537" s="20"/>
      <x:c r="T1537" s="20"/>
      <x:c r="U1537" s="20"/>
      <x:c r="V1537" s="20"/>
      <x:c r="W1537" s="20"/>
      <x:c r="X1537" s="20"/>
      <x:c r="Y1537" s="21"/>
    </x:row>
    <x:row r="1538">
      <x:c r="A1538" s="19"/>
      <x:c r="B1538" s="27"/>
      <x:c r="C1538" s="20"/>
      <x:c r="D1538" s="28"/>
      <x:c r="E1538" s="20"/>
      <x:c r="F1538" s="25"/>
      <x:c r="G1538" s="20"/>
      <x:c r="H1538" s="20"/>
      <x:c r="I1538" s="20"/>
      <x:c r="J1538" s="20"/>
      <x:c r="K1538" s="20"/>
      <x:c r="L1538" s="20"/>
      <x:c r="M1538" s="20"/>
      <x:c r="N1538" s="20"/>
      <x:c r="O1538" s="20"/>
      <x:c r="P1538" s="20"/>
      <x:c r="Q1538" s="20"/>
      <x:c r="R1538" s="20"/>
      <x:c r="S1538" s="20"/>
      <x:c r="T1538" s="20"/>
      <x:c r="U1538" s="20"/>
      <x:c r="V1538" s="20"/>
      <x:c r="W1538" s="20"/>
      <x:c r="X1538" s="20"/>
      <x:c r="Y1538" s="21"/>
    </x:row>
    <x:row r="1539">
      <x:c r="A1539" s="19"/>
      <x:c r="B1539" s="27"/>
      <x:c r="C1539" s="20"/>
      <x:c r="D1539" s="28"/>
      <x:c r="E1539" s="20"/>
      <x:c r="F1539" s="25"/>
      <x:c r="G1539" s="20"/>
      <x:c r="H1539" s="20"/>
      <x:c r="I1539" s="20"/>
      <x:c r="J1539" s="20"/>
      <x:c r="K1539" s="20"/>
      <x:c r="L1539" s="20"/>
      <x:c r="M1539" s="20"/>
      <x:c r="N1539" s="20"/>
      <x:c r="O1539" s="20"/>
      <x:c r="P1539" s="20"/>
      <x:c r="Q1539" s="20"/>
      <x:c r="R1539" s="20"/>
      <x:c r="S1539" s="20"/>
      <x:c r="T1539" s="20"/>
      <x:c r="U1539" s="20"/>
      <x:c r="V1539" s="20"/>
      <x:c r="W1539" s="20"/>
      <x:c r="X1539" s="20"/>
      <x:c r="Y1539" s="21"/>
    </x:row>
    <x:row r="1540">
      <x:c r="A1540" s="19"/>
      <x:c r="B1540" s="27"/>
      <x:c r="C1540" s="20"/>
      <x:c r="D1540" s="28"/>
      <x:c r="E1540" s="20"/>
      <x:c r="F1540" s="25"/>
      <x:c r="G1540" s="20"/>
      <x:c r="H1540" s="20"/>
      <x:c r="I1540" s="20"/>
      <x:c r="J1540" s="20"/>
      <x:c r="K1540" s="20"/>
      <x:c r="L1540" s="20"/>
      <x:c r="M1540" s="20"/>
      <x:c r="N1540" s="20"/>
      <x:c r="O1540" s="20"/>
      <x:c r="P1540" s="20"/>
      <x:c r="Q1540" s="20"/>
      <x:c r="R1540" s="20"/>
      <x:c r="S1540" s="20"/>
      <x:c r="T1540" s="20"/>
      <x:c r="U1540" s="20"/>
      <x:c r="V1540" s="20"/>
      <x:c r="W1540" s="20"/>
      <x:c r="X1540" s="20"/>
      <x:c r="Y1540" s="21"/>
    </x:row>
    <x:row r="1541">
      <x:c r="A1541" s="19"/>
      <x:c r="B1541" s="27"/>
      <x:c r="C1541" s="20"/>
      <x:c r="D1541" s="28"/>
      <x:c r="E1541" s="20"/>
      <x:c r="F1541" s="25"/>
      <x:c r="G1541" s="20"/>
      <x:c r="H1541" s="20"/>
      <x:c r="I1541" s="20"/>
      <x:c r="J1541" s="20"/>
      <x:c r="K1541" s="20"/>
      <x:c r="L1541" s="20"/>
      <x:c r="M1541" s="20"/>
      <x:c r="N1541" s="20"/>
      <x:c r="O1541" s="20"/>
      <x:c r="P1541" s="20"/>
      <x:c r="Q1541" s="20"/>
      <x:c r="R1541" s="20"/>
      <x:c r="S1541" s="20"/>
      <x:c r="T1541" s="20"/>
      <x:c r="U1541" s="20"/>
      <x:c r="V1541" s="20"/>
      <x:c r="W1541" s="20"/>
      <x:c r="X1541" s="20"/>
      <x:c r="Y1541" s="21"/>
    </x:row>
    <x:row r="1542">
      <x:c r="A1542" s="19"/>
      <x:c r="B1542" s="27"/>
      <x:c r="C1542" s="20"/>
      <x:c r="D1542" s="28"/>
      <x:c r="E1542" s="20"/>
      <x:c r="F1542" s="25"/>
      <x:c r="G1542" s="20"/>
      <x:c r="H1542" s="20"/>
      <x:c r="I1542" s="20"/>
      <x:c r="J1542" s="20"/>
      <x:c r="K1542" s="20"/>
      <x:c r="L1542" s="20"/>
      <x:c r="M1542" s="20"/>
      <x:c r="N1542" s="20"/>
      <x:c r="O1542" s="20"/>
      <x:c r="P1542" s="20"/>
      <x:c r="Q1542" s="20"/>
      <x:c r="R1542" s="20"/>
      <x:c r="S1542" s="20"/>
      <x:c r="T1542" s="20"/>
      <x:c r="U1542" s="20"/>
      <x:c r="V1542" s="20"/>
      <x:c r="W1542" s="20"/>
      <x:c r="X1542" s="20"/>
      <x:c r="Y1542" s="21"/>
    </x:row>
    <x:row r="1543">
      <x:c r="A1543" s="19"/>
      <x:c r="B1543" s="27"/>
      <x:c r="C1543" s="20"/>
      <x:c r="D1543" s="28"/>
      <x:c r="E1543" s="20"/>
      <x:c r="F1543" s="25"/>
      <x:c r="G1543" s="20"/>
      <x:c r="H1543" s="20"/>
      <x:c r="I1543" s="20"/>
      <x:c r="J1543" s="20"/>
      <x:c r="K1543" s="20"/>
      <x:c r="L1543" s="20"/>
      <x:c r="M1543" s="20"/>
      <x:c r="N1543" s="20"/>
      <x:c r="O1543" s="20"/>
      <x:c r="P1543" s="20"/>
      <x:c r="Q1543" s="20"/>
      <x:c r="R1543" s="20"/>
      <x:c r="S1543" s="20"/>
      <x:c r="T1543" s="20"/>
      <x:c r="U1543" s="20"/>
      <x:c r="V1543" s="20"/>
      <x:c r="W1543" s="20"/>
      <x:c r="X1543" s="20"/>
      <x:c r="Y1543" s="21"/>
    </x:row>
    <x:row r="1544">
      <x:c r="A1544" s="19"/>
      <x:c r="B1544" s="27"/>
      <x:c r="C1544" s="20"/>
      <x:c r="D1544" s="28"/>
      <x:c r="E1544" s="20"/>
      <x:c r="F1544" s="25"/>
      <x:c r="G1544" s="20"/>
      <x:c r="H1544" s="20"/>
      <x:c r="I1544" s="20"/>
      <x:c r="J1544" s="20"/>
      <x:c r="K1544" s="20"/>
      <x:c r="L1544" s="20"/>
      <x:c r="M1544" s="20"/>
      <x:c r="N1544" s="20"/>
      <x:c r="O1544" s="20"/>
      <x:c r="P1544" s="20"/>
      <x:c r="Q1544" s="20"/>
      <x:c r="R1544" s="20"/>
      <x:c r="S1544" s="20"/>
      <x:c r="T1544" s="20"/>
      <x:c r="U1544" s="20"/>
      <x:c r="V1544" s="20"/>
      <x:c r="W1544" s="20"/>
      <x:c r="X1544" s="20"/>
      <x:c r="Y1544" s="21"/>
    </x:row>
    <x:row r="1545">
      <x:c r="A1545" s="19"/>
      <x:c r="B1545" s="27"/>
      <x:c r="C1545" s="20"/>
      <x:c r="D1545" s="28"/>
      <x:c r="E1545" s="20"/>
      <x:c r="F1545" s="25"/>
      <x:c r="G1545" s="20"/>
      <x:c r="H1545" s="20"/>
      <x:c r="I1545" s="20"/>
      <x:c r="J1545" s="20"/>
      <x:c r="K1545" s="20"/>
      <x:c r="L1545" s="20"/>
      <x:c r="M1545" s="20"/>
      <x:c r="N1545" s="20"/>
      <x:c r="O1545" s="20"/>
      <x:c r="P1545" s="20"/>
      <x:c r="Q1545" s="20"/>
      <x:c r="R1545" s="20"/>
      <x:c r="S1545" s="20"/>
      <x:c r="T1545" s="20"/>
      <x:c r="U1545" s="20"/>
      <x:c r="V1545" s="20"/>
      <x:c r="W1545" s="20"/>
      <x:c r="X1545" s="20"/>
      <x:c r="Y1545" s="21"/>
    </x:row>
    <x:row r="1546">
      <x:c r="A1546" s="19"/>
      <x:c r="B1546" s="27"/>
      <x:c r="C1546" s="20"/>
      <x:c r="D1546" s="28"/>
      <x:c r="E1546" s="20"/>
      <x:c r="F1546" s="25"/>
      <x:c r="G1546" s="20"/>
      <x:c r="H1546" s="20"/>
      <x:c r="I1546" s="20"/>
      <x:c r="J1546" s="20"/>
      <x:c r="K1546" s="20"/>
      <x:c r="L1546" s="20"/>
      <x:c r="M1546" s="20"/>
      <x:c r="N1546" s="20"/>
      <x:c r="O1546" s="20"/>
      <x:c r="P1546" s="20"/>
      <x:c r="Q1546" s="20"/>
      <x:c r="R1546" s="20"/>
      <x:c r="S1546" s="20"/>
      <x:c r="T1546" s="20"/>
      <x:c r="U1546" s="20"/>
      <x:c r="V1546" s="20"/>
      <x:c r="W1546" s="20"/>
      <x:c r="X1546" s="20"/>
      <x:c r="Y1546" s="21"/>
    </x:row>
    <x:row r="1547">
      <x:c r="A1547" s="19"/>
      <x:c r="B1547" s="27"/>
      <x:c r="C1547" s="20"/>
      <x:c r="D1547" s="28"/>
      <x:c r="E1547" s="20"/>
      <x:c r="F1547" s="25"/>
      <x:c r="G1547" s="20"/>
      <x:c r="H1547" s="20"/>
      <x:c r="I1547" s="20"/>
      <x:c r="J1547" s="20"/>
      <x:c r="K1547" s="20"/>
      <x:c r="L1547" s="20"/>
      <x:c r="M1547" s="20"/>
      <x:c r="N1547" s="20"/>
      <x:c r="O1547" s="20"/>
      <x:c r="P1547" s="20"/>
      <x:c r="Q1547" s="20"/>
      <x:c r="R1547" s="20"/>
      <x:c r="S1547" s="20"/>
      <x:c r="T1547" s="20"/>
      <x:c r="U1547" s="20"/>
      <x:c r="V1547" s="20"/>
      <x:c r="W1547" s="20"/>
      <x:c r="X1547" s="20"/>
      <x:c r="Y1547" s="21"/>
    </x:row>
    <x:row r="1548">
      <x:c r="A1548" s="19"/>
      <x:c r="B1548" s="27"/>
      <x:c r="C1548" s="20"/>
      <x:c r="D1548" s="28"/>
      <x:c r="E1548" s="20"/>
      <x:c r="F1548" s="25"/>
      <x:c r="G1548" s="20"/>
      <x:c r="H1548" s="20"/>
      <x:c r="I1548" s="20"/>
      <x:c r="J1548" s="20"/>
      <x:c r="K1548" s="20"/>
      <x:c r="L1548" s="20"/>
      <x:c r="M1548" s="20"/>
      <x:c r="N1548" s="20"/>
      <x:c r="O1548" s="20"/>
      <x:c r="P1548" s="20"/>
      <x:c r="Q1548" s="20"/>
      <x:c r="R1548" s="20"/>
      <x:c r="S1548" s="20"/>
      <x:c r="T1548" s="20"/>
      <x:c r="U1548" s="20"/>
      <x:c r="V1548" s="20"/>
      <x:c r="W1548" s="20"/>
      <x:c r="X1548" s="20"/>
      <x:c r="Y1548" s="21"/>
    </x:row>
    <x:row r="1549">
      <x:c r="A1549" s="19"/>
      <x:c r="B1549" s="27"/>
      <x:c r="C1549" s="20"/>
      <x:c r="D1549" s="28"/>
      <x:c r="E1549" s="20"/>
      <x:c r="F1549" s="25"/>
      <x:c r="G1549" s="20"/>
      <x:c r="H1549" s="20"/>
      <x:c r="I1549" s="20"/>
      <x:c r="J1549" s="20"/>
      <x:c r="K1549" s="20"/>
      <x:c r="L1549" s="20"/>
      <x:c r="M1549" s="20"/>
      <x:c r="N1549" s="20"/>
      <x:c r="O1549" s="20"/>
      <x:c r="P1549" s="20"/>
      <x:c r="Q1549" s="20"/>
      <x:c r="R1549" s="20"/>
      <x:c r="S1549" s="20"/>
      <x:c r="T1549" s="20"/>
      <x:c r="U1549" s="20"/>
      <x:c r="V1549" s="20"/>
      <x:c r="W1549" s="20"/>
      <x:c r="X1549" s="20"/>
      <x:c r="Y1549" s="21"/>
    </x:row>
    <x:row r="1550">
      <x:c r="A1550" s="19"/>
      <x:c r="B1550" s="27"/>
      <x:c r="C1550" s="20"/>
      <x:c r="D1550" s="28"/>
      <x:c r="E1550" s="20"/>
      <x:c r="F1550" s="25"/>
      <x:c r="G1550" s="20"/>
      <x:c r="H1550" s="20"/>
      <x:c r="I1550" s="20"/>
      <x:c r="J1550" s="20"/>
      <x:c r="K1550" s="20"/>
      <x:c r="L1550" s="20"/>
      <x:c r="M1550" s="20"/>
      <x:c r="N1550" s="20"/>
      <x:c r="O1550" s="20"/>
      <x:c r="P1550" s="20"/>
      <x:c r="Q1550" s="20"/>
      <x:c r="R1550" s="20"/>
      <x:c r="S1550" s="20"/>
      <x:c r="T1550" s="20"/>
      <x:c r="U1550" s="20"/>
      <x:c r="V1550" s="20"/>
      <x:c r="W1550" s="20"/>
      <x:c r="X1550" s="20"/>
      <x:c r="Y1550" s="21"/>
    </x:row>
    <x:row r="1551">
      <x:c r="A1551" s="19"/>
      <x:c r="B1551" s="27"/>
      <x:c r="C1551" s="20"/>
      <x:c r="D1551" s="28"/>
      <x:c r="E1551" s="20"/>
      <x:c r="F1551" s="25"/>
      <x:c r="G1551" s="20"/>
      <x:c r="H1551" s="20"/>
      <x:c r="I1551" s="20"/>
      <x:c r="J1551" s="20"/>
      <x:c r="K1551" s="20"/>
      <x:c r="L1551" s="20"/>
      <x:c r="M1551" s="20"/>
      <x:c r="N1551" s="20"/>
      <x:c r="O1551" s="20"/>
      <x:c r="P1551" s="20"/>
      <x:c r="Q1551" s="20"/>
      <x:c r="R1551" s="20"/>
      <x:c r="S1551" s="20"/>
      <x:c r="T1551" s="20"/>
      <x:c r="U1551" s="20"/>
      <x:c r="V1551" s="20"/>
      <x:c r="W1551" s="20"/>
      <x:c r="X1551" s="20"/>
      <x:c r="Y1551" s="21"/>
    </x:row>
    <x:row r="1552">
      <x:c r="A1552" s="19"/>
      <x:c r="B1552" s="27"/>
      <x:c r="C1552" s="20"/>
      <x:c r="D1552" s="28"/>
      <x:c r="E1552" s="20"/>
      <x:c r="F1552" s="25"/>
      <x:c r="G1552" s="20"/>
      <x:c r="H1552" s="20"/>
      <x:c r="I1552" s="20"/>
      <x:c r="J1552" s="20"/>
      <x:c r="K1552" s="20"/>
      <x:c r="L1552" s="20"/>
      <x:c r="M1552" s="20"/>
      <x:c r="N1552" s="20"/>
      <x:c r="O1552" s="20"/>
      <x:c r="P1552" s="20"/>
      <x:c r="Q1552" s="20"/>
      <x:c r="R1552" s="20"/>
      <x:c r="S1552" s="20"/>
      <x:c r="T1552" s="20"/>
      <x:c r="U1552" s="20"/>
      <x:c r="V1552" s="20"/>
      <x:c r="W1552" s="20"/>
      <x:c r="X1552" s="20"/>
      <x:c r="Y1552" s="21"/>
    </x:row>
    <x:row r="1553">
      <x:c r="A1553" s="19"/>
      <x:c r="B1553" s="27"/>
      <x:c r="C1553" s="20"/>
      <x:c r="D1553" s="28"/>
      <x:c r="E1553" s="20"/>
      <x:c r="F1553" s="25"/>
      <x:c r="G1553" s="20"/>
      <x:c r="H1553" s="20"/>
      <x:c r="I1553" s="20"/>
      <x:c r="J1553" s="20"/>
      <x:c r="K1553" s="20"/>
      <x:c r="L1553" s="20"/>
      <x:c r="M1553" s="20"/>
      <x:c r="N1553" s="20"/>
      <x:c r="O1553" s="20"/>
      <x:c r="P1553" s="20"/>
      <x:c r="Q1553" s="20"/>
      <x:c r="R1553" s="20"/>
      <x:c r="S1553" s="20"/>
      <x:c r="T1553" s="20"/>
      <x:c r="U1553" s="20"/>
      <x:c r="V1553" s="20"/>
      <x:c r="W1553" s="20"/>
      <x:c r="X1553" s="20"/>
      <x:c r="Y1553" s="21"/>
    </x:row>
    <x:row r="1554">
      <x:c r="A1554" s="19"/>
      <x:c r="B1554" s="27"/>
      <x:c r="C1554" s="20"/>
      <x:c r="D1554" s="28"/>
      <x:c r="E1554" s="20"/>
      <x:c r="F1554" s="25"/>
      <x:c r="G1554" s="20"/>
      <x:c r="H1554" s="20"/>
      <x:c r="I1554" s="20"/>
      <x:c r="J1554" s="20"/>
      <x:c r="K1554" s="20"/>
      <x:c r="L1554" s="20"/>
      <x:c r="M1554" s="20"/>
      <x:c r="N1554" s="20"/>
      <x:c r="O1554" s="20"/>
      <x:c r="P1554" s="20"/>
      <x:c r="Q1554" s="20"/>
      <x:c r="R1554" s="20"/>
      <x:c r="S1554" s="20"/>
      <x:c r="T1554" s="20"/>
      <x:c r="U1554" s="20"/>
      <x:c r="V1554" s="20"/>
      <x:c r="W1554" s="20"/>
      <x:c r="X1554" s="20"/>
      <x:c r="Y1554" s="21"/>
    </x:row>
    <x:row r="1555">
      <x:c r="A1555" s="19"/>
      <x:c r="B1555" s="27"/>
      <x:c r="C1555" s="20"/>
      <x:c r="D1555" s="28"/>
      <x:c r="E1555" s="20"/>
      <x:c r="F1555" s="25"/>
      <x:c r="G1555" s="20"/>
      <x:c r="H1555" s="20"/>
      <x:c r="I1555" s="20"/>
      <x:c r="J1555" s="20"/>
      <x:c r="K1555" s="20"/>
      <x:c r="L1555" s="20"/>
      <x:c r="M1555" s="20"/>
      <x:c r="N1555" s="20"/>
      <x:c r="O1555" s="20"/>
      <x:c r="P1555" s="20"/>
      <x:c r="Q1555" s="20"/>
      <x:c r="R1555" s="20"/>
      <x:c r="S1555" s="20"/>
      <x:c r="T1555" s="20"/>
      <x:c r="U1555" s="20"/>
      <x:c r="V1555" s="20"/>
      <x:c r="W1555" s="20"/>
      <x:c r="X1555" s="20"/>
      <x:c r="Y1555" s="21"/>
    </x:row>
    <x:row r="1556">
      <x:c r="A1556" s="19"/>
      <x:c r="B1556" s="27"/>
      <x:c r="C1556" s="20"/>
      <x:c r="D1556" s="28"/>
      <x:c r="E1556" s="20"/>
      <x:c r="F1556" s="25"/>
      <x:c r="G1556" s="20"/>
      <x:c r="H1556" s="20"/>
      <x:c r="I1556" s="20"/>
      <x:c r="J1556" s="20"/>
      <x:c r="K1556" s="20"/>
      <x:c r="L1556" s="20"/>
      <x:c r="M1556" s="20"/>
      <x:c r="N1556" s="20"/>
      <x:c r="O1556" s="20"/>
      <x:c r="P1556" s="20"/>
      <x:c r="Q1556" s="20"/>
      <x:c r="R1556" s="20"/>
      <x:c r="S1556" s="20"/>
      <x:c r="T1556" s="20"/>
      <x:c r="U1556" s="20"/>
      <x:c r="V1556" s="20"/>
      <x:c r="W1556" s="20"/>
      <x:c r="X1556" s="20"/>
      <x:c r="Y1556" s="21"/>
    </x:row>
    <x:row r="1557">
      <x:c r="A1557" s="19"/>
      <x:c r="B1557" s="27"/>
      <x:c r="C1557" s="20"/>
      <x:c r="D1557" s="28"/>
      <x:c r="E1557" s="20"/>
      <x:c r="F1557" s="25"/>
      <x:c r="G1557" s="20"/>
      <x:c r="H1557" s="20"/>
      <x:c r="I1557" s="20"/>
      <x:c r="J1557" s="20"/>
      <x:c r="K1557" s="20"/>
      <x:c r="L1557" s="20"/>
      <x:c r="M1557" s="20"/>
      <x:c r="N1557" s="20"/>
      <x:c r="O1557" s="20"/>
      <x:c r="P1557" s="20"/>
      <x:c r="Q1557" s="20"/>
      <x:c r="R1557" s="20"/>
      <x:c r="S1557" s="20"/>
      <x:c r="T1557" s="20"/>
      <x:c r="U1557" s="20"/>
      <x:c r="V1557" s="20"/>
      <x:c r="W1557" s="20"/>
      <x:c r="X1557" s="20"/>
      <x:c r="Y1557" s="21"/>
    </x:row>
    <x:row r="1558">
      <x:c r="A1558" s="19"/>
      <x:c r="B1558" s="27"/>
      <x:c r="C1558" s="20"/>
      <x:c r="D1558" s="28"/>
      <x:c r="E1558" s="20"/>
      <x:c r="F1558" s="25"/>
      <x:c r="G1558" s="20"/>
      <x:c r="H1558" s="20"/>
      <x:c r="I1558" s="20"/>
      <x:c r="J1558" s="20"/>
      <x:c r="K1558" s="20"/>
      <x:c r="L1558" s="20"/>
      <x:c r="M1558" s="20"/>
      <x:c r="N1558" s="20"/>
      <x:c r="O1558" s="20"/>
      <x:c r="P1558" s="20"/>
      <x:c r="Q1558" s="20"/>
      <x:c r="R1558" s="20"/>
      <x:c r="S1558" s="20"/>
      <x:c r="T1558" s="20"/>
      <x:c r="U1558" s="20"/>
      <x:c r="V1558" s="20"/>
      <x:c r="W1558" s="20"/>
      <x:c r="X1558" s="20"/>
      <x:c r="Y1558" s="21"/>
    </x:row>
    <x:row r="1559">
      <x:c r="A1559" s="19"/>
      <x:c r="B1559" s="27"/>
      <x:c r="C1559" s="20"/>
      <x:c r="D1559" s="28"/>
      <x:c r="E1559" s="20"/>
      <x:c r="F1559" s="25"/>
      <x:c r="G1559" s="20"/>
      <x:c r="H1559" s="20"/>
      <x:c r="I1559" s="20"/>
      <x:c r="J1559" s="20"/>
      <x:c r="K1559" s="20"/>
      <x:c r="L1559" s="20"/>
      <x:c r="M1559" s="20"/>
      <x:c r="N1559" s="20"/>
      <x:c r="O1559" s="20"/>
      <x:c r="P1559" s="20"/>
      <x:c r="Q1559" s="20"/>
      <x:c r="R1559" s="20"/>
      <x:c r="S1559" s="20"/>
      <x:c r="T1559" s="20"/>
      <x:c r="U1559" s="20"/>
      <x:c r="V1559" s="20"/>
      <x:c r="W1559" s="20"/>
      <x:c r="X1559" s="20"/>
      <x:c r="Y1559" s="21"/>
    </x:row>
    <x:row r="1560">
      <x:c r="A1560" s="19"/>
      <x:c r="B1560" s="27"/>
      <x:c r="C1560" s="20"/>
      <x:c r="D1560" s="28"/>
      <x:c r="E1560" s="20"/>
      <x:c r="F1560" s="25"/>
      <x:c r="G1560" s="20"/>
      <x:c r="H1560" s="20"/>
      <x:c r="I1560" s="20"/>
      <x:c r="J1560" s="20"/>
      <x:c r="K1560" s="20"/>
      <x:c r="L1560" s="20"/>
      <x:c r="M1560" s="20"/>
      <x:c r="N1560" s="20"/>
      <x:c r="O1560" s="20"/>
      <x:c r="P1560" s="20"/>
      <x:c r="Q1560" s="20"/>
      <x:c r="R1560" s="20"/>
      <x:c r="S1560" s="20"/>
      <x:c r="T1560" s="20"/>
      <x:c r="U1560" s="20"/>
      <x:c r="V1560" s="20"/>
      <x:c r="W1560" s="20"/>
      <x:c r="X1560" s="20"/>
      <x:c r="Y1560" s="21"/>
    </x:row>
    <x:row r="1561">
      <x:c r="A1561" s="19"/>
      <x:c r="B1561" s="27"/>
      <x:c r="C1561" s="20"/>
      <x:c r="D1561" s="28"/>
      <x:c r="E1561" s="20"/>
      <x:c r="F1561" s="25"/>
      <x:c r="G1561" s="20"/>
      <x:c r="H1561" s="20"/>
      <x:c r="I1561" s="20"/>
      <x:c r="J1561" s="20"/>
      <x:c r="K1561" s="20"/>
      <x:c r="L1561" s="20"/>
      <x:c r="M1561" s="20"/>
      <x:c r="N1561" s="20"/>
      <x:c r="O1561" s="20"/>
      <x:c r="P1561" s="20"/>
      <x:c r="Q1561" s="20"/>
      <x:c r="R1561" s="20"/>
      <x:c r="S1561" s="20"/>
      <x:c r="T1561" s="20"/>
      <x:c r="U1561" s="20"/>
      <x:c r="V1561" s="20"/>
      <x:c r="W1561" s="20"/>
      <x:c r="X1561" s="20"/>
      <x:c r="Y1561" s="21"/>
    </x:row>
    <x:row r="1562">
      <x:c r="A1562" s="19"/>
      <x:c r="B1562" s="27"/>
      <x:c r="C1562" s="20"/>
      <x:c r="D1562" s="28"/>
      <x:c r="E1562" s="20"/>
      <x:c r="F1562" s="25"/>
      <x:c r="G1562" s="20"/>
      <x:c r="H1562" s="20"/>
      <x:c r="I1562" s="20"/>
      <x:c r="J1562" s="20"/>
      <x:c r="K1562" s="20"/>
      <x:c r="L1562" s="20"/>
      <x:c r="M1562" s="20"/>
      <x:c r="N1562" s="20"/>
      <x:c r="O1562" s="20"/>
      <x:c r="P1562" s="20"/>
      <x:c r="Q1562" s="20"/>
      <x:c r="R1562" s="20"/>
      <x:c r="S1562" s="20"/>
      <x:c r="T1562" s="20"/>
      <x:c r="U1562" s="20"/>
      <x:c r="V1562" s="20"/>
      <x:c r="W1562" s="20"/>
      <x:c r="X1562" s="20"/>
      <x:c r="Y1562" s="21"/>
    </x:row>
    <x:row r="1563">
      <x:c r="A1563" s="19"/>
      <x:c r="B1563" s="27"/>
      <x:c r="C1563" s="20"/>
      <x:c r="D1563" s="28"/>
      <x:c r="E1563" s="20"/>
      <x:c r="F1563" s="25"/>
      <x:c r="G1563" s="20"/>
      <x:c r="H1563" s="20"/>
      <x:c r="I1563" s="20"/>
      <x:c r="J1563" s="20"/>
      <x:c r="K1563" s="20"/>
      <x:c r="L1563" s="20"/>
      <x:c r="M1563" s="20"/>
      <x:c r="N1563" s="20"/>
      <x:c r="O1563" s="20"/>
      <x:c r="P1563" s="20"/>
      <x:c r="Q1563" s="20"/>
      <x:c r="R1563" s="20"/>
      <x:c r="S1563" s="20"/>
      <x:c r="T1563" s="20"/>
      <x:c r="U1563" s="20"/>
      <x:c r="V1563" s="20"/>
      <x:c r="W1563" s="20"/>
      <x:c r="X1563" s="20"/>
      <x:c r="Y1563" s="21"/>
    </x:row>
    <x:row r="1564">
      <x:c r="A1564" s="19"/>
      <x:c r="B1564" s="27"/>
      <x:c r="C1564" s="20"/>
      <x:c r="D1564" s="28"/>
      <x:c r="E1564" s="20"/>
      <x:c r="F1564" s="25"/>
      <x:c r="G1564" s="20"/>
      <x:c r="H1564" s="20"/>
      <x:c r="I1564" s="20"/>
      <x:c r="J1564" s="20"/>
      <x:c r="K1564" s="20"/>
      <x:c r="L1564" s="20"/>
      <x:c r="M1564" s="20"/>
      <x:c r="N1564" s="20"/>
      <x:c r="O1564" s="20"/>
      <x:c r="P1564" s="20"/>
      <x:c r="Q1564" s="20"/>
      <x:c r="R1564" s="20"/>
      <x:c r="S1564" s="20"/>
      <x:c r="T1564" s="20"/>
      <x:c r="U1564" s="20"/>
      <x:c r="V1564" s="20"/>
      <x:c r="W1564" s="20"/>
      <x:c r="X1564" s="20"/>
      <x:c r="Y1564" s="21"/>
    </x:row>
    <x:row r="1565">
      <x:c r="A1565" s="19"/>
      <x:c r="B1565" s="27"/>
      <x:c r="C1565" s="20"/>
      <x:c r="D1565" s="28"/>
      <x:c r="E1565" s="20"/>
      <x:c r="F1565" s="25"/>
      <x:c r="G1565" s="20"/>
      <x:c r="H1565" s="20"/>
      <x:c r="I1565" s="20"/>
      <x:c r="J1565" s="20"/>
      <x:c r="K1565" s="20"/>
      <x:c r="L1565" s="20"/>
      <x:c r="M1565" s="20"/>
      <x:c r="N1565" s="20"/>
      <x:c r="O1565" s="20"/>
      <x:c r="P1565" s="20"/>
      <x:c r="Q1565" s="20"/>
      <x:c r="R1565" s="20"/>
      <x:c r="S1565" s="20"/>
      <x:c r="T1565" s="20"/>
      <x:c r="U1565" s="20"/>
      <x:c r="V1565" s="20"/>
      <x:c r="W1565" s="20"/>
      <x:c r="X1565" s="20"/>
      <x:c r="Y1565" s="21"/>
    </x:row>
    <x:row r="1566">
      <x:c r="A1566" s="19"/>
      <x:c r="B1566" s="27"/>
      <x:c r="C1566" s="20"/>
      <x:c r="D1566" s="28"/>
      <x:c r="E1566" s="20"/>
      <x:c r="F1566" s="25"/>
      <x:c r="G1566" s="20"/>
      <x:c r="H1566" s="20"/>
      <x:c r="I1566" s="20"/>
      <x:c r="J1566" s="20"/>
      <x:c r="K1566" s="20"/>
      <x:c r="L1566" s="20"/>
      <x:c r="M1566" s="20"/>
      <x:c r="N1566" s="20"/>
      <x:c r="O1566" s="20"/>
      <x:c r="P1566" s="20"/>
      <x:c r="Q1566" s="20"/>
      <x:c r="R1566" s="20"/>
      <x:c r="S1566" s="20"/>
      <x:c r="T1566" s="20"/>
      <x:c r="U1566" s="20"/>
      <x:c r="V1566" s="20"/>
      <x:c r="W1566" s="20"/>
      <x:c r="X1566" s="20"/>
      <x:c r="Y1566" s="21"/>
    </x:row>
    <x:row r="1567">
      <x:c r="A1567" s="19"/>
      <x:c r="B1567" s="27"/>
      <x:c r="C1567" s="20"/>
      <x:c r="D1567" s="28"/>
      <x:c r="E1567" s="20"/>
      <x:c r="F1567" s="25"/>
      <x:c r="G1567" s="20"/>
      <x:c r="H1567" s="20"/>
      <x:c r="I1567" s="20"/>
      <x:c r="J1567" s="20"/>
      <x:c r="K1567" s="20"/>
      <x:c r="L1567" s="20"/>
      <x:c r="M1567" s="20"/>
      <x:c r="N1567" s="20"/>
      <x:c r="O1567" s="20"/>
      <x:c r="P1567" s="20"/>
      <x:c r="Q1567" s="20"/>
      <x:c r="R1567" s="20"/>
      <x:c r="S1567" s="20"/>
      <x:c r="T1567" s="20"/>
      <x:c r="U1567" s="20"/>
      <x:c r="V1567" s="20"/>
      <x:c r="W1567" s="20"/>
      <x:c r="X1567" s="20"/>
      <x:c r="Y1567" s="21"/>
    </x:row>
    <x:row r="1568">
      <x:c r="A1568" s="19"/>
      <x:c r="B1568" s="27"/>
      <x:c r="C1568" s="20"/>
      <x:c r="D1568" s="28"/>
      <x:c r="E1568" s="20"/>
      <x:c r="F1568" s="25"/>
      <x:c r="G1568" s="20"/>
      <x:c r="H1568" s="20"/>
      <x:c r="I1568" s="20"/>
      <x:c r="J1568" s="20"/>
      <x:c r="K1568" s="20"/>
      <x:c r="L1568" s="20"/>
      <x:c r="M1568" s="20"/>
      <x:c r="N1568" s="20"/>
      <x:c r="O1568" s="20"/>
      <x:c r="P1568" s="20"/>
      <x:c r="Q1568" s="20"/>
      <x:c r="R1568" s="20"/>
      <x:c r="S1568" s="20"/>
      <x:c r="T1568" s="20"/>
      <x:c r="U1568" s="20"/>
      <x:c r="V1568" s="20"/>
      <x:c r="W1568" s="20"/>
      <x:c r="X1568" s="20"/>
      <x:c r="Y1568" s="21"/>
    </x:row>
    <x:row r="1569">
      <x:c r="A1569" s="19"/>
      <x:c r="B1569" s="27"/>
      <x:c r="C1569" s="20"/>
      <x:c r="D1569" s="28"/>
      <x:c r="E1569" s="20"/>
      <x:c r="F1569" s="25"/>
      <x:c r="G1569" s="20"/>
      <x:c r="H1569" s="20"/>
      <x:c r="I1569" s="20"/>
      <x:c r="J1569" s="20"/>
      <x:c r="K1569" s="20"/>
      <x:c r="L1569" s="20"/>
      <x:c r="M1569" s="20"/>
      <x:c r="N1569" s="20"/>
      <x:c r="O1569" s="20"/>
      <x:c r="P1569" s="20"/>
      <x:c r="Q1569" s="20"/>
      <x:c r="R1569" s="20"/>
      <x:c r="S1569" s="20"/>
      <x:c r="T1569" s="20"/>
      <x:c r="U1569" s="20"/>
      <x:c r="V1569" s="20"/>
      <x:c r="W1569" s="20"/>
      <x:c r="X1569" s="20"/>
      <x:c r="Y1569" s="21"/>
    </x:row>
    <x:row r="1570">
      <x:c r="A1570" s="19"/>
      <x:c r="B1570" s="27"/>
      <x:c r="C1570" s="20"/>
      <x:c r="D1570" s="28"/>
      <x:c r="E1570" s="20"/>
      <x:c r="F1570" s="25"/>
      <x:c r="G1570" s="20"/>
      <x:c r="H1570" s="20"/>
      <x:c r="I1570" s="20"/>
      <x:c r="J1570" s="20"/>
      <x:c r="K1570" s="20"/>
      <x:c r="L1570" s="20"/>
      <x:c r="M1570" s="20"/>
      <x:c r="N1570" s="20"/>
      <x:c r="O1570" s="20"/>
      <x:c r="P1570" s="20"/>
      <x:c r="Q1570" s="20"/>
      <x:c r="R1570" s="20"/>
      <x:c r="S1570" s="20"/>
      <x:c r="T1570" s="20"/>
      <x:c r="U1570" s="20"/>
      <x:c r="V1570" s="20"/>
      <x:c r="W1570" s="20"/>
      <x:c r="X1570" s="20"/>
      <x:c r="Y1570" s="21"/>
    </x:row>
    <x:row r="1571">
      <x:c r="A1571" s="19"/>
      <x:c r="B1571" s="27"/>
      <x:c r="C1571" s="20"/>
      <x:c r="D1571" s="28"/>
      <x:c r="E1571" s="20"/>
      <x:c r="F1571" s="25"/>
      <x:c r="G1571" s="20"/>
      <x:c r="H1571" s="20"/>
      <x:c r="I1571" s="20"/>
      <x:c r="J1571" s="20"/>
      <x:c r="K1571" s="20"/>
      <x:c r="L1571" s="20"/>
      <x:c r="M1571" s="20"/>
      <x:c r="N1571" s="20"/>
      <x:c r="O1571" s="20"/>
      <x:c r="P1571" s="20"/>
      <x:c r="Q1571" s="20"/>
      <x:c r="R1571" s="20"/>
      <x:c r="S1571" s="20"/>
      <x:c r="T1571" s="20"/>
      <x:c r="U1571" s="20"/>
      <x:c r="V1571" s="20"/>
      <x:c r="W1571" s="20"/>
      <x:c r="X1571" s="20"/>
      <x:c r="Y1571" s="21"/>
    </x:row>
    <x:row r="1572">
      <x:c r="A1572" s="19"/>
      <x:c r="B1572" s="27"/>
      <x:c r="C1572" s="20"/>
      <x:c r="D1572" s="28"/>
      <x:c r="E1572" s="20"/>
      <x:c r="F1572" s="25"/>
      <x:c r="G1572" s="20"/>
      <x:c r="H1572" s="20"/>
      <x:c r="I1572" s="20"/>
      <x:c r="J1572" s="20"/>
      <x:c r="K1572" s="20"/>
      <x:c r="L1572" s="20"/>
      <x:c r="M1572" s="20"/>
      <x:c r="N1572" s="20"/>
      <x:c r="O1572" s="20"/>
      <x:c r="P1572" s="20"/>
      <x:c r="Q1572" s="20"/>
      <x:c r="R1572" s="20"/>
      <x:c r="S1572" s="20"/>
      <x:c r="T1572" s="20"/>
      <x:c r="U1572" s="20"/>
      <x:c r="V1572" s="20"/>
      <x:c r="W1572" s="20"/>
      <x:c r="X1572" s="20"/>
      <x:c r="Y1572" s="21"/>
    </x:row>
    <x:row r="1573">
      <x:c r="A1573" s="19"/>
      <x:c r="B1573" s="27"/>
      <x:c r="C1573" s="20"/>
      <x:c r="D1573" s="28"/>
      <x:c r="E1573" s="20"/>
      <x:c r="F1573" s="25"/>
      <x:c r="G1573" s="20"/>
      <x:c r="H1573" s="20"/>
      <x:c r="I1573" s="20"/>
      <x:c r="J1573" s="20"/>
      <x:c r="K1573" s="20"/>
      <x:c r="L1573" s="20"/>
      <x:c r="M1573" s="20"/>
      <x:c r="N1573" s="20"/>
      <x:c r="O1573" s="20"/>
      <x:c r="P1573" s="20"/>
      <x:c r="Q1573" s="20"/>
      <x:c r="R1573" s="20"/>
      <x:c r="S1573" s="20"/>
      <x:c r="T1573" s="20"/>
      <x:c r="U1573" s="20"/>
      <x:c r="V1573" s="20"/>
      <x:c r="W1573" s="20"/>
      <x:c r="X1573" s="20"/>
      <x:c r="Y1573" s="21"/>
    </x:row>
    <x:row r="1574">
      <x:c r="A1574" s="19"/>
      <x:c r="B1574" s="27"/>
      <x:c r="C1574" s="20"/>
      <x:c r="D1574" s="28"/>
      <x:c r="E1574" s="20"/>
      <x:c r="F1574" s="25"/>
      <x:c r="G1574" s="20"/>
      <x:c r="H1574" s="20"/>
      <x:c r="I1574" s="20"/>
      <x:c r="J1574" s="20"/>
      <x:c r="K1574" s="20"/>
      <x:c r="L1574" s="20"/>
      <x:c r="M1574" s="20"/>
      <x:c r="N1574" s="20"/>
      <x:c r="O1574" s="20"/>
      <x:c r="P1574" s="20"/>
      <x:c r="Q1574" s="20"/>
      <x:c r="R1574" s="20"/>
      <x:c r="S1574" s="20"/>
      <x:c r="T1574" s="20"/>
      <x:c r="U1574" s="20"/>
      <x:c r="V1574" s="20"/>
      <x:c r="W1574" s="20"/>
      <x:c r="X1574" s="20"/>
      <x:c r="Y1574" s="21"/>
    </x:row>
    <x:row r="1575">
      <x:c r="A1575" s="19"/>
      <x:c r="B1575" s="27"/>
      <x:c r="C1575" s="20"/>
      <x:c r="D1575" s="28"/>
      <x:c r="E1575" s="20"/>
      <x:c r="F1575" s="25"/>
      <x:c r="G1575" s="20"/>
      <x:c r="H1575" s="20"/>
      <x:c r="I1575" s="20"/>
      <x:c r="J1575" s="20"/>
      <x:c r="K1575" s="20"/>
      <x:c r="L1575" s="20"/>
      <x:c r="M1575" s="20"/>
      <x:c r="N1575" s="20"/>
      <x:c r="O1575" s="20"/>
      <x:c r="P1575" s="20"/>
      <x:c r="Q1575" s="20"/>
      <x:c r="R1575" s="20"/>
      <x:c r="S1575" s="20"/>
      <x:c r="T1575" s="20"/>
      <x:c r="U1575" s="20"/>
      <x:c r="V1575" s="20"/>
      <x:c r="W1575" s="20"/>
      <x:c r="X1575" s="20"/>
      <x:c r="Y1575" s="21"/>
    </x:row>
    <x:row r="1576">
      <x:c r="A1576" s="19"/>
      <x:c r="B1576" s="27"/>
      <x:c r="C1576" s="20"/>
      <x:c r="D1576" s="28"/>
      <x:c r="E1576" s="20"/>
      <x:c r="F1576" s="25"/>
      <x:c r="G1576" s="20"/>
      <x:c r="H1576" s="20"/>
      <x:c r="I1576" s="20"/>
      <x:c r="J1576" s="20"/>
      <x:c r="K1576" s="20"/>
      <x:c r="L1576" s="20"/>
      <x:c r="M1576" s="20"/>
      <x:c r="N1576" s="20"/>
      <x:c r="O1576" s="20"/>
      <x:c r="P1576" s="20"/>
      <x:c r="Q1576" s="20"/>
      <x:c r="R1576" s="20"/>
      <x:c r="S1576" s="20"/>
      <x:c r="T1576" s="20"/>
      <x:c r="U1576" s="20"/>
      <x:c r="V1576" s="20"/>
      <x:c r="W1576" s="20"/>
      <x:c r="X1576" s="20"/>
      <x:c r="Y1576" s="21"/>
    </x:row>
    <x:row r="1577">
      <x:c r="A1577" s="19"/>
      <x:c r="B1577" s="27"/>
      <x:c r="C1577" s="20"/>
      <x:c r="D1577" s="28"/>
      <x:c r="E1577" s="20"/>
      <x:c r="F1577" s="25"/>
      <x:c r="G1577" s="20"/>
      <x:c r="H1577" s="20"/>
      <x:c r="I1577" s="20"/>
      <x:c r="J1577" s="20"/>
      <x:c r="K1577" s="20"/>
      <x:c r="L1577" s="20"/>
      <x:c r="M1577" s="20"/>
      <x:c r="N1577" s="20"/>
      <x:c r="O1577" s="20"/>
      <x:c r="P1577" s="20"/>
      <x:c r="Q1577" s="20"/>
      <x:c r="R1577" s="20"/>
      <x:c r="S1577" s="20"/>
      <x:c r="T1577" s="20"/>
      <x:c r="U1577" s="20"/>
      <x:c r="V1577" s="20"/>
      <x:c r="W1577" s="20"/>
      <x:c r="X1577" s="20"/>
      <x:c r="Y1577" s="21"/>
    </x:row>
    <x:row r="1578">
      <x:c r="A1578" s="19"/>
      <x:c r="B1578" s="27"/>
      <x:c r="C1578" s="20"/>
      <x:c r="D1578" s="28"/>
      <x:c r="E1578" s="20"/>
      <x:c r="F1578" s="25"/>
      <x:c r="G1578" s="20"/>
      <x:c r="H1578" s="20"/>
      <x:c r="I1578" s="20"/>
      <x:c r="J1578" s="20"/>
      <x:c r="K1578" s="20"/>
      <x:c r="L1578" s="20"/>
      <x:c r="M1578" s="20"/>
      <x:c r="N1578" s="20"/>
      <x:c r="O1578" s="20"/>
      <x:c r="P1578" s="20"/>
      <x:c r="Q1578" s="20"/>
      <x:c r="R1578" s="20"/>
      <x:c r="S1578" s="20"/>
      <x:c r="T1578" s="20"/>
      <x:c r="U1578" s="20"/>
      <x:c r="V1578" s="20"/>
      <x:c r="W1578" s="20"/>
      <x:c r="X1578" s="20"/>
      <x:c r="Y1578" s="21"/>
    </x:row>
    <x:row r="1579">
      <x:c r="A1579" s="19"/>
      <x:c r="B1579" s="27"/>
      <x:c r="C1579" s="20"/>
      <x:c r="D1579" s="28"/>
      <x:c r="E1579" s="20"/>
      <x:c r="F1579" s="25"/>
      <x:c r="G1579" s="20"/>
      <x:c r="H1579" s="20"/>
      <x:c r="I1579" s="20"/>
      <x:c r="J1579" s="20"/>
      <x:c r="K1579" s="20"/>
      <x:c r="L1579" s="20"/>
      <x:c r="M1579" s="20"/>
      <x:c r="N1579" s="20"/>
      <x:c r="O1579" s="20"/>
      <x:c r="P1579" s="20"/>
      <x:c r="Q1579" s="20"/>
      <x:c r="R1579" s="20"/>
      <x:c r="S1579" s="20"/>
      <x:c r="T1579" s="20"/>
      <x:c r="U1579" s="20"/>
      <x:c r="V1579" s="20"/>
      <x:c r="W1579" s="20"/>
      <x:c r="X1579" s="20"/>
      <x:c r="Y1579" s="21"/>
    </x:row>
    <x:row r="1580">
      <x:c r="A1580" s="19"/>
      <x:c r="B1580" s="27"/>
      <x:c r="C1580" s="20"/>
      <x:c r="D1580" s="28"/>
      <x:c r="E1580" s="20"/>
      <x:c r="F1580" s="25"/>
      <x:c r="G1580" s="20"/>
      <x:c r="H1580" s="20"/>
      <x:c r="I1580" s="20"/>
      <x:c r="J1580" s="20"/>
      <x:c r="K1580" s="20"/>
      <x:c r="L1580" s="20"/>
      <x:c r="M1580" s="20"/>
      <x:c r="N1580" s="20"/>
      <x:c r="O1580" s="20"/>
      <x:c r="P1580" s="20"/>
      <x:c r="Q1580" s="20"/>
      <x:c r="R1580" s="20"/>
      <x:c r="S1580" s="20"/>
      <x:c r="T1580" s="20"/>
      <x:c r="U1580" s="20"/>
      <x:c r="V1580" s="20"/>
      <x:c r="W1580" s="20"/>
      <x:c r="X1580" s="20"/>
      <x:c r="Y1580" s="21"/>
    </x:row>
    <x:row r="1581">
      <x:c r="A1581" s="19"/>
      <x:c r="B1581" s="27"/>
      <x:c r="C1581" s="20"/>
      <x:c r="D1581" s="28"/>
      <x:c r="E1581" s="20"/>
      <x:c r="F1581" s="25"/>
      <x:c r="G1581" s="20"/>
      <x:c r="H1581" s="20"/>
      <x:c r="I1581" s="20"/>
      <x:c r="J1581" s="20"/>
      <x:c r="K1581" s="20"/>
      <x:c r="L1581" s="20"/>
      <x:c r="M1581" s="20"/>
      <x:c r="N1581" s="20"/>
      <x:c r="O1581" s="20"/>
      <x:c r="P1581" s="20"/>
      <x:c r="Q1581" s="20"/>
      <x:c r="R1581" s="20"/>
      <x:c r="S1581" s="20"/>
      <x:c r="T1581" s="20"/>
      <x:c r="U1581" s="20"/>
      <x:c r="V1581" s="20"/>
      <x:c r="W1581" s="20"/>
      <x:c r="X1581" s="20"/>
      <x:c r="Y1581" s="21"/>
    </x:row>
    <x:row r="1582">
      <x:c r="A1582" s="19"/>
      <x:c r="B1582" s="27"/>
      <x:c r="C1582" s="20"/>
      <x:c r="D1582" s="28"/>
      <x:c r="E1582" s="20"/>
      <x:c r="F1582" s="25"/>
      <x:c r="G1582" s="20"/>
      <x:c r="H1582" s="20"/>
      <x:c r="I1582" s="20"/>
      <x:c r="J1582" s="20"/>
      <x:c r="K1582" s="20"/>
      <x:c r="L1582" s="20"/>
      <x:c r="M1582" s="20"/>
      <x:c r="N1582" s="20"/>
      <x:c r="O1582" s="20"/>
      <x:c r="P1582" s="20"/>
      <x:c r="Q1582" s="20"/>
      <x:c r="R1582" s="20"/>
      <x:c r="S1582" s="20"/>
      <x:c r="T1582" s="20"/>
      <x:c r="U1582" s="20"/>
      <x:c r="V1582" s="20"/>
      <x:c r="W1582" s="20"/>
      <x:c r="X1582" s="20"/>
      <x:c r="Y1582" s="21"/>
    </x:row>
    <x:row r="1583">
      <x:c r="A1583" s="19"/>
      <x:c r="B1583" s="27"/>
      <x:c r="C1583" s="20"/>
      <x:c r="D1583" s="28"/>
      <x:c r="E1583" s="20"/>
      <x:c r="F1583" s="25"/>
      <x:c r="G1583" s="20"/>
      <x:c r="H1583" s="20"/>
      <x:c r="I1583" s="20"/>
      <x:c r="J1583" s="20"/>
      <x:c r="K1583" s="20"/>
      <x:c r="L1583" s="20"/>
      <x:c r="M1583" s="20"/>
      <x:c r="N1583" s="20"/>
      <x:c r="O1583" s="20"/>
      <x:c r="P1583" s="20"/>
      <x:c r="Q1583" s="20"/>
      <x:c r="R1583" s="20"/>
      <x:c r="S1583" s="20"/>
      <x:c r="T1583" s="20"/>
      <x:c r="U1583" s="20"/>
      <x:c r="V1583" s="20"/>
      <x:c r="W1583" s="20"/>
      <x:c r="X1583" s="20"/>
      <x:c r="Y1583" s="21"/>
    </x:row>
    <x:row r="1584">
      <x:c r="A1584" s="19"/>
      <x:c r="B1584" s="27"/>
      <x:c r="C1584" s="20"/>
      <x:c r="D1584" s="28"/>
      <x:c r="E1584" s="20"/>
      <x:c r="F1584" s="25"/>
      <x:c r="G1584" s="20"/>
      <x:c r="H1584" s="20"/>
      <x:c r="I1584" s="20"/>
      <x:c r="J1584" s="20"/>
      <x:c r="K1584" s="20"/>
      <x:c r="L1584" s="20"/>
      <x:c r="M1584" s="20"/>
      <x:c r="N1584" s="20"/>
      <x:c r="O1584" s="20"/>
      <x:c r="P1584" s="20"/>
      <x:c r="Q1584" s="20"/>
      <x:c r="R1584" s="20"/>
      <x:c r="S1584" s="20"/>
      <x:c r="T1584" s="20"/>
      <x:c r="U1584" s="20"/>
      <x:c r="V1584" s="20"/>
      <x:c r="W1584" s="20"/>
      <x:c r="X1584" s="20"/>
      <x:c r="Y1584" s="21"/>
    </x:row>
    <x:row r="1585">
      <x:c r="A1585" s="19"/>
      <x:c r="B1585" s="27"/>
      <x:c r="C1585" s="20"/>
      <x:c r="D1585" s="28"/>
      <x:c r="E1585" s="20"/>
      <x:c r="F1585" s="25"/>
      <x:c r="G1585" s="20"/>
      <x:c r="H1585" s="20"/>
      <x:c r="I1585" s="20"/>
      <x:c r="J1585" s="20"/>
      <x:c r="K1585" s="20"/>
      <x:c r="L1585" s="20"/>
      <x:c r="M1585" s="20"/>
      <x:c r="N1585" s="20"/>
      <x:c r="O1585" s="20"/>
      <x:c r="P1585" s="20"/>
      <x:c r="Q1585" s="20"/>
      <x:c r="R1585" s="20"/>
      <x:c r="S1585" s="20"/>
      <x:c r="T1585" s="20"/>
      <x:c r="U1585" s="20"/>
      <x:c r="V1585" s="20"/>
      <x:c r="W1585" s="20"/>
      <x:c r="X1585" s="20"/>
      <x:c r="Y1585" s="21"/>
    </x:row>
    <x:row r="1586">
      <x:c r="A1586" s="19"/>
      <x:c r="B1586" s="27"/>
      <x:c r="C1586" s="20"/>
      <x:c r="D1586" s="28"/>
      <x:c r="E1586" s="20"/>
      <x:c r="F1586" s="25"/>
      <x:c r="G1586" s="20"/>
      <x:c r="H1586" s="20"/>
      <x:c r="I1586" s="20"/>
      <x:c r="J1586" s="20"/>
      <x:c r="K1586" s="20"/>
      <x:c r="L1586" s="20"/>
      <x:c r="M1586" s="20"/>
      <x:c r="N1586" s="20"/>
      <x:c r="O1586" s="20"/>
      <x:c r="P1586" s="20"/>
      <x:c r="Q1586" s="20"/>
      <x:c r="R1586" s="20"/>
      <x:c r="S1586" s="20"/>
      <x:c r="T1586" s="20"/>
      <x:c r="U1586" s="20"/>
      <x:c r="V1586" s="20"/>
      <x:c r="W1586" s="20"/>
      <x:c r="X1586" s="20"/>
      <x:c r="Y1586" s="21"/>
    </x:row>
    <x:row r="1587">
      <x:c r="A1587" s="19"/>
      <x:c r="B1587" s="27"/>
      <x:c r="C1587" s="20"/>
      <x:c r="D1587" s="28"/>
      <x:c r="E1587" s="20"/>
      <x:c r="F1587" s="25"/>
      <x:c r="G1587" s="20"/>
      <x:c r="H1587" s="20"/>
      <x:c r="I1587" s="20"/>
      <x:c r="J1587" s="20"/>
      <x:c r="K1587" s="20"/>
      <x:c r="L1587" s="20"/>
      <x:c r="M1587" s="20"/>
      <x:c r="N1587" s="20"/>
      <x:c r="O1587" s="20"/>
      <x:c r="P1587" s="20"/>
      <x:c r="Q1587" s="20"/>
      <x:c r="R1587" s="20"/>
      <x:c r="S1587" s="20"/>
      <x:c r="T1587" s="20"/>
      <x:c r="U1587" s="20"/>
      <x:c r="V1587" s="20"/>
      <x:c r="W1587" s="20"/>
      <x:c r="X1587" s="20"/>
      <x:c r="Y1587" s="21"/>
    </x:row>
    <x:row r="1588">
      <x:c r="A1588" s="19"/>
      <x:c r="B1588" s="27"/>
      <x:c r="C1588" s="20"/>
      <x:c r="D1588" s="28"/>
      <x:c r="E1588" s="20"/>
      <x:c r="F1588" s="25"/>
      <x:c r="G1588" s="20"/>
      <x:c r="H1588" s="20"/>
      <x:c r="I1588" s="20"/>
      <x:c r="J1588" s="20"/>
      <x:c r="K1588" s="20"/>
      <x:c r="L1588" s="20"/>
      <x:c r="M1588" s="20"/>
      <x:c r="N1588" s="20"/>
      <x:c r="O1588" s="20"/>
      <x:c r="P1588" s="20"/>
      <x:c r="Q1588" s="20"/>
      <x:c r="R1588" s="20"/>
      <x:c r="S1588" s="20"/>
      <x:c r="T1588" s="20"/>
      <x:c r="U1588" s="20"/>
      <x:c r="V1588" s="20"/>
      <x:c r="W1588" s="20"/>
      <x:c r="X1588" s="20"/>
      <x:c r="Y1588" s="21"/>
    </x:row>
    <x:row r="1589">
      <x:c r="A1589" s="19"/>
      <x:c r="B1589" s="27"/>
      <x:c r="C1589" s="20"/>
      <x:c r="D1589" s="28"/>
      <x:c r="E1589" s="20"/>
      <x:c r="F1589" s="25"/>
      <x:c r="G1589" s="20"/>
      <x:c r="H1589" s="20"/>
      <x:c r="I1589" s="20"/>
      <x:c r="J1589" s="20"/>
      <x:c r="K1589" s="20"/>
      <x:c r="L1589" s="20"/>
      <x:c r="M1589" s="20"/>
      <x:c r="N1589" s="20"/>
      <x:c r="O1589" s="20"/>
      <x:c r="P1589" s="20"/>
      <x:c r="Q1589" s="20"/>
      <x:c r="R1589" s="20"/>
      <x:c r="S1589" s="20"/>
      <x:c r="T1589" s="20"/>
      <x:c r="U1589" s="20"/>
      <x:c r="V1589" s="20"/>
      <x:c r="W1589" s="20"/>
      <x:c r="X1589" s="20"/>
      <x:c r="Y1589" s="21"/>
    </x:row>
    <x:row r="1590">
      <x:c r="A1590" s="19"/>
      <x:c r="B1590" s="27"/>
      <x:c r="C1590" s="20"/>
      <x:c r="D1590" s="28"/>
      <x:c r="E1590" s="20"/>
      <x:c r="F1590" s="25"/>
      <x:c r="G1590" s="20"/>
      <x:c r="H1590" s="20"/>
      <x:c r="I1590" s="20"/>
      <x:c r="J1590" s="20"/>
      <x:c r="K1590" s="20"/>
      <x:c r="L1590" s="20"/>
      <x:c r="M1590" s="20"/>
      <x:c r="N1590" s="20"/>
      <x:c r="O1590" s="20"/>
      <x:c r="P1590" s="20"/>
      <x:c r="Q1590" s="20"/>
      <x:c r="R1590" s="20"/>
      <x:c r="S1590" s="20"/>
      <x:c r="T1590" s="20"/>
      <x:c r="U1590" s="20"/>
      <x:c r="V1590" s="20"/>
      <x:c r="W1590" s="20"/>
      <x:c r="X1590" s="20"/>
      <x:c r="Y1590" s="21"/>
    </x:row>
    <x:row r="1591">
      <x:c r="A1591" s="19"/>
      <x:c r="B1591" s="27"/>
      <x:c r="C1591" s="20"/>
      <x:c r="D1591" s="28"/>
      <x:c r="E1591" s="20"/>
      <x:c r="F1591" s="25"/>
      <x:c r="G1591" s="20"/>
      <x:c r="H1591" s="20"/>
      <x:c r="I1591" s="20"/>
      <x:c r="J1591" s="20"/>
      <x:c r="K1591" s="20"/>
      <x:c r="L1591" s="20"/>
      <x:c r="M1591" s="20"/>
      <x:c r="N1591" s="20"/>
      <x:c r="O1591" s="20"/>
      <x:c r="P1591" s="20"/>
      <x:c r="Q1591" s="20"/>
      <x:c r="R1591" s="20"/>
      <x:c r="S1591" s="20"/>
      <x:c r="T1591" s="20"/>
      <x:c r="U1591" s="20"/>
      <x:c r="V1591" s="20"/>
      <x:c r="W1591" s="20"/>
      <x:c r="X1591" s="20"/>
      <x:c r="Y1591" s="21"/>
    </x:row>
    <x:row r="1592">
      <x:c r="A1592" s="19"/>
      <x:c r="B1592" s="27"/>
      <x:c r="C1592" s="20"/>
      <x:c r="D1592" s="28"/>
      <x:c r="E1592" s="20"/>
      <x:c r="F1592" s="25"/>
      <x:c r="G1592" s="20"/>
      <x:c r="H1592" s="20"/>
      <x:c r="I1592" s="20"/>
      <x:c r="J1592" s="20"/>
      <x:c r="K1592" s="20"/>
      <x:c r="L1592" s="20"/>
      <x:c r="M1592" s="20"/>
      <x:c r="N1592" s="20"/>
      <x:c r="O1592" s="20"/>
      <x:c r="P1592" s="20"/>
      <x:c r="Q1592" s="20"/>
      <x:c r="R1592" s="20"/>
      <x:c r="S1592" s="20"/>
      <x:c r="T1592" s="20"/>
      <x:c r="U1592" s="20"/>
      <x:c r="V1592" s="20"/>
      <x:c r="W1592" s="20"/>
      <x:c r="X1592" s="20"/>
      <x:c r="Y1592" s="21"/>
    </x:row>
    <x:row r="1593">
      <x:c r="A1593" s="19"/>
      <x:c r="B1593" s="27"/>
      <x:c r="C1593" s="20"/>
      <x:c r="D1593" s="28"/>
      <x:c r="E1593" s="20"/>
      <x:c r="F1593" s="25"/>
      <x:c r="G1593" s="20"/>
      <x:c r="H1593" s="20"/>
      <x:c r="I1593" s="20"/>
      <x:c r="J1593" s="20"/>
      <x:c r="K1593" s="20"/>
      <x:c r="L1593" s="20"/>
      <x:c r="M1593" s="20"/>
      <x:c r="N1593" s="20"/>
      <x:c r="O1593" s="20"/>
      <x:c r="P1593" s="20"/>
      <x:c r="Q1593" s="20"/>
      <x:c r="R1593" s="20"/>
      <x:c r="S1593" s="20"/>
      <x:c r="T1593" s="20"/>
      <x:c r="U1593" s="20"/>
      <x:c r="V1593" s="20"/>
      <x:c r="W1593" s="20"/>
      <x:c r="X1593" s="20"/>
      <x:c r="Y1593" s="21"/>
    </x:row>
    <x:row r="1594">
      <x:c r="A1594" s="19"/>
      <x:c r="B1594" s="27"/>
      <x:c r="C1594" s="20"/>
      <x:c r="D1594" s="28"/>
      <x:c r="E1594" s="20"/>
      <x:c r="F1594" s="25"/>
      <x:c r="G1594" s="20"/>
      <x:c r="H1594" s="20"/>
      <x:c r="I1594" s="20"/>
      <x:c r="J1594" s="20"/>
      <x:c r="K1594" s="20"/>
      <x:c r="L1594" s="20"/>
      <x:c r="M1594" s="20"/>
      <x:c r="N1594" s="20"/>
      <x:c r="O1594" s="20"/>
      <x:c r="P1594" s="20"/>
      <x:c r="Q1594" s="20"/>
      <x:c r="R1594" s="20"/>
      <x:c r="S1594" s="20"/>
      <x:c r="T1594" s="20"/>
      <x:c r="U1594" s="20"/>
      <x:c r="V1594" s="20"/>
      <x:c r="W1594" s="20"/>
      <x:c r="X1594" s="20"/>
      <x:c r="Y1594" s="21"/>
    </x:row>
    <x:row r="1595">
      <x:c r="A1595" s="19"/>
      <x:c r="B1595" s="27"/>
      <x:c r="C1595" s="20"/>
      <x:c r="D1595" s="28"/>
      <x:c r="E1595" s="20"/>
      <x:c r="F1595" s="25"/>
      <x:c r="G1595" s="20"/>
      <x:c r="H1595" s="20"/>
      <x:c r="I1595" s="20"/>
      <x:c r="J1595" s="20"/>
      <x:c r="K1595" s="20"/>
      <x:c r="L1595" s="20"/>
      <x:c r="M1595" s="20"/>
      <x:c r="N1595" s="20"/>
      <x:c r="O1595" s="20"/>
      <x:c r="P1595" s="20"/>
      <x:c r="Q1595" s="20"/>
      <x:c r="R1595" s="20"/>
      <x:c r="S1595" s="20"/>
      <x:c r="T1595" s="20"/>
      <x:c r="U1595" s="20"/>
      <x:c r="V1595" s="20"/>
      <x:c r="W1595" s="20"/>
      <x:c r="X1595" s="20"/>
      <x:c r="Y1595" s="21"/>
    </x:row>
    <x:row r="1596">
      <x:c r="A1596" s="19"/>
      <x:c r="B1596" s="27"/>
      <x:c r="C1596" s="20"/>
      <x:c r="D1596" s="28"/>
      <x:c r="E1596" s="20"/>
      <x:c r="F1596" s="25"/>
      <x:c r="G1596" s="20"/>
      <x:c r="H1596" s="20"/>
      <x:c r="I1596" s="20"/>
      <x:c r="J1596" s="20"/>
      <x:c r="K1596" s="20"/>
      <x:c r="L1596" s="20"/>
      <x:c r="M1596" s="20"/>
      <x:c r="N1596" s="20"/>
      <x:c r="O1596" s="20"/>
      <x:c r="P1596" s="20"/>
      <x:c r="Q1596" s="20"/>
      <x:c r="R1596" s="20"/>
      <x:c r="S1596" s="20"/>
      <x:c r="T1596" s="20"/>
      <x:c r="U1596" s="20"/>
      <x:c r="V1596" s="20"/>
      <x:c r="W1596" s="20"/>
      <x:c r="X1596" s="20"/>
      <x:c r="Y1596" s="21"/>
    </x:row>
    <x:row r="1597">
      <x:c r="A1597" s="19"/>
      <x:c r="B1597" s="27"/>
      <x:c r="C1597" s="20"/>
      <x:c r="D1597" s="28"/>
      <x:c r="E1597" s="20"/>
      <x:c r="F1597" s="25"/>
      <x:c r="G1597" s="20"/>
      <x:c r="H1597" s="20"/>
      <x:c r="I1597" s="20"/>
      <x:c r="J1597" s="20"/>
      <x:c r="K1597" s="20"/>
      <x:c r="L1597" s="20"/>
      <x:c r="M1597" s="20"/>
      <x:c r="N1597" s="20"/>
      <x:c r="O1597" s="20"/>
      <x:c r="P1597" s="20"/>
      <x:c r="Q1597" s="20"/>
      <x:c r="R1597" s="20"/>
      <x:c r="S1597" s="20"/>
      <x:c r="T1597" s="20"/>
      <x:c r="U1597" s="20"/>
      <x:c r="V1597" s="20"/>
      <x:c r="W1597" s="20"/>
      <x:c r="X1597" s="20"/>
      <x:c r="Y1597" s="21"/>
    </x:row>
    <x:row r="1598">
      <x:c r="A1598" s="19"/>
      <x:c r="B1598" s="27"/>
      <x:c r="C1598" s="20"/>
      <x:c r="D1598" s="28"/>
      <x:c r="E1598" s="20"/>
      <x:c r="F1598" s="25"/>
      <x:c r="G1598" s="20"/>
      <x:c r="H1598" s="20"/>
      <x:c r="I1598" s="20"/>
      <x:c r="J1598" s="20"/>
      <x:c r="K1598" s="20"/>
      <x:c r="L1598" s="20"/>
      <x:c r="M1598" s="20"/>
      <x:c r="N1598" s="20"/>
      <x:c r="O1598" s="20"/>
      <x:c r="P1598" s="20"/>
      <x:c r="Q1598" s="20"/>
      <x:c r="R1598" s="20"/>
      <x:c r="S1598" s="20"/>
      <x:c r="T1598" s="20"/>
      <x:c r="U1598" s="20"/>
      <x:c r="V1598" s="20"/>
      <x:c r="W1598" s="20"/>
      <x:c r="X1598" s="20"/>
      <x:c r="Y1598" s="21"/>
    </x:row>
    <x:row r="1599">
      <x:c r="A1599" s="19"/>
      <x:c r="B1599" s="27"/>
      <x:c r="C1599" s="20"/>
      <x:c r="D1599" s="28"/>
      <x:c r="E1599" s="20"/>
      <x:c r="F1599" s="25"/>
      <x:c r="G1599" s="20"/>
      <x:c r="H1599" s="20"/>
      <x:c r="I1599" s="20"/>
      <x:c r="J1599" s="20"/>
      <x:c r="K1599" s="20"/>
      <x:c r="L1599" s="20"/>
      <x:c r="M1599" s="20"/>
      <x:c r="N1599" s="20"/>
      <x:c r="O1599" s="20"/>
      <x:c r="P1599" s="20"/>
      <x:c r="Q1599" s="20"/>
      <x:c r="R1599" s="20"/>
      <x:c r="S1599" s="20"/>
      <x:c r="T1599" s="20"/>
      <x:c r="U1599" s="20"/>
      <x:c r="V1599" s="20"/>
      <x:c r="W1599" s="20"/>
      <x:c r="X1599" s="20"/>
      <x:c r="Y1599" s="21"/>
    </x:row>
    <x:row r="1600">
      <x:c r="A1600" s="19"/>
      <x:c r="B1600" s="27"/>
      <x:c r="C1600" s="20"/>
      <x:c r="D1600" s="28"/>
      <x:c r="E1600" s="20"/>
      <x:c r="F1600" s="25"/>
      <x:c r="G1600" s="20"/>
      <x:c r="H1600" s="20"/>
      <x:c r="I1600" s="20"/>
      <x:c r="J1600" s="20"/>
      <x:c r="K1600" s="20"/>
      <x:c r="L1600" s="20"/>
      <x:c r="M1600" s="20"/>
      <x:c r="N1600" s="20"/>
      <x:c r="O1600" s="20"/>
      <x:c r="P1600" s="20"/>
      <x:c r="Q1600" s="20"/>
      <x:c r="R1600" s="20"/>
      <x:c r="S1600" s="20"/>
      <x:c r="T1600" s="20"/>
      <x:c r="U1600" s="20"/>
      <x:c r="V1600" s="20"/>
      <x:c r="W1600" s="20"/>
      <x:c r="X1600" s="20"/>
      <x:c r="Y1600" s="21"/>
    </x:row>
    <x:row r="1601">
      <x:c r="A1601" s="19"/>
      <x:c r="B1601" s="27"/>
      <x:c r="C1601" s="20"/>
      <x:c r="D1601" s="28"/>
      <x:c r="E1601" s="20"/>
      <x:c r="F1601" s="25"/>
      <x:c r="G1601" s="20"/>
      <x:c r="H1601" s="20"/>
      <x:c r="I1601" s="20"/>
      <x:c r="J1601" s="20"/>
      <x:c r="K1601" s="20"/>
      <x:c r="L1601" s="20"/>
      <x:c r="M1601" s="20"/>
      <x:c r="N1601" s="20"/>
      <x:c r="O1601" s="20"/>
      <x:c r="P1601" s="20"/>
      <x:c r="Q1601" s="20"/>
      <x:c r="R1601" s="20"/>
      <x:c r="S1601" s="20"/>
      <x:c r="T1601" s="20"/>
      <x:c r="U1601" s="20"/>
      <x:c r="V1601" s="20"/>
      <x:c r="W1601" s="20"/>
      <x:c r="X1601" s="20"/>
      <x:c r="Y1601" s="21"/>
    </x:row>
    <x:row r="1602">
      <x:c r="A1602" s="19"/>
      <x:c r="B1602" s="27"/>
      <x:c r="C1602" s="20"/>
      <x:c r="D1602" s="28"/>
      <x:c r="E1602" s="20"/>
      <x:c r="F1602" s="25"/>
      <x:c r="G1602" s="20"/>
      <x:c r="H1602" s="20"/>
      <x:c r="I1602" s="20"/>
      <x:c r="J1602" s="20"/>
      <x:c r="K1602" s="20"/>
      <x:c r="L1602" s="20"/>
      <x:c r="M1602" s="20"/>
      <x:c r="N1602" s="20"/>
      <x:c r="O1602" s="20"/>
      <x:c r="P1602" s="20"/>
      <x:c r="Q1602" s="20"/>
      <x:c r="R1602" s="20"/>
      <x:c r="S1602" s="20"/>
      <x:c r="T1602" s="20"/>
      <x:c r="U1602" s="20"/>
      <x:c r="V1602" s="20"/>
      <x:c r="W1602" s="20"/>
      <x:c r="X1602" s="20"/>
      <x:c r="Y1602" s="21"/>
    </x:row>
    <x:row r="1603">
      <x:c r="A1603" s="19"/>
      <x:c r="B1603" s="27"/>
      <x:c r="C1603" s="20"/>
      <x:c r="D1603" s="28"/>
      <x:c r="E1603" s="20"/>
      <x:c r="F1603" s="25"/>
      <x:c r="G1603" s="20"/>
      <x:c r="H1603" s="20"/>
      <x:c r="I1603" s="20"/>
      <x:c r="J1603" s="20"/>
      <x:c r="K1603" s="20"/>
      <x:c r="L1603" s="20"/>
      <x:c r="M1603" s="20"/>
      <x:c r="N1603" s="20"/>
      <x:c r="O1603" s="20"/>
      <x:c r="P1603" s="20"/>
      <x:c r="Q1603" s="20"/>
      <x:c r="R1603" s="20"/>
      <x:c r="S1603" s="20"/>
      <x:c r="T1603" s="20"/>
      <x:c r="U1603" s="20"/>
      <x:c r="V1603" s="20"/>
      <x:c r="W1603" s="20"/>
      <x:c r="X1603" s="20"/>
      <x:c r="Y1603" s="21"/>
    </x:row>
    <x:row r="1604">
      <x:c r="A1604" s="19"/>
      <x:c r="B1604" s="27"/>
      <x:c r="C1604" s="20"/>
      <x:c r="D1604" s="28"/>
      <x:c r="E1604" s="20"/>
      <x:c r="F1604" s="25"/>
      <x:c r="G1604" s="20"/>
      <x:c r="H1604" s="20"/>
      <x:c r="I1604" s="20"/>
      <x:c r="J1604" s="20"/>
      <x:c r="K1604" s="20"/>
      <x:c r="L1604" s="20"/>
      <x:c r="M1604" s="20"/>
      <x:c r="N1604" s="20"/>
      <x:c r="O1604" s="20"/>
      <x:c r="P1604" s="20"/>
      <x:c r="Q1604" s="20"/>
      <x:c r="R1604" s="20"/>
      <x:c r="S1604" s="20"/>
      <x:c r="T1604" s="20"/>
      <x:c r="U1604" s="20"/>
      <x:c r="V1604" s="20"/>
      <x:c r="W1604" s="20"/>
      <x:c r="X1604" s="20"/>
      <x:c r="Y1604" s="21"/>
    </x:row>
    <x:row r="1605">
      <x:c r="A1605" s="19"/>
      <x:c r="B1605" s="27"/>
      <x:c r="C1605" s="20"/>
      <x:c r="D1605" s="28"/>
      <x:c r="E1605" s="20"/>
      <x:c r="F1605" s="25"/>
      <x:c r="G1605" s="20"/>
      <x:c r="H1605" s="20"/>
      <x:c r="I1605" s="20"/>
      <x:c r="J1605" s="20"/>
      <x:c r="K1605" s="20"/>
      <x:c r="L1605" s="20"/>
      <x:c r="M1605" s="20"/>
      <x:c r="N1605" s="20"/>
      <x:c r="O1605" s="20"/>
      <x:c r="P1605" s="20"/>
      <x:c r="Q1605" s="20"/>
      <x:c r="R1605" s="20"/>
      <x:c r="S1605" s="20"/>
      <x:c r="T1605" s="20"/>
      <x:c r="U1605" s="20"/>
      <x:c r="V1605" s="20"/>
      <x:c r="W1605" s="20"/>
      <x:c r="X1605" s="20"/>
      <x:c r="Y1605" s="21"/>
    </x:row>
    <x:row r="1606">
      <x:c r="A1606" s="19"/>
      <x:c r="B1606" s="27"/>
      <x:c r="C1606" s="20"/>
      <x:c r="D1606" s="28"/>
      <x:c r="E1606" s="20"/>
      <x:c r="F1606" s="25"/>
      <x:c r="G1606" s="20"/>
      <x:c r="H1606" s="20"/>
      <x:c r="I1606" s="20"/>
      <x:c r="J1606" s="20"/>
      <x:c r="K1606" s="20"/>
      <x:c r="L1606" s="20"/>
      <x:c r="M1606" s="20"/>
      <x:c r="N1606" s="20"/>
      <x:c r="O1606" s="20"/>
      <x:c r="P1606" s="20"/>
      <x:c r="Q1606" s="20"/>
      <x:c r="R1606" s="20"/>
      <x:c r="S1606" s="20"/>
      <x:c r="T1606" s="20"/>
      <x:c r="U1606" s="20"/>
      <x:c r="V1606" s="20"/>
      <x:c r="W1606" s="20"/>
      <x:c r="X1606" s="20"/>
      <x:c r="Y1606" s="21"/>
    </x:row>
    <x:row r="1607">
      <x:c r="A1607" s="19"/>
      <x:c r="B1607" s="27"/>
      <x:c r="C1607" s="20"/>
      <x:c r="D1607" s="28"/>
      <x:c r="E1607" s="20"/>
      <x:c r="F1607" s="25"/>
      <x:c r="G1607" s="20"/>
      <x:c r="H1607" s="20"/>
      <x:c r="I1607" s="20"/>
      <x:c r="J1607" s="20"/>
      <x:c r="K1607" s="20"/>
      <x:c r="L1607" s="20"/>
      <x:c r="M1607" s="20"/>
      <x:c r="N1607" s="20"/>
      <x:c r="O1607" s="20"/>
      <x:c r="P1607" s="20"/>
      <x:c r="Q1607" s="20"/>
      <x:c r="R1607" s="20"/>
      <x:c r="S1607" s="20"/>
      <x:c r="T1607" s="20"/>
      <x:c r="U1607" s="20"/>
      <x:c r="V1607" s="20"/>
      <x:c r="W1607" s="20"/>
      <x:c r="X1607" s="20"/>
      <x:c r="Y1607" s="21"/>
    </x:row>
    <x:row r="1608">
      <x:c r="A1608" s="19"/>
      <x:c r="B1608" s="27"/>
      <x:c r="C1608" s="20"/>
      <x:c r="D1608" s="28"/>
      <x:c r="E1608" s="20"/>
      <x:c r="F1608" s="25"/>
      <x:c r="G1608" s="20"/>
      <x:c r="H1608" s="20"/>
      <x:c r="I1608" s="20"/>
      <x:c r="J1608" s="20"/>
      <x:c r="K1608" s="20"/>
      <x:c r="L1608" s="20"/>
      <x:c r="M1608" s="20"/>
      <x:c r="N1608" s="20"/>
      <x:c r="O1608" s="20"/>
      <x:c r="P1608" s="20"/>
      <x:c r="Q1608" s="20"/>
      <x:c r="R1608" s="20"/>
      <x:c r="S1608" s="20"/>
      <x:c r="T1608" s="20"/>
      <x:c r="U1608" s="20"/>
      <x:c r="V1608" s="20"/>
      <x:c r="W1608" s="20"/>
      <x:c r="X1608" s="20"/>
      <x:c r="Y1608" s="21"/>
    </x:row>
    <x:row r="1609">
      <x:c r="A1609" s="19"/>
      <x:c r="B1609" s="27"/>
      <x:c r="C1609" s="20"/>
      <x:c r="D1609" s="28"/>
      <x:c r="E1609" s="20"/>
      <x:c r="F1609" s="25"/>
      <x:c r="G1609" s="20"/>
      <x:c r="H1609" s="20"/>
      <x:c r="I1609" s="20"/>
      <x:c r="J1609" s="20"/>
      <x:c r="K1609" s="20"/>
      <x:c r="L1609" s="20"/>
      <x:c r="M1609" s="20"/>
      <x:c r="N1609" s="20"/>
      <x:c r="O1609" s="20"/>
      <x:c r="P1609" s="20"/>
      <x:c r="Q1609" s="20"/>
      <x:c r="R1609" s="20"/>
      <x:c r="S1609" s="20"/>
      <x:c r="T1609" s="20"/>
      <x:c r="U1609" s="20"/>
      <x:c r="V1609" s="20"/>
      <x:c r="W1609" s="20"/>
      <x:c r="X1609" s="20"/>
      <x:c r="Y1609" s="21"/>
    </x:row>
    <x:row r="1610">
      <x:c r="A1610" s="19"/>
      <x:c r="B1610" s="27"/>
      <x:c r="C1610" s="20"/>
      <x:c r="D1610" s="28"/>
      <x:c r="E1610" s="20"/>
      <x:c r="F1610" s="25"/>
      <x:c r="G1610" s="20"/>
      <x:c r="H1610" s="20"/>
      <x:c r="I1610" s="20"/>
      <x:c r="J1610" s="20"/>
      <x:c r="K1610" s="20"/>
      <x:c r="L1610" s="20"/>
      <x:c r="M1610" s="20"/>
      <x:c r="N1610" s="20"/>
      <x:c r="O1610" s="20"/>
      <x:c r="P1610" s="20"/>
      <x:c r="Q1610" s="20"/>
      <x:c r="R1610" s="20"/>
      <x:c r="S1610" s="20"/>
      <x:c r="T1610" s="20"/>
      <x:c r="U1610" s="20"/>
      <x:c r="V1610" s="20"/>
      <x:c r="W1610" s="20"/>
      <x:c r="X1610" s="20"/>
      <x:c r="Y1610" s="21"/>
    </x:row>
    <x:row r="1611">
      <x:c r="A1611" s="19"/>
      <x:c r="B1611" s="27"/>
      <x:c r="C1611" s="20"/>
      <x:c r="D1611" s="28"/>
      <x:c r="E1611" s="20"/>
      <x:c r="F1611" s="25"/>
      <x:c r="G1611" s="20"/>
      <x:c r="H1611" s="20"/>
      <x:c r="I1611" s="20"/>
      <x:c r="J1611" s="20"/>
      <x:c r="K1611" s="20"/>
      <x:c r="L1611" s="20"/>
      <x:c r="M1611" s="20"/>
      <x:c r="N1611" s="20"/>
      <x:c r="O1611" s="20"/>
      <x:c r="P1611" s="20"/>
      <x:c r="Q1611" s="20"/>
      <x:c r="R1611" s="20"/>
      <x:c r="S1611" s="20"/>
      <x:c r="T1611" s="20"/>
      <x:c r="U1611" s="20"/>
      <x:c r="V1611" s="20"/>
      <x:c r="W1611" s="20"/>
      <x:c r="X1611" s="20"/>
      <x:c r="Y1611" s="21"/>
    </x:row>
    <x:row r="1612">
      <x:c r="A1612" s="19"/>
      <x:c r="B1612" s="27"/>
      <x:c r="C1612" s="20"/>
      <x:c r="D1612" s="28"/>
      <x:c r="E1612" s="20"/>
      <x:c r="F1612" s="25"/>
      <x:c r="G1612" s="20"/>
      <x:c r="H1612" s="20"/>
      <x:c r="I1612" s="20"/>
      <x:c r="J1612" s="20"/>
      <x:c r="K1612" s="20"/>
      <x:c r="L1612" s="20"/>
      <x:c r="M1612" s="20"/>
      <x:c r="N1612" s="20"/>
      <x:c r="O1612" s="20"/>
      <x:c r="P1612" s="20"/>
      <x:c r="Q1612" s="20"/>
      <x:c r="R1612" s="20"/>
      <x:c r="S1612" s="20"/>
      <x:c r="T1612" s="20"/>
      <x:c r="U1612" s="20"/>
      <x:c r="V1612" s="20"/>
      <x:c r="W1612" s="20"/>
      <x:c r="X1612" s="20"/>
      <x:c r="Y1612" s="21"/>
    </x:row>
    <x:row r="1613">
      <x:c r="A1613" s="19"/>
      <x:c r="B1613" s="27"/>
      <x:c r="C1613" s="20"/>
      <x:c r="D1613" s="28"/>
      <x:c r="E1613" s="20"/>
      <x:c r="F1613" s="25"/>
      <x:c r="G1613" s="20"/>
      <x:c r="H1613" s="20"/>
      <x:c r="I1613" s="20"/>
      <x:c r="J1613" s="20"/>
      <x:c r="K1613" s="20"/>
      <x:c r="L1613" s="20"/>
      <x:c r="M1613" s="20"/>
      <x:c r="N1613" s="20"/>
      <x:c r="O1613" s="20"/>
      <x:c r="P1613" s="20"/>
      <x:c r="Q1613" s="20"/>
      <x:c r="R1613" s="20"/>
      <x:c r="S1613" s="20"/>
      <x:c r="T1613" s="20"/>
      <x:c r="U1613" s="20"/>
      <x:c r="V1613" s="20"/>
      <x:c r="W1613" s="20"/>
      <x:c r="X1613" s="20"/>
      <x:c r="Y1613" s="21"/>
    </x:row>
    <x:row r="1614">
      <x:c r="A1614" s="19"/>
      <x:c r="B1614" s="27"/>
      <x:c r="C1614" s="20"/>
      <x:c r="D1614" s="28"/>
      <x:c r="E1614" s="20"/>
      <x:c r="F1614" s="25"/>
      <x:c r="G1614" s="20"/>
      <x:c r="H1614" s="20"/>
      <x:c r="I1614" s="20"/>
      <x:c r="J1614" s="20"/>
      <x:c r="K1614" s="20"/>
      <x:c r="L1614" s="20"/>
      <x:c r="M1614" s="20"/>
      <x:c r="N1614" s="20"/>
      <x:c r="O1614" s="20"/>
      <x:c r="P1614" s="20"/>
      <x:c r="Q1614" s="20"/>
      <x:c r="R1614" s="20"/>
      <x:c r="S1614" s="20"/>
      <x:c r="T1614" s="20"/>
      <x:c r="U1614" s="20"/>
      <x:c r="V1614" s="20"/>
      <x:c r="W1614" s="20"/>
      <x:c r="X1614" s="20"/>
      <x:c r="Y1614" s="21"/>
    </x:row>
    <x:row r="1615">
      <x:c r="A1615" s="19"/>
      <x:c r="B1615" s="27"/>
      <x:c r="C1615" s="20"/>
      <x:c r="D1615" s="28"/>
      <x:c r="E1615" s="20"/>
      <x:c r="F1615" s="25"/>
      <x:c r="G1615" s="20"/>
      <x:c r="H1615" s="20"/>
      <x:c r="I1615" s="20"/>
      <x:c r="J1615" s="20"/>
      <x:c r="K1615" s="20"/>
      <x:c r="L1615" s="20"/>
      <x:c r="M1615" s="20"/>
      <x:c r="N1615" s="20"/>
      <x:c r="O1615" s="20"/>
      <x:c r="P1615" s="20"/>
      <x:c r="Q1615" s="20"/>
      <x:c r="R1615" s="20"/>
      <x:c r="S1615" s="20"/>
      <x:c r="T1615" s="20"/>
      <x:c r="U1615" s="20"/>
      <x:c r="V1615" s="20"/>
      <x:c r="W1615" s="20"/>
      <x:c r="X1615" s="20"/>
      <x:c r="Y1615" s="21"/>
    </x:row>
    <x:row r="1616">
      <x:c r="A1616" s="19"/>
      <x:c r="B1616" s="27"/>
      <x:c r="C1616" s="20"/>
      <x:c r="D1616" s="28"/>
      <x:c r="E1616" s="20"/>
      <x:c r="F1616" s="25"/>
      <x:c r="G1616" s="20"/>
      <x:c r="H1616" s="20"/>
      <x:c r="I1616" s="20"/>
      <x:c r="J1616" s="20"/>
      <x:c r="K1616" s="20"/>
      <x:c r="L1616" s="20"/>
      <x:c r="M1616" s="20"/>
      <x:c r="N1616" s="20"/>
      <x:c r="O1616" s="20"/>
      <x:c r="P1616" s="20"/>
      <x:c r="Q1616" s="20"/>
      <x:c r="R1616" s="20"/>
      <x:c r="S1616" s="20"/>
      <x:c r="T1616" s="20"/>
      <x:c r="U1616" s="20"/>
      <x:c r="V1616" s="20"/>
      <x:c r="W1616" s="20"/>
      <x:c r="X1616" s="20"/>
      <x:c r="Y1616" s="21"/>
    </x:row>
    <x:row r="1617">
      <x:c r="A1617" s="19"/>
      <x:c r="B1617" s="27"/>
      <x:c r="C1617" s="20"/>
      <x:c r="D1617" s="28"/>
      <x:c r="E1617" s="20"/>
      <x:c r="F1617" s="25"/>
      <x:c r="G1617" s="20"/>
      <x:c r="H1617" s="20"/>
      <x:c r="I1617" s="20"/>
      <x:c r="J1617" s="20"/>
      <x:c r="K1617" s="20"/>
      <x:c r="L1617" s="20"/>
      <x:c r="M1617" s="20"/>
      <x:c r="N1617" s="20"/>
      <x:c r="O1617" s="20"/>
      <x:c r="P1617" s="20"/>
      <x:c r="Q1617" s="20"/>
      <x:c r="R1617" s="20"/>
      <x:c r="S1617" s="20"/>
      <x:c r="T1617" s="20"/>
      <x:c r="U1617" s="20"/>
      <x:c r="V1617" s="20"/>
      <x:c r="W1617" s="20"/>
      <x:c r="X1617" s="20"/>
      <x:c r="Y1617" s="21"/>
    </x:row>
    <x:row r="1618">
      <x:c r="A1618" s="19"/>
      <x:c r="B1618" s="27"/>
      <x:c r="C1618" s="20"/>
      <x:c r="D1618" s="28"/>
      <x:c r="E1618" s="20"/>
      <x:c r="F1618" s="25"/>
      <x:c r="G1618" s="20"/>
      <x:c r="H1618" s="20"/>
      <x:c r="I1618" s="20"/>
      <x:c r="J1618" s="20"/>
      <x:c r="K1618" s="20"/>
      <x:c r="L1618" s="20"/>
      <x:c r="M1618" s="20"/>
      <x:c r="N1618" s="20"/>
      <x:c r="O1618" s="20"/>
      <x:c r="P1618" s="20"/>
      <x:c r="Q1618" s="20"/>
      <x:c r="R1618" s="20"/>
      <x:c r="S1618" s="20"/>
      <x:c r="T1618" s="20"/>
      <x:c r="U1618" s="20"/>
      <x:c r="V1618" s="20"/>
      <x:c r="W1618" s="20"/>
      <x:c r="X1618" s="20"/>
      <x:c r="Y1618" s="21"/>
    </x:row>
    <x:row r="1619">
      <x:c r="A1619" s="19"/>
      <x:c r="B1619" s="27"/>
      <x:c r="C1619" s="20"/>
      <x:c r="D1619" s="28"/>
      <x:c r="E1619" s="20"/>
      <x:c r="F1619" s="25"/>
      <x:c r="G1619" s="20"/>
      <x:c r="H1619" s="20"/>
      <x:c r="I1619" s="20"/>
      <x:c r="J1619" s="20"/>
      <x:c r="K1619" s="20"/>
      <x:c r="L1619" s="20"/>
      <x:c r="M1619" s="20"/>
      <x:c r="N1619" s="20"/>
      <x:c r="O1619" s="20"/>
      <x:c r="P1619" s="20"/>
      <x:c r="Q1619" s="20"/>
      <x:c r="R1619" s="20"/>
      <x:c r="S1619" s="20"/>
      <x:c r="T1619" s="20"/>
      <x:c r="U1619" s="20"/>
      <x:c r="V1619" s="20"/>
      <x:c r="W1619" s="20"/>
      <x:c r="X1619" s="20"/>
      <x:c r="Y1619" s="21"/>
    </x:row>
    <x:row r="1620">
      <x:c r="A1620" s="19"/>
      <x:c r="B1620" s="27"/>
      <x:c r="C1620" s="20"/>
      <x:c r="D1620" s="28"/>
      <x:c r="E1620" s="20"/>
      <x:c r="F1620" s="25"/>
      <x:c r="G1620" s="20"/>
      <x:c r="H1620" s="20"/>
      <x:c r="I1620" s="20"/>
      <x:c r="J1620" s="20"/>
      <x:c r="K1620" s="20"/>
      <x:c r="L1620" s="20"/>
      <x:c r="M1620" s="20"/>
      <x:c r="N1620" s="20"/>
      <x:c r="O1620" s="20"/>
      <x:c r="P1620" s="20"/>
      <x:c r="Q1620" s="20"/>
      <x:c r="R1620" s="20"/>
      <x:c r="S1620" s="20"/>
      <x:c r="T1620" s="20"/>
      <x:c r="U1620" s="20"/>
      <x:c r="V1620" s="20"/>
      <x:c r="W1620" s="20"/>
      <x:c r="X1620" s="20"/>
      <x:c r="Y1620" s="21"/>
    </x:row>
    <x:row r="1621">
      <x:c r="A1621" s="19"/>
      <x:c r="B1621" s="27"/>
      <x:c r="C1621" s="20"/>
      <x:c r="D1621" s="28"/>
      <x:c r="E1621" s="20"/>
      <x:c r="F1621" s="25"/>
      <x:c r="G1621" s="20"/>
      <x:c r="H1621" s="20"/>
      <x:c r="I1621" s="20"/>
      <x:c r="J1621" s="20"/>
      <x:c r="K1621" s="20"/>
      <x:c r="L1621" s="20"/>
      <x:c r="M1621" s="20"/>
      <x:c r="N1621" s="20"/>
      <x:c r="O1621" s="20"/>
      <x:c r="P1621" s="20"/>
      <x:c r="Q1621" s="20"/>
      <x:c r="R1621" s="20"/>
      <x:c r="S1621" s="20"/>
      <x:c r="T1621" s="20"/>
      <x:c r="U1621" s="20"/>
      <x:c r="V1621" s="20"/>
      <x:c r="W1621" s="20"/>
      <x:c r="X1621" s="20"/>
      <x:c r="Y1621" s="21"/>
    </x:row>
    <x:row r="1622">
      <x:c r="A1622" s="19"/>
      <x:c r="B1622" s="27"/>
      <x:c r="C1622" s="20"/>
      <x:c r="D1622" s="28"/>
      <x:c r="E1622" s="20"/>
      <x:c r="F1622" s="25"/>
      <x:c r="G1622" s="20"/>
      <x:c r="H1622" s="20"/>
      <x:c r="I1622" s="20"/>
      <x:c r="J1622" s="20"/>
      <x:c r="K1622" s="20"/>
      <x:c r="L1622" s="20"/>
      <x:c r="M1622" s="20"/>
      <x:c r="N1622" s="20"/>
      <x:c r="O1622" s="20"/>
      <x:c r="P1622" s="20"/>
      <x:c r="Q1622" s="20"/>
      <x:c r="R1622" s="20"/>
      <x:c r="S1622" s="20"/>
      <x:c r="T1622" s="20"/>
      <x:c r="U1622" s="20"/>
      <x:c r="V1622" s="20"/>
      <x:c r="W1622" s="20"/>
      <x:c r="X1622" s="20"/>
      <x:c r="Y1622" s="21"/>
    </x:row>
    <x:row r="1623">
      <x:c r="A1623" s="19"/>
      <x:c r="B1623" s="27"/>
      <x:c r="C1623" s="20"/>
      <x:c r="D1623" s="28"/>
      <x:c r="E1623" s="20"/>
      <x:c r="F1623" s="25"/>
      <x:c r="G1623" s="20"/>
      <x:c r="H1623" s="20"/>
      <x:c r="I1623" s="20"/>
      <x:c r="J1623" s="20"/>
      <x:c r="K1623" s="20"/>
      <x:c r="L1623" s="20"/>
      <x:c r="M1623" s="20"/>
      <x:c r="N1623" s="20"/>
      <x:c r="O1623" s="20"/>
      <x:c r="P1623" s="20"/>
      <x:c r="Q1623" s="20"/>
      <x:c r="R1623" s="20"/>
      <x:c r="S1623" s="20"/>
      <x:c r="T1623" s="20"/>
      <x:c r="U1623" s="20"/>
      <x:c r="V1623" s="20"/>
      <x:c r="W1623" s="20"/>
      <x:c r="X1623" s="20"/>
      <x:c r="Y1623" s="21"/>
    </x:row>
    <x:row r="1624">
      <x:c r="A1624" s="19"/>
      <x:c r="B1624" s="27"/>
      <x:c r="C1624" s="20"/>
      <x:c r="D1624" s="28"/>
      <x:c r="E1624" s="20"/>
      <x:c r="F1624" s="25"/>
      <x:c r="G1624" s="20"/>
      <x:c r="H1624" s="20"/>
      <x:c r="I1624" s="20"/>
      <x:c r="J1624" s="20"/>
      <x:c r="K1624" s="20"/>
      <x:c r="L1624" s="20"/>
      <x:c r="M1624" s="20"/>
      <x:c r="N1624" s="20"/>
      <x:c r="O1624" s="20"/>
      <x:c r="P1624" s="20"/>
      <x:c r="Q1624" s="20"/>
      <x:c r="R1624" s="20"/>
      <x:c r="S1624" s="20"/>
      <x:c r="T1624" s="20"/>
      <x:c r="U1624" s="20"/>
      <x:c r="V1624" s="20"/>
      <x:c r="W1624" s="20"/>
      <x:c r="X1624" s="20"/>
      <x:c r="Y1624" s="21"/>
    </x:row>
    <x:row r="1625">
      <x:c r="A1625" s="19"/>
      <x:c r="B1625" s="27"/>
      <x:c r="C1625" s="20"/>
      <x:c r="D1625" s="28"/>
      <x:c r="E1625" s="20"/>
      <x:c r="F1625" s="25"/>
      <x:c r="G1625" s="20"/>
      <x:c r="H1625" s="20"/>
      <x:c r="I1625" s="20"/>
      <x:c r="J1625" s="20"/>
      <x:c r="K1625" s="20"/>
      <x:c r="L1625" s="20"/>
      <x:c r="M1625" s="20"/>
      <x:c r="N1625" s="20"/>
      <x:c r="O1625" s="20"/>
      <x:c r="P1625" s="20"/>
      <x:c r="Q1625" s="20"/>
      <x:c r="R1625" s="20"/>
      <x:c r="S1625" s="20"/>
      <x:c r="T1625" s="20"/>
      <x:c r="U1625" s="20"/>
      <x:c r="V1625" s="20"/>
      <x:c r="W1625" s="20"/>
      <x:c r="X1625" s="20"/>
      <x:c r="Y1625" s="21"/>
    </x:row>
    <x:row r="1626">
      <x:c r="A1626" s="19"/>
      <x:c r="B1626" s="27"/>
      <x:c r="C1626" s="20"/>
      <x:c r="D1626" s="28"/>
      <x:c r="E1626" s="20"/>
      <x:c r="F1626" s="25"/>
      <x:c r="G1626" s="20"/>
      <x:c r="H1626" s="20"/>
      <x:c r="I1626" s="20"/>
      <x:c r="J1626" s="20"/>
      <x:c r="K1626" s="20"/>
      <x:c r="L1626" s="20"/>
      <x:c r="M1626" s="20"/>
      <x:c r="N1626" s="20"/>
      <x:c r="O1626" s="20"/>
      <x:c r="P1626" s="20"/>
      <x:c r="Q1626" s="20"/>
      <x:c r="R1626" s="20"/>
      <x:c r="S1626" s="20"/>
      <x:c r="T1626" s="20"/>
      <x:c r="U1626" s="20"/>
      <x:c r="V1626" s="20"/>
      <x:c r="W1626" s="20"/>
      <x:c r="X1626" s="20"/>
      <x:c r="Y1626" s="21"/>
    </x:row>
    <x:row r="1627">
      <x:c r="A1627" s="19"/>
      <x:c r="B1627" s="27"/>
      <x:c r="C1627" s="20"/>
      <x:c r="D1627" s="28"/>
      <x:c r="E1627" s="20"/>
      <x:c r="F1627" s="25"/>
      <x:c r="G1627" s="20"/>
      <x:c r="H1627" s="20"/>
      <x:c r="I1627" s="20"/>
      <x:c r="J1627" s="20"/>
      <x:c r="K1627" s="20"/>
      <x:c r="L1627" s="20"/>
      <x:c r="M1627" s="20"/>
      <x:c r="N1627" s="20"/>
      <x:c r="O1627" s="20"/>
      <x:c r="P1627" s="20"/>
      <x:c r="Q1627" s="20"/>
      <x:c r="R1627" s="20"/>
      <x:c r="S1627" s="20"/>
      <x:c r="T1627" s="20"/>
      <x:c r="U1627" s="20"/>
      <x:c r="V1627" s="20"/>
      <x:c r="W1627" s="20"/>
      <x:c r="X1627" s="20"/>
      <x:c r="Y1627" s="21"/>
    </x:row>
    <x:row r="1628">
      <x:c r="A1628" s="19"/>
      <x:c r="B1628" s="27"/>
      <x:c r="C1628" s="20"/>
      <x:c r="D1628" s="28"/>
      <x:c r="E1628" s="20"/>
      <x:c r="F1628" s="25"/>
      <x:c r="G1628" s="20"/>
      <x:c r="H1628" s="20"/>
      <x:c r="I1628" s="20"/>
      <x:c r="J1628" s="20"/>
      <x:c r="K1628" s="20"/>
      <x:c r="L1628" s="20"/>
      <x:c r="M1628" s="20"/>
      <x:c r="N1628" s="20"/>
      <x:c r="O1628" s="20"/>
      <x:c r="P1628" s="20"/>
      <x:c r="Q1628" s="20"/>
      <x:c r="R1628" s="20"/>
      <x:c r="S1628" s="20"/>
      <x:c r="T1628" s="20"/>
      <x:c r="U1628" s="20"/>
      <x:c r="V1628" s="20"/>
      <x:c r="W1628" s="20"/>
      <x:c r="X1628" s="20"/>
      <x:c r="Y1628" s="21"/>
    </x:row>
    <x:row r="1629">
      <x:c r="A1629" s="19"/>
      <x:c r="B1629" s="27"/>
      <x:c r="C1629" s="20"/>
      <x:c r="D1629" s="28"/>
      <x:c r="E1629" s="20"/>
      <x:c r="F1629" s="25"/>
      <x:c r="G1629" s="20"/>
      <x:c r="H1629" s="20"/>
      <x:c r="I1629" s="20"/>
      <x:c r="J1629" s="20"/>
      <x:c r="K1629" s="20"/>
      <x:c r="L1629" s="20"/>
      <x:c r="M1629" s="20"/>
      <x:c r="N1629" s="20"/>
      <x:c r="O1629" s="20"/>
      <x:c r="P1629" s="20"/>
      <x:c r="Q1629" s="20"/>
      <x:c r="R1629" s="20"/>
      <x:c r="S1629" s="20"/>
      <x:c r="T1629" s="20"/>
      <x:c r="U1629" s="20"/>
      <x:c r="V1629" s="20"/>
      <x:c r="W1629" s="20"/>
      <x:c r="X1629" s="20"/>
      <x:c r="Y1629" s="21"/>
    </x:row>
    <x:row r="1630">
      <x:c r="A1630" s="19"/>
      <x:c r="B1630" s="27"/>
      <x:c r="C1630" s="20"/>
      <x:c r="D1630" s="28"/>
      <x:c r="E1630" s="20"/>
      <x:c r="F1630" s="25"/>
      <x:c r="G1630" s="20"/>
      <x:c r="H1630" s="20"/>
      <x:c r="I1630" s="20"/>
      <x:c r="J1630" s="20"/>
      <x:c r="K1630" s="20"/>
      <x:c r="L1630" s="20"/>
      <x:c r="M1630" s="20"/>
      <x:c r="N1630" s="20"/>
      <x:c r="O1630" s="20"/>
      <x:c r="P1630" s="20"/>
      <x:c r="Q1630" s="20"/>
      <x:c r="R1630" s="20"/>
      <x:c r="S1630" s="20"/>
      <x:c r="T1630" s="20"/>
      <x:c r="U1630" s="20"/>
      <x:c r="V1630" s="20"/>
      <x:c r="W1630" s="20"/>
      <x:c r="X1630" s="20"/>
      <x:c r="Y1630" s="21"/>
    </x:row>
    <x:row r="1631">
      <x:c r="A1631" s="19"/>
      <x:c r="B1631" s="27"/>
      <x:c r="C1631" s="20"/>
      <x:c r="D1631" s="28"/>
      <x:c r="E1631" s="20"/>
      <x:c r="F1631" s="25"/>
      <x:c r="G1631" s="20"/>
      <x:c r="H1631" s="20"/>
      <x:c r="I1631" s="20"/>
      <x:c r="J1631" s="20"/>
      <x:c r="K1631" s="20"/>
      <x:c r="L1631" s="20"/>
      <x:c r="M1631" s="20"/>
      <x:c r="N1631" s="20"/>
      <x:c r="O1631" s="20"/>
      <x:c r="P1631" s="20"/>
      <x:c r="Q1631" s="20"/>
      <x:c r="R1631" s="20"/>
      <x:c r="S1631" s="20"/>
      <x:c r="T1631" s="20"/>
      <x:c r="U1631" s="20"/>
      <x:c r="V1631" s="20"/>
      <x:c r="W1631" s="20"/>
      <x:c r="X1631" s="20"/>
      <x:c r="Y1631" s="21"/>
    </x:row>
    <x:row r="1632">
      <x:c r="A1632" s="19"/>
      <x:c r="B1632" s="27"/>
      <x:c r="C1632" s="20"/>
      <x:c r="D1632" s="28"/>
      <x:c r="E1632" s="20"/>
      <x:c r="F1632" s="25"/>
      <x:c r="G1632" s="20"/>
      <x:c r="H1632" s="20"/>
      <x:c r="I1632" s="20"/>
      <x:c r="J1632" s="20"/>
      <x:c r="K1632" s="20"/>
      <x:c r="L1632" s="20"/>
      <x:c r="M1632" s="20"/>
      <x:c r="N1632" s="20"/>
      <x:c r="O1632" s="20"/>
      <x:c r="P1632" s="20"/>
      <x:c r="Q1632" s="20"/>
      <x:c r="R1632" s="20"/>
      <x:c r="S1632" s="20"/>
      <x:c r="T1632" s="20"/>
      <x:c r="U1632" s="20"/>
      <x:c r="V1632" s="20"/>
      <x:c r="W1632" s="20"/>
      <x:c r="X1632" s="20"/>
      <x:c r="Y1632" s="21"/>
    </x:row>
    <x:row r="1633">
      <x:c r="A1633" s="19"/>
      <x:c r="B1633" s="27"/>
      <x:c r="C1633" s="20"/>
      <x:c r="D1633" s="28"/>
      <x:c r="E1633" s="20"/>
      <x:c r="F1633" s="25"/>
      <x:c r="G1633" s="20"/>
      <x:c r="H1633" s="20"/>
      <x:c r="I1633" s="20"/>
      <x:c r="J1633" s="20"/>
      <x:c r="K1633" s="20"/>
      <x:c r="L1633" s="20"/>
      <x:c r="M1633" s="20"/>
      <x:c r="N1633" s="20"/>
      <x:c r="O1633" s="20"/>
      <x:c r="P1633" s="20"/>
      <x:c r="Q1633" s="20"/>
      <x:c r="R1633" s="20"/>
      <x:c r="S1633" s="20"/>
      <x:c r="T1633" s="20"/>
      <x:c r="U1633" s="20"/>
      <x:c r="V1633" s="20"/>
      <x:c r="W1633" s="20"/>
      <x:c r="X1633" s="20"/>
      <x:c r="Y1633" s="21"/>
    </x:row>
    <x:row r="1634">
      <x:c r="A1634" s="19"/>
      <x:c r="B1634" s="27"/>
      <x:c r="C1634" s="20"/>
      <x:c r="D1634" s="28"/>
      <x:c r="E1634" s="20"/>
      <x:c r="F1634" s="25"/>
      <x:c r="G1634" s="20"/>
      <x:c r="H1634" s="20"/>
      <x:c r="I1634" s="20"/>
      <x:c r="J1634" s="20"/>
      <x:c r="K1634" s="20"/>
      <x:c r="L1634" s="20"/>
      <x:c r="M1634" s="20"/>
      <x:c r="N1634" s="20"/>
      <x:c r="O1634" s="20"/>
      <x:c r="P1634" s="20"/>
      <x:c r="Q1634" s="20"/>
      <x:c r="R1634" s="20"/>
      <x:c r="S1634" s="20"/>
      <x:c r="T1634" s="20"/>
      <x:c r="U1634" s="20"/>
      <x:c r="V1634" s="20"/>
      <x:c r="W1634" s="20"/>
      <x:c r="X1634" s="20"/>
      <x:c r="Y1634" s="21"/>
    </x:row>
    <x:row r="1635">
      <x:c r="A1635" s="19"/>
      <x:c r="B1635" s="27"/>
      <x:c r="C1635" s="20"/>
      <x:c r="D1635" s="28"/>
      <x:c r="E1635" s="20"/>
      <x:c r="F1635" s="25"/>
      <x:c r="G1635" s="20"/>
      <x:c r="H1635" s="20"/>
      <x:c r="I1635" s="20"/>
      <x:c r="J1635" s="20"/>
      <x:c r="K1635" s="20"/>
      <x:c r="L1635" s="20"/>
      <x:c r="M1635" s="20"/>
      <x:c r="N1635" s="20"/>
      <x:c r="O1635" s="20"/>
      <x:c r="P1635" s="20"/>
      <x:c r="Q1635" s="20"/>
      <x:c r="R1635" s="20"/>
      <x:c r="S1635" s="20"/>
      <x:c r="T1635" s="20"/>
      <x:c r="U1635" s="20"/>
      <x:c r="V1635" s="20"/>
      <x:c r="W1635" s="20"/>
      <x:c r="X1635" s="20"/>
      <x:c r="Y1635" s="21"/>
    </x:row>
    <x:row r="1636">
      <x:c r="A1636" s="19"/>
      <x:c r="B1636" s="27"/>
      <x:c r="C1636" s="20"/>
      <x:c r="D1636" s="28"/>
      <x:c r="E1636" s="20"/>
      <x:c r="F1636" s="25"/>
      <x:c r="G1636" s="20"/>
      <x:c r="H1636" s="20"/>
      <x:c r="I1636" s="20"/>
      <x:c r="J1636" s="20"/>
      <x:c r="K1636" s="20"/>
      <x:c r="L1636" s="20"/>
      <x:c r="M1636" s="20"/>
      <x:c r="N1636" s="20"/>
      <x:c r="O1636" s="20"/>
      <x:c r="P1636" s="20"/>
      <x:c r="Q1636" s="20"/>
      <x:c r="R1636" s="20"/>
      <x:c r="S1636" s="20"/>
      <x:c r="T1636" s="20"/>
      <x:c r="U1636" s="20"/>
      <x:c r="V1636" s="20"/>
      <x:c r="W1636" s="20"/>
      <x:c r="X1636" s="20"/>
      <x:c r="Y1636" s="21"/>
    </x:row>
    <x:row r="1637">
      <x:c r="A1637" s="19"/>
      <x:c r="B1637" s="27"/>
      <x:c r="C1637" s="20"/>
      <x:c r="D1637" s="28"/>
      <x:c r="E1637" s="20"/>
      <x:c r="F1637" s="25"/>
      <x:c r="G1637" s="20"/>
      <x:c r="H1637" s="20"/>
      <x:c r="I1637" s="20"/>
      <x:c r="J1637" s="20"/>
      <x:c r="K1637" s="20"/>
      <x:c r="L1637" s="20"/>
      <x:c r="M1637" s="20"/>
      <x:c r="N1637" s="20"/>
      <x:c r="O1637" s="20"/>
      <x:c r="P1637" s="20"/>
      <x:c r="Q1637" s="20"/>
      <x:c r="R1637" s="20"/>
      <x:c r="S1637" s="20"/>
      <x:c r="T1637" s="20"/>
      <x:c r="U1637" s="20"/>
      <x:c r="V1637" s="20"/>
      <x:c r="W1637" s="20"/>
      <x:c r="X1637" s="20"/>
      <x:c r="Y1637" s="21"/>
    </x:row>
    <x:row r="1638">
      <x:c r="A1638" s="19"/>
      <x:c r="B1638" s="27"/>
      <x:c r="C1638" s="20"/>
      <x:c r="D1638" s="28"/>
      <x:c r="E1638" s="20"/>
      <x:c r="F1638" s="25"/>
      <x:c r="G1638" s="20"/>
      <x:c r="H1638" s="20"/>
      <x:c r="I1638" s="20"/>
      <x:c r="J1638" s="20"/>
      <x:c r="K1638" s="20"/>
      <x:c r="L1638" s="20"/>
      <x:c r="M1638" s="20"/>
      <x:c r="N1638" s="20"/>
      <x:c r="O1638" s="20"/>
      <x:c r="P1638" s="20"/>
      <x:c r="Q1638" s="20"/>
      <x:c r="R1638" s="20"/>
      <x:c r="S1638" s="20"/>
      <x:c r="T1638" s="20"/>
      <x:c r="U1638" s="20"/>
      <x:c r="V1638" s="20"/>
      <x:c r="W1638" s="20"/>
      <x:c r="X1638" s="20"/>
      <x:c r="Y1638" s="21"/>
    </x:row>
    <x:row r="1639">
      <x:c r="A1639" s="19"/>
      <x:c r="B1639" s="27"/>
      <x:c r="C1639" s="20"/>
      <x:c r="D1639" s="28"/>
      <x:c r="E1639" s="20"/>
      <x:c r="F1639" s="25"/>
      <x:c r="G1639" s="20"/>
      <x:c r="H1639" s="20"/>
      <x:c r="I1639" s="20"/>
      <x:c r="J1639" s="20"/>
      <x:c r="K1639" s="20"/>
      <x:c r="L1639" s="20"/>
      <x:c r="M1639" s="20"/>
      <x:c r="N1639" s="20"/>
      <x:c r="O1639" s="20"/>
      <x:c r="P1639" s="20"/>
      <x:c r="Q1639" s="20"/>
      <x:c r="R1639" s="20"/>
      <x:c r="S1639" s="20"/>
      <x:c r="T1639" s="20"/>
      <x:c r="U1639" s="20"/>
      <x:c r="V1639" s="20"/>
      <x:c r="W1639" s="20"/>
      <x:c r="X1639" s="20"/>
      <x:c r="Y1639" s="21"/>
    </x:row>
    <x:row r="1640">
      <x:c r="A1640" s="19"/>
      <x:c r="B1640" s="27"/>
      <x:c r="C1640" s="20"/>
      <x:c r="D1640" s="28"/>
      <x:c r="E1640" s="20"/>
      <x:c r="F1640" s="25"/>
      <x:c r="G1640" s="20"/>
      <x:c r="H1640" s="20"/>
      <x:c r="I1640" s="20"/>
      <x:c r="J1640" s="20"/>
      <x:c r="K1640" s="20"/>
      <x:c r="L1640" s="20"/>
      <x:c r="M1640" s="20"/>
      <x:c r="N1640" s="20"/>
      <x:c r="O1640" s="20"/>
      <x:c r="P1640" s="20"/>
      <x:c r="Q1640" s="20"/>
      <x:c r="R1640" s="20"/>
      <x:c r="S1640" s="20"/>
      <x:c r="T1640" s="20"/>
      <x:c r="U1640" s="20"/>
      <x:c r="V1640" s="20"/>
      <x:c r="W1640" s="20"/>
      <x:c r="X1640" s="20"/>
      <x:c r="Y1640" s="21"/>
    </x:row>
    <x:row r="1641">
      <x:c r="A1641" s="19"/>
      <x:c r="B1641" s="27"/>
      <x:c r="C1641" s="20"/>
      <x:c r="D1641" s="28"/>
      <x:c r="E1641" s="20"/>
      <x:c r="F1641" s="25"/>
      <x:c r="G1641" s="20"/>
      <x:c r="H1641" s="20"/>
      <x:c r="I1641" s="20"/>
      <x:c r="J1641" s="20"/>
      <x:c r="K1641" s="20"/>
      <x:c r="L1641" s="20"/>
      <x:c r="M1641" s="20"/>
      <x:c r="N1641" s="20"/>
      <x:c r="O1641" s="20"/>
      <x:c r="P1641" s="20"/>
      <x:c r="Q1641" s="20"/>
      <x:c r="R1641" s="20"/>
      <x:c r="S1641" s="20"/>
      <x:c r="T1641" s="20"/>
      <x:c r="U1641" s="20"/>
      <x:c r="V1641" s="20"/>
      <x:c r="W1641" s="20"/>
      <x:c r="X1641" s="20"/>
      <x:c r="Y1641" s="21"/>
    </x:row>
    <x:row r="1642">
      <x:c r="A1642" s="19"/>
      <x:c r="B1642" s="27"/>
      <x:c r="C1642" s="20"/>
      <x:c r="D1642" s="28"/>
      <x:c r="E1642" s="20"/>
      <x:c r="F1642" s="25"/>
      <x:c r="G1642" s="20"/>
      <x:c r="H1642" s="20"/>
      <x:c r="I1642" s="20"/>
      <x:c r="J1642" s="20"/>
      <x:c r="K1642" s="20"/>
      <x:c r="L1642" s="20"/>
      <x:c r="M1642" s="20"/>
      <x:c r="N1642" s="20"/>
      <x:c r="O1642" s="20"/>
      <x:c r="P1642" s="20"/>
      <x:c r="Q1642" s="20"/>
      <x:c r="R1642" s="20"/>
      <x:c r="S1642" s="20"/>
      <x:c r="T1642" s="20"/>
      <x:c r="U1642" s="20"/>
      <x:c r="V1642" s="20"/>
      <x:c r="W1642" s="20"/>
      <x:c r="X1642" s="20"/>
      <x:c r="Y1642" s="21"/>
    </x:row>
    <x:row r="1643">
      <x:c r="A1643" s="19"/>
      <x:c r="B1643" s="27"/>
      <x:c r="C1643" s="20"/>
      <x:c r="D1643" s="28"/>
      <x:c r="E1643" s="20"/>
      <x:c r="F1643" s="25"/>
      <x:c r="G1643" s="20"/>
      <x:c r="H1643" s="20"/>
      <x:c r="I1643" s="20"/>
      <x:c r="J1643" s="20"/>
      <x:c r="K1643" s="20"/>
      <x:c r="L1643" s="20"/>
      <x:c r="M1643" s="20"/>
      <x:c r="N1643" s="20"/>
      <x:c r="O1643" s="20"/>
      <x:c r="P1643" s="20"/>
      <x:c r="Q1643" s="20"/>
      <x:c r="R1643" s="20"/>
      <x:c r="S1643" s="20"/>
      <x:c r="T1643" s="20"/>
      <x:c r="U1643" s="20"/>
      <x:c r="V1643" s="20"/>
      <x:c r="W1643" s="20"/>
      <x:c r="X1643" s="20"/>
      <x:c r="Y1643" s="21"/>
    </x:row>
    <x:row r="1644">
      <x:c r="A1644" s="19"/>
      <x:c r="B1644" s="27"/>
      <x:c r="C1644" s="20"/>
      <x:c r="D1644" s="28"/>
      <x:c r="E1644" s="20"/>
      <x:c r="F1644" s="25"/>
      <x:c r="G1644" s="20"/>
      <x:c r="H1644" s="20"/>
      <x:c r="I1644" s="20"/>
      <x:c r="J1644" s="20"/>
      <x:c r="K1644" s="20"/>
      <x:c r="L1644" s="20"/>
      <x:c r="M1644" s="20"/>
      <x:c r="N1644" s="20"/>
      <x:c r="O1644" s="20"/>
      <x:c r="P1644" s="20"/>
      <x:c r="Q1644" s="20"/>
      <x:c r="R1644" s="20"/>
      <x:c r="S1644" s="20"/>
      <x:c r="T1644" s="20"/>
      <x:c r="U1644" s="20"/>
      <x:c r="V1644" s="20"/>
      <x:c r="W1644" s="20"/>
      <x:c r="X1644" s="20"/>
      <x:c r="Y1644" s="21"/>
    </x:row>
    <x:row r="1645">
      <x:c r="A1645" s="19"/>
      <x:c r="B1645" s="27"/>
      <x:c r="C1645" s="20"/>
      <x:c r="D1645" s="28"/>
      <x:c r="E1645" s="20"/>
      <x:c r="F1645" s="25"/>
      <x:c r="G1645" s="20"/>
      <x:c r="H1645" s="20"/>
      <x:c r="I1645" s="20"/>
      <x:c r="J1645" s="20"/>
      <x:c r="K1645" s="20"/>
      <x:c r="L1645" s="20"/>
      <x:c r="M1645" s="20"/>
      <x:c r="N1645" s="20"/>
      <x:c r="O1645" s="20"/>
      <x:c r="P1645" s="20"/>
      <x:c r="Q1645" s="20"/>
      <x:c r="R1645" s="20"/>
      <x:c r="S1645" s="20"/>
      <x:c r="T1645" s="20"/>
      <x:c r="U1645" s="20"/>
      <x:c r="V1645" s="20"/>
      <x:c r="W1645" s="20"/>
      <x:c r="X1645" s="20"/>
      <x:c r="Y1645" s="21"/>
    </x:row>
    <x:row r="1646">
      <x:c r="A1646" s="19"/>
      <x:c r="B1646" s="27"/>
      <x:c r="C1646" s="20"/>
      <x:c r="D1646" s="28"/>
      <x:c r="E1646" s="20"/>
      <x:c r="F1646" s="25"/>
      <x:c r="G1646" s="20"/>
      <x:c r="H1646" s="20"/>
      <x:c r="I1646" s="20"/>
      <x:c r="J1646" s="20"/>
      <x:c r="K1646" s="20"/>
      <x:c r="L1646" s="20"/>
      <x:c r="M1646" s="20"/>
      <x:c r="N1646" s="20"/>
      <x:c r="O1646" s="20"/>
      <x:c r="P1646" s="20"/>
      <x:c r="Q1646" s="20"/>
      <x:c r="R1646" s="20"/>
      <x:c r="S1646" s="20"/>
      <x:c r="T1646" s="20"/>
      <x:c r="U1646" s="20"/>
      <x:c r="V1646" s="20"/>
      <x:c r="W1646" s="20"/>
      <x:c r="X1646" s="20"/>
      <x:c r="Y1646" s="21"/>
    </x:row>
    <x:row r="1647">
      <x:c r="A1647" s="19"/>
      <x:c r="B1647" s="27"/>
      <x:c r="C1647" s="20"/>
      <x:c r="D1647" s="28"/>
      <x:c r="E1647" s="20"/>
      <x:c r="F1647" s="25"/>
      <x:c r="G1647" s="20"/>
      <x:c r="H1647" s="20"/>
      <x:c r="I1647" s="20"/>
      <x:c r="J1647" s="20"/>
      <x:c r="K1647" s="20"/>
      <x:c r="L1647" s="20"/>
      <x:c r="M1647" s="20"/>
      <x:c r="N1647" s="20"/>
      <x:c r="O1647" s="20"/>
      <x:c r="P1647" s="20"/>
      <x:c r="Q1647" s="20"/>
      <x:c r="R1647" s="20"/>
      <x:c r="S1647" s="20"/>
      <x:c r="T1647" s="20"/>
      <x:c r="U1647" s="20"/>
      <x:c r="V1647" s="20"/>
      <x:c r="W1647" s="20"/>
      <x:c r="X1647" s="20"/>
      <x:c r="Y1647" s="21"/>
    </x:row>
    <x:row r="1648">
      <x:c r="A1648" s="19"/>
      <x:c r="B1648" s="27"/>
      <x:c r="C1648" s="20"/>
      <x:c r="D1648" s="28"/>
      <x:c r="E1648" s="20"/>
      <x:c r="F1648" s="25"/>
      <x:c r="G1648" s="20"/>
      <x:c r="H1648" s="20"/>
      <x:c r="I1648" s="20"/>
      <x:c r="J1648" s="20"/>
      <x:c r="K1648" s="20"/>
      <x:c r="L1648" s="20"/>
      <x:c r="M1648" s="20"/>
      <x:c r="N1648" s="20"/>
      <x:c r="O1648" s="20"/>
      <x:c r="P1648" s="20"/>
      <x:c r="Q1648" s="20"/>
      <x:c r="R1648" s="20"/>
      <x:c r="S1648" s="20"/>
      <x:c r="T1648" s="20"/>
      <x:c r="U1648" s="20"/>
      <x:c r="V1648" s="20"/>
      <x:c r="W1648" s="20"/>
      <x:c r="X1648" s="20"/>
      <x:c r="Y1648" s="21"/>
    </x:row>
    <x:row r="1649">
      <x:c r="A1649" s="19"/>
      <x:c r="B1649" s="27"/>
      <x:c r="C1649" s="20"/>
      <x:c r="D1649" s="28"/>
      <x:c r="E1649" s="20"/>
      <x:c r="F1649" s="25"/>
      <x:c r="G1649" s="20"/>
      <x:c r="H1649" s="20"/>
      <x:c r="I1649" s="20"/>
      <x:c r="J1649" s="20"/>
      <x:c r="K1649" s="20"/>
      <x:c r="L1649" s="20"/>
      <x:c r="M1649" s="20"/>
      <x:c r="N1649" s="20"/>
      <x:c r="O1649" s="20"/>
      <x:c r="P1649" s="20"/>
      <x:c r="Q1649" s="20"/>
      <x:c r="R1649" s="20"/>
      <x:c r="S1649" s="20"/>
      <x:c r="T1649" s="20"/>
      <x:c r="U1649" s="20"/>
      <x:c r="V1649" s="20"/>
      <x:c r="W1649" s="20"/>
      <x:c r="X1649" s="20"/>
      <x:c r="Y1649" s="21"/>
    </x:row>
    <x:row r="1650">
      <x:c r="A1650" s="19"/>
      <x:c r="B1650" s="27"/>
      <x:c r="C1650" s="20"/>
      <x:c r="D1650" s="28"/>
      <x:c r="E1650" s="20"/>
      <x:c r="F1650" s="25"/>
      <x:c r="G1650" s="20"/>
      <x:c r="H1650" s="20"/>
      <x:c r="I1650" s="20"/>
      <x:c r="J1650" s="20"/>
      <x:c r="K1650" s="20"/>
      <x:c r="L1650" s="20"/>
      <x:c r="M1650" s="20"/>
      <x:c r="N1650" s="20"/>
      <x:c r="O1650" s="20"/>
      <x:c r="P1650" s="20"/>
      <x:c r="Q1650" s="20"/>
      <x:c r="R1650" s="20"/>
      <x:c r="S1650" s="20"/>
      <x:c r="T1650" s="20"/>
      <x:c r="U1650" s="20"/>
      <x:c r="V1650" s="20"/>
      <x:c r="W1650" s="20"/>
      <x:c r="X1650" s="20"/>
      <x:c r="Y1650" s="21"/>
    </x:row>
    <x:row r="1651">
      <x:c r="A1651" s="19"/>
      <x:c r="B1651" s="27"/>
      <x:c r="C1651" s="20"/>
      <x:c r="D1651" s="28"/>
      <x:c r="E1651" s="20"/>
      <x:c r="F1651" s="25"/>
      <x:c r="G1651" s="20"/>
      <x:c r="H1651" s="20"/>
      <x:c r="I1651" s="20"/>
      <x:c r="J1651" s="20"/>
      <x:c r="K1651" s="20"/>
      <x:c r="L1651" s="20"/>
      <x:c r="M1651" s="20"/>
      <x:c r="N1651" s="20"/>
      <x:c r="O1651" s="20"/>
      <x:c r="P1651" s="20"/>
      <x:c r="Q1651" s="20"/>
      <x:c r="R1651" s="20"/>
      <x:c r="S1651" s="20"/>
      <x:c r="T1651" s="20"/>
      <x:c r="U1651" s="20"/>
      <x:c r="V1651" s="20"/>
      <x:c r="W1651" s="20"/>
      <x:c r="X1651" s="20"/>
      <x:c r="Y1651" s="21"/>
    </x:row>
    <x:row r="1652">
      <x:c r="A1652" s="19"/>
      <x:c r="B1652" s="27"/>
      <x:c r="C1652" s="20"/>
      <x:c r="D1652" s="28"/>
      <x:c r="E1652" s="20"/>
      <x:c r="F1652" s="25"/>
      <x:c r="G1652" s="20"/>
      <x:c r="H1652" s="20"/>
      <x:c r="I1652" s="20"/>
      <x:c r="J1652" s="20"/>
      <x:c r="K1652" s="20"/>
      <x:c r="L1652" s="20"/>
      <x:c r="M1652" s="20"/>
      <x:c r="N1652" s="20"/>
      <x:c r="O1652" s="20"/>
      <x:c r="P1652" s="20"/>
      <x:c r="Q1652" s="20"/>
      <x:c r="R1652" s="20"/>
      <x:c r="S1652" s="20"/>
      <x:c r="T1652" s="20"/>
      <x:c r="U1652" s="20"/>
      <x:c r="V1652" s="20"/>
      <x:c r="W1652" s="20"/>
      <x:c r="X1652" s="20"/>
      <x:c r="Y1652" s="21"/>
    </x:row>
    <x:row r="1653">
      <x:c r="A1653" s="19"/>
      <x:c r="B1653" s="27"/>
      <x:c r="C1653" s="20"/>
      <x:c r="D1653" s="28"/>
      <x:c r="E1653" s="20"/>
      <x:c r="F1653" s="25"/>
      <x:c r="G1653" s="20"/>
      <x:c r="H1653" s="20"/>
      <x:c r="I1653" s="20"/>
      <x:c r="J1653" s="20"/>
      <x:c r="K1653" s="20"/>
      <x:c r="L1653" s="20"/>
      <x:c r="M1653" s="20"/>
      <x:c r="N1653" s="20"/>
      <x:c r="O1653" s="20"/>
      <x:c r="P1653" s="20"/>
      <x:c r="Q1653" s="20"/>
      <x:c r="R1653" s="20"/>
      <x:c r="S1653" s="20"/>
      <x:c r="T1653" s="20"/>
      <x:c r="U1653" s="20"/>
      <x:c r="V1653" s="20"/>
      <x:c r="W1653" s="20"/>
      <x:c r="X1653" s="20"/>
      <x:c r="Y1653" s="21"/>
    </x:row>
    <x:row r="1654">
      <x:c r="A1654" s="19"/>
      <x:c r="B1654" s="27"/>
      <x:c r="C1654" s="20"/>
      <x:c r="D1654" s="28"/>
      <x:c r="E1654" s="20"/>
      <x:c r="F1654" s="25"/>
      <x:c r="G1654" s="20"/>
      <x:c r="H1654" s="20"/>
      <x:c r="I1654" s="20"/>
      <x:c r="J1654" s="20"/>
      <x:c r="K1654" s="20"/>
      <x:c r="L1654" s="20"/>
      <x:c r="M1654" s="20"/>
      <x:c r="N1654" s="20"/>
      <x:c r="O1654" s="20"/>
      <x:c r="P1654" s="20"/>
      <x:c r="Q1654" s="20"/>
      <x:c r="R1654" s="20"/>
      <x:c r="S1654" s="20"/>
      <x:c r="T1654" s="20"/>
      <x:c r="U1654" s="20"/>
      <x:c r="V1654" s="20"/>
      <x:c r="W1654" s="20"/>
      <x:c r="X1654" s="20"/>
      <x:c r="Y1654" s="21"/>
    </x:row>
    <x:row r="1655">
      <x:c r="A1655" s="19"/>
      <x:c r="B1655" s="27"/>
      <x:c r="C1655" s="20"/>
      <x:c r="D1655" s="28"/>
      <x:c r="E1655" s="20"/>
      <x:c r="F1655" s="25"/>
      <x:c r="G1655" s="20"/>
      <x:c r="H1655" s="20"/>
      <x:c r="I1655" s="20"/>
      <x:c r="J1655" s="20"/>
      <x:c r="K1655" s="20"/>
      <x:c r="L1655" s="20"/>
      <x:c r="M1655" s="20"/>
      <x:c r="N1655" s="20"/>
      <x:c r="O1655" s="20"/>
      <x:c r="P1655" s="20"/>
      <x:c r="Q1655" s="20"/>
      <x:c r="R1655" s="20"/>
      <x:c r="S1655" s="20"/>
      <x:c r="T1655" s="20"/>
      <x:c r="U1655" s="20"/>
      <x:c r="V1655" s="20"/>
      <x:c r="W1655" s="20"/>
      <x:c r="X1655" s="20"/>
      <x:c r="Y1655" s="21"/>
    </x:row>
    <x:row r="1656">
      <x:c r="A1656" s="19"/>
      <x:c r="B1656" s="27"/>
      <x:c r="C1656" s="20"/>
      <x:c r="D1656" s="28"/>
      <x:c r="E1656" s="20"/>
      <x:c r="F1656" s="25"/>
      <x:c r="G1656" s="20"/>
      <x:c r="H1656" s="20"/>
      <x:c r="I1656" s="20"/>
      <x:c r="J1656" s="20"/>
      <x:c r="K1656" s="20"/>
      <x:c r="L1656" s="20"/>
      <x:c r="M1656" s="20"/>
      <x:c r="N1656" s="20"/>
      <x:c r="O1656" s="20"/>
      <x:c r="P1656" s="20"/>
      <x:c r="Q1656" s="20"/>
      <x:c r="R1656" s="20"/>
      <x:c r="S1656" s="20"/>
      <x:c r="T1656" s="20"/>
      <x:c r="U1656" s="20"/>
      <x:c r="V1656" s="20"/>
      <x:c r="W1656" s="20"/>
      <x:c r="X1656" s="20"/>
      <x:c r="Y1656" s="21"/>
    </x:row>
    <x:row r="1657">
      <x:c r="A1657" s="19"/>
      <x:c r="B1657" s="27"/>
      <x:c r="C1657" s="20"/>
      <x:c r="D1657" s="28"/>
      <x:c r="E1657" s="20"/>
      <x:c r="F1657" s="25"/>
      <x:c r="G1657" s="20"/>
      <x:c r="H1657" s="20"/>
      <x:c r="I1657" s="20"/>
      <x:c r="J1657" s="20"/>
      <x:c r="K1657" s="20"/>
      <x:c r="L1657" s="20"/>
      <x:c r="M1657" s="20"/>
      <x:c r="N1657" s="20"/>
      <x:c r="O1657" s="20"/>
      <x:c r="P1657" s="20"/>
      <x:c r="Q1657" s="20"/>
      <x:c r="R1657" s="20"/>
      <x:c r="S1657" s="20"/>
      <x:c r="T1657" s="20"/>
      <x:c r="U1657" s="20"/>
      <x:c r="V1657" s="20"/>
      <x:c r="W1657" s="20"/>
      <x:c r="X1657" s="20"/>
      <x:c r="Y1657" s="21"/>
    </x:row>
    <x:row r="1658">
      <x:c r="A1658" s="19"/>
      <x:c r="B1658" s="27"/>
      <x:c r="C1658" s="20"/>
      <x:c r="D1658" s="28"/>
      <x:c r="E1658" s="20"/>
      <x:c r="F1658" s="25"/>
      <x:c r="G1658" s="20"/>
      <x:c r="H1658" s="20"/>
      <x:c r="I1658" s="20"/>
      <x:c r="J1658" s="20"/>
      <x:c r="K1658" s="20"/>
      <x:c r="L1658" s="20"/>
      <x:c r="M1658" s="20"/>
      <x:c r="N1658" s="20"/>
      <x:c r="O1658" s="20"/>
      <x:c r="P1658" s="20"/>
      <x:c r="Q1658" s="20"/>
      <x:c r="R1658" s="20"/>
      <x:c r="S1658" s="20"/>
      <x:c r="T1658" s="20"/>
      <x:c r="U1658" s="20"/>
      <x:c r="V1658" s="20"/>
      <x:c r="W1658" s="20"/>
      <x:c r="X1658" s="20"/>
      <x:c r="Y1658" s="21"/>
    </x:row>
    <x:row r="1659">
      <x:c r="A1659" s="19"/>
      <x:c r="B1659" s="27"/>
      <x:c r="C1659" s="20"/>
      <x:c r="D1659" s="28"/>
      <x:c r="E1659" s="20"/>
      <x:c r="F1659" s="25"/>
      <x:c r="G1659" s="20"/>
      <x:c r="H1659" s="20"/>
      <x:c r="I1659" s="20"/>
      <x:c r="J1659" s="20"/>
      <x:c r="K1659" s="20"/>
      <x:c r="L1659" s="20"/>
      <x:c r="M1659" s="20"/>
      <x:c r="N1659" s="20"/>
      <x:c r="O1659" s="20"/>
      <x:c r="P1659" s="20"/>
      <x:c r="Q1659" s="20"/>
      <x:c r="R1659" s="20"/>
      <x:c r="S1659" s="20"/>
      <x:c r="T1659" s="20"/>
      <x:c r="U1659" s="20"/>
      <x:c r="V1659" s="20"/>
      <x:c r="W1659" s="20"/>
      <x:c r="X1659" s="20"/>
      <x:c r="Y1659" s="21"/>
    </x:row>
    <x:row r="1660">
      <x:c r="A1660" s="19"/>
      <x:c r="B1660" s="27"/>
      <x:c r="C1660" s="20"/>
      <x:c r="D1660" s="28"/>
      <x:c r="E1660" s="20"/>
      <x:c r="F1660" s="25"/>
      <x:c r="G1660" s="20"/>
      <x:c r="H1660" s="20"/>
      <x:c r="I1660" s="20"/>
      <x:c r="J1660" s="20"/>
      <x:c r="K1660" s="20"/>
      <x:c r="L1660" s="20"/>
      <x:c r="M1660" s="20"/>
      <x:c r="N1660" s="20"/>
      <x:c r="O1660" s="20"/>
      <x:c r="P1660" s="20"/>
      <x:c r="Q1660" s="20"/>
      <x:c r="R1660" s="20"/>
      <x:c r="S1660" s="20"/>
      <x:c r="T1660" s="20"/>
      <x:c r="U1660" s="20"/>
      <x:c r="V1660" s="20"/>
      <x:c r="W1660" s="20"/>
      <x:c r="X1660" s="20"/>
      <x:c r="Y1660" s="21"/>
    </x:row>
    <x:row r="1661">
      <x:c r="A1661" s="19"/>
      <x:c r="B1661" s="27"/>
      <x:c r="C1661" s="20"/>
      <x:c r="D1661" s="28"/>
      <x:c r="E1661" s="20"/>
      <x:c r="F1661" s="25"/>
      <x:c r="G1661" s="20"/>
      <x:c r="H1661" s="20"/>
      <x:c r="I1661" s="20"/>
      <x:c r="J1661" s="20"/>
      <x:c r="K1661" s="20"/>
      <x:c r="L1661" s="20"/>
      <x:c r="M1661" s="20"/>
      <x:c r="N1661" s="20"/>
      <x:c r="O1661" s="20"/>
      <x:c r="P1661" s="20"/>
      <x:c r="Q1661" s="20"/>
      <x:c r="R1661" s="20"/>
      <x:c r="S1661" s="20"/>
      <x:c r="T1661" s="20"/>
      <x:c r="U1661" s="20"/>
      <x:c r="V1661" s="20"/>
      <x:c r="W1661" s="20"/>
      <x:c r="X1661" s="20"/>
      <x:c r="Y1661" s="21"/>
    </x:row>
    <x:row r="1662">
      <x:c r="A1662" s="19"/>
      <x:c r="B1662" s="27"/>
      <x:c r="C1662" s="20"/>
      <x:c r="D1662" s="28"/>
      <x:c r="E1662" s="20"/>
      <x:c r="F1662" s="25"/>
      <x:c r="G1662" s="20"/>
      <x:c r="H1662" s="20"/>
      <x:c r="I1662" s="20"/>
      <x:c r="J1662" s="20"/>
      <x:c r="K1662" s="20"/>
      <x:c r="L1662" s="20"/>
      <x:c r="M1662" s="20"/>
      <x:c r="N1662" s="20"/>
      <x:c r="O1662" s="20"/>
      <x:c r="P1662" s="20"/>
      <x:c r="Q1662" s="20"/>
      <x:c r="R1662" s="20"/>
      <x:c r="S1662" s="20"/>
      <x:c r="T1662" s="20"/>
      <x:c r="U1662" s="20"/>
      <x:c r="V1662" s="20"/>
      <x:c r="W1662" s="20"/>
      <x:c r="X1662" s="20"/>
      <x:c r="Y1662" s="21"/>
    </x:row>
    <x:row r="1663">
      <x:c r="A1663" s="19"/>
      <x:c r="B1663" s="27"/>
      <x:c r="C1663" s="20"/>
      <x:c r="D1663" s="28"/>
      <x:c r="E1663" s="20"/>
      <x:c r="F1663" s="25"/>
      <x:c r="G1663" s="20"/>
      <x:c r="H1663" s="20"/>
      <x:c r="I1663" s="20"/>
      <x:c r="J1663" s="20"/>
      <x:c r="K1663" s="20"/>
      <x:c r="L1663" s="20"/>
      <x:c r="M1663" s="20"/>
      <x:c r="N1663" s="20"/>
      <x:c r="O1663" s="20"/>
      <x:c r="P1663" s="20"/>
      <x:c r="Q1663" s="20"/>
      <x:c r="R1663" s="20"/>
      <x:c r="S1663" s="20"/>
      <x:c r="T1663" s="20"/>
      <x:c r="U1663" s="20"/>
      <x:c r="V1663" s="20"/>
      <x:c r="W1663" s="20"/>
      <x:c r="X1663" s="20"/>
      <x:c r="Y1663" s="21"/>
    </x:row>
    <x:row r="1664">
      <x:c r="A1664" s="19"/>
      <x:c r="B1664" s="27"/>
      <x:c r="C1664" s="20"/>
      <x:c r="D1664" s="28"/>
      <x:c r="E1664" s="20"/>
      <x:c r="F1664" s="25"/>
      <x:c r="G1664" s="20"/>
      <x:c r="H1664" s="20"/>
      <x:c r="I1664" s="20"/>
      <x:c r="J1664" s="20"/>
      <x:c r="K1664" s="20"/>
      <x:c r="L1664" s="20"/>
      <x:c r="M1664" s="20"/>
      <x:c r="N1664" s="20"/>
      <x:c r="O1664" s="20"/>
      <x:c r="P1664" s="20"/>
      <x:c r="Q1664" s="20"/>
      <x:c r="R1664" s="20"/>
      <x:c r="S1664" s="20"/>
      <x:c r="T1664" s="20"/>
      <x:c r="U1664" s="20"/>
      <x:c r="V1664" s="20"/>
      <x:c r="W1664" s="20"/>
      <x:c r="X1664" s="20"/>
      <x:c r="Y1664" s="21"/>
    </x:row>
    <x:row r="1665">
      <x:c r="A1665" s="19"/>
      <x:c r="B1665" s="27"/>
      <x:c r="C1665" s="20"/>
      <x:c r="D1665" s="28"/>
      <x:c r="E1665" s="20"/>
      <x:c r="F1665" s="25"/>
      <x:c r="G1665" s="20"/>
      <x:c r="H1665" s="20"/>
      <x:c r="I1665" s="20"/>
      <x:c r="J1665" s="20"/>
      <x:c r="K1665" s="20"/>
      <x:c r="L1665" s="20"/>
      <x:c r="M1665" s="20"/>
      <x:c r="N1665" s="20"/>
      <x:c r="O1665" s="20"/>
      <x:c r="P1665" s="20"/>
      <x:c r="Q1665" s="20"/>
      <x:c r="R1665" s="20"/>
      <x:c r="S1665" s="20"/>
      <x:c r="T1665" s="20"/>
      <x:c r="U1665" s="20"/>
      <x:c r="V1665" s="20"/>
      <x:c r="W1665" s="20"/>
      <x:c r="X1665" s="20"/>
      <x:c r="Y1665" s="21"/>
    </x:row>
    <x:row r="1666">
      <x:c r="A1666" s="19"/>
      <x:c r="B1666" s="27"/>
      <x:c r="C1666" s="20"/>
      <x:c r="D1666" s="28"/>
      <x:c r="E1666" s="20"/>
      <x:c r="F1666" s="25"/>
      <x:c r="G1666" s="20"/>
      <x:c r="H1666" s="20"/>
      <x:c r="I1666" s="20"/>
      <x:c r="J1666" s="20"/>
      <x:c r="K1666" s="20"/>
      <x:c r="L1666" s="20"/>
      <x:c r="M1666" s="20"/>
      <x:c r="N1666" s="20"/>
      <x:c r="O1666" s="20"/>
      <x:c r="P1666" s="20"/>
      <x:c r="Q1666" s="20"/>
      <x:c r="R1666" s="20"/>
      <x:c r="S1666" s="20"/>
      <x:c r="T1666" s="20"/>
      <x:c r="U1666" s="20"/>
      <x:c r="V1666" s="20"/>
      <x:c r="W1666" s="20"/>
      <x:c r="X1666" s="20"/>
      <x:c r="Y1666" s="21"/>
    </x:row>
    <x:row r="1667">
      <x:c r="A1667" s="19"/>
      <x:c r="B1667" s="27"/>
      <x:c r="C1667" s="20"/>
      <x:c r="D1667" s="28"/>
      <x:c r="E1667" s="20"/>
      <x:c r="F1667" s="25"/>
      <x:c r="G1667" s="20"/>
      <x:c r="H1667" s="20"/>
      <x:c r="I1667" s="20"/>
      <x:c r="J1667" s="20"/>
      <x:c r="K1667" s="20"/>
      <x:c r="L1667" s="20"/>
      <x:c r="M1667" s="20"/>
      <x:c r="N1667" s="20"/>
      <x:c r="O1667" s="20"/>
      <x:c r="P1667" s="20"/>
      <x:c r="Q1667" s="20"/>
      <x:c r="R1667" s="20"/>
      <x:c r="S1667" s="20"/>
      <x:c r="T1667" s="20"/>
      <x:c r="U1667" s="20"/>
      <x:c r="V1667" s="20"/>
      <x:c r="W1667" s="20"/>
      <x:c r="X1667" s="20"/>
      <x:c r="Y1667" s="21"/>
    </x:row>
    <x:row r="1668">
      <x:c r="A1668" s="19"/>
      <x:c r="B1668" s="27"/>
      <x:c r="C1668" s="20"/>
      <x:c r="D1668" s="28"/>
      <x:c r="E1668" s="20"/>
      <x:c r="F1668" s="25"/>
      <x:c r="G1668" s="20"/>
      <x:c r="H1668" s="20"/>
      <x:c r="I1668" s="20"/>
      <x:c r="J1668" s="20"/>
      <x:c r="K1668" s="20"/>
      <x:c r="L1668" s="20"/>
      <x:c r="M1668" s="20"/>
      <x:c r="N1668" s="20"/>
      <x:c r="O1668" s="20"/>
      <x:c r="P1668" s="20"/>
      <x:c r="Q1668" s="20"/>
      <x:c r="R1668" s="20"/>
      <x:c r="S1668" s="20"/>
      <x:c r="T1668" s="20"/>
      <x:c r="U1668" s="20"/>
      <x:c r="V1668" s="20"/>
      <x:c r="W1668" s="20"/>
      <x:c r="X1668" s="20"/>
      <x:c r="Y1668" s="21"/>
    </x:row>
    <x:row r="1669">
      <x:c r="A1669" s="19"/>
      <x:c r="B1669" s="27"/>
      <x:c r="C1669" s="20"/>
      <x:c r="D1669" s="28"/>
      <x:c r="E1669" s="20"/>
      <x:c r="F1669" s="25"/>
      <x:c r="G1669" s="20"/>
      <x:c r="H1669" s="20"/>
      <x:c r="I1669" s="20"/>
      <x:c r="J1669" s="20"/>
      <x:c r="K1669" s="20"/>
      <x:c r="L1669" s="20"/>
      <x:c r="M1669" s="20"/>
      <x:c r="N1669" s="20"/>
      <x:c r="O1669" s="20"/>
      <x:c r="P1669" s="20"/>
      <x:c r="Q1669" s="20"/>
      <x:c r="R1669" s="20"/>
      <x:c r="S1669" s="20"/>
      <x:c r="T1669" s="20"/>
      <x:c r="U1669" s="20"/>
      <x:c r="V1669" s="20"/>
      <x:c r="W1669" s="20"/>
      <x:c r="X1669" s="20"/>
      <x:c r="Y1669" s="21"/>
    </x:row>
    <x:row r="1670">
      <x:c r="A1670" s="19"/>
      <x:c r="B1670" s="27"/>
      <x:c r="C1670" s="20"/>
      <x:c r="D1670" s="28"/>
      <x:c r="E1670" s="20"/>
      <x:c r="F1670" s="25"/>
      <x:c r="G1670" s="20"/>
      <x:c r="H1670" s="20"/>
      <x:c r="I1670" s="20"/>
      <x:c r="J1670" s="20"/>
      <x:c r="K1670" s="20"/>
      <x:c r="L1670" s="20"/>
      <x:c r="M1670" s="20"/>
      <x:c r="N1670" s="20"/>
      <x:c r="O1670" s="20"/>
      <x:c r="P1670" s="20"/>
      <x:c r="Q1670" s="20"/>
      <x:c r="R1670" s="20"/>
      <x:c r="S1670" s="20"/>
      <x:c r="T1670" s="20"/>
      <x:c r="U1670" s="20"/>
      <x:c r="V1670" s="20"/>
      <x:c r="W1670" s="20"/>
      <x:c r="X1670" s="20"/>
      <x:c r="Y1670" s="21"/>
    </x:row>
    <x:row r="1671">
      <x:c r="A1671" s="19"/>
      <x:c r="B1671" s="27"/>
      <x:c r="C1671" s="20"/>
      <x:c r="D1671" s="28"/>
      <x:c r="E1671" s="20"/>
      <x:c r="F1671" s="25"/>
      <x:c r="G1671" s="20"/>
      <x:c r="H1671" s="20"/>
      <x:c r="I1671" s="20"/>
      <x:c r="J1671" s="20"/>
      <x:c r="K1671" s="20"/>
      <x:c r="L1671" s="20"/>
      <x:c r="M1671" s="20"/>
      <x:c r="N1671" s="20"/>
      <x:c r="O1671" s="20"/>
      <x:c r="P1671" s="20"/>
      <x:c r="Q1671" s="20"/>
      <x:c r="R1671" s="20"/>
      <x:c r="S1671" s="20"/>
      <x:c r="T1671" s="20"/>
      <x:c r="U1671" s="20"/>
      <x:c r="V1671" s="20"/>
      <x:c r="W1671" s="20"/>
      <x:c r="X1671" s="20"/>
      <x:c r="Y1671" s="21"/>
    </x:row>
    <x:row r="1672">
      <x:c r="A1672" s="19"/>
      <x:c r="B1672" s="27"/>
      <x:c r="C1672" s="20"/>
      <x:c r="D1672" s="28"/>
      <x:c r="E1672" s="20"/>
      <x:c r="F1672" s="25"/>
      <x:c r="G1672" s="20"/>
      <x:c r="H1672" s="20"/>
      <x:c r="I1672" s="20"/>
      <x:c r="J1672" s="20"/>
      <x:c r="K1672" s="20"/>
      <x:c r="L1672" s="20"/>
      <x:c r="M1672" s="20"/>
      <x:c r="N1672" s="20"/>
      <x:c r="O1672" s="20"/>
      <x:c r="P1672" s="20"/>
      <x:c r="Q1672" s="20"/>
      <x:c r="R1672" s="20"/>
      <x:c r="S1672" s="20"/>
      <x:c r="T1672" s="20"/>
      <x:c r="U1672" s="20"/>
      <x:c r="V1672" s="20"/>
      <x:c r="W1672" s="20"/>
      <x:c r="X1672" s="20"/>
      <x:c r="Y1672" s="21"/>
    </x:row>
    <x:row r="1673">
      <x:c r="A1673" s="19"/>
      <x:c r="B1673" s="27"/>
      <x:c r="C1673" s="20"/>
      <x:c r="D1673" s="28"/>
      <x:c r="E1673" s="20"/>
      <x:c r="F1673" s="25"/>
      <x:c r="G1673" s="20"/>
      <x:c r="H1673" s="20"/>
      <x:c r="I1673" s="20"/>
      <x:c r="J1673" s="20"/>
      <x:c r="K1673" s="20"/>
      <x:c r="L1673" s="20"/>
      <x:c r="M1673" s="20"/>
      <x:c r="N1673" s="20"/>
      <x:c r="O1673" s="20"/>
      <x:c r="P1673" s="20"/>
      <x:c r="Q1673" s="20"/>
      <x:c r="R1673" s="20"/>
      <x:c r="S1673" s="20"/>
      <x:c r="T1673" s="20"/>
      <x:c r="U1673" s="20"/>
      <x:c r="V1673" s="20"/>
      <x:c r="W1673" s="20"/>
      <x:c r="X1673" s="20"/>
      <x:c r="Y1673" s="21"/>
    </x:row>
    <x:row r="1674">
      <x:c r="A1674" s="19"/>
      <x:c r="B1674" s="27"/>
      <x:c r="C1674" s="20"/>
      <x:c r="D1674" s="28"/>
      <x:c r="E1674" s="20"/>
      <x:c r="F1674" s="25"/>
      <x:c r="G1674" s="20"/>
      <x:c r="H1674" s="20"/>
      <x:c r="I1674" s="20"/>
      <x:c r="J1674" s="20"/>
      <x:c r="K1674" s="20"/>
      <x:c r="L1674" s="20"/>
      <x:c r="M1674" s="20"/>
      <x:c r="N1674" s="20"/>
      <x:c r="O1674" s="20"/>
      <x:c r="P1674" s="20"/>
      <x:c r="Q1674" s="20"/>
      <x:c r="R1674" s="20"/>
      <x:c r="S1674" s="20"/>
      <x:c r="T1674" s="20"/>
      <x:c r="U1674" s="20"/>
      <x:c r="V1674" s="20"/>
      <x:c r="W1674" s="20"/>
      <x:c r="X1674" s="20"/>
      <x:c r="Y1674" s="21"/>
    </x:row>
    <x:row r="1675">
      <x:c r="A1675" s="19"/>
      <x:c r="B1675" s="27"/>
      <x:c r="C1675" s="20"/>
      <x:c r="D1675" s="28"/>
      <x:c r="E1675" s="20"/>
      <x:c r="F1675" s="25"/>
      <x:c r="G1675" s="20"/>
      <x:c r="H1675" s="20"/>
      <x:c r="I1675" s="20"/>
      <x:c r="J1675" s="20"/>
      <x:c r="K1675" s="20"/>
      <x:c r="L1675" s="20"/>
      <x:c r="M1675" s="20"/>
      <x:c r="N1675" s="20"/>
      <x:c r="O1675" s="20"/>
      <x:c r="P1675" s="20"/>
      <x:c r="Q1675" s="20"/>
      <x:c r="R1675" s="20"/>
      <x:c r="S1675" s="20"/>
      <x:c r="T1675" s="20"/>
      <x:c r="U1675" s="20"/>
      <x:c r="V1675" s="20"/>
      <x:c r="W1675" s="20"/>
      <x:c r="X1675" s="20"/>
      <x:c r="Y1675" s="21"/>
    </x:row>
    <x:row r="1676">
      <x:c r="A1676" s="19"/>
      <x:c r="B1676" s="27"/>
      <x:c r="C1676" s="20"/>
      <x:c r="D1676" s="28"/>
      <x:c r="E1676" s="20"/>
      <x:c r="F1676" s="25"/>
      <x:c r="G1676" s="20"/>
      <x:c r="H1676" s="20"/>
      <x:c r="I1676" s="20"/>
      <x:c r="J1676" s="20"/>
      <x:c r="K1676" s="20"/>
      <x:c r="L1676" s="20"/>
      <x:c r="M1676" s="20"/>
      <x:c r="N1676" s="20"/>
      <x:c r="O1676" s="20"/>
      <x:c r="P1676" s="20"/>
      <x:c r="Q1676" s="20"/>
      <x:c r="R1676" s="20"/>
      <x:c r="S1676" s="20"/>
      <x:c r="T1676" s="20"/>
      <x:c r="U1676" s="20"/>
      <x:c r="V1676" s="20"/>
      <x:c r="W1676" s="20"/>
      <x:c r="X1676" s="20"/>
      <x:c r="Y1676" s="21"/>
    </x:row>
    <x:row r="1677">
      <x:c r="A1677" s="19"/>
      <x:c r="B1677" s="27"/>
      <x:c r="C1677" s="20"/>
      <x:c r="D1677" s="28"/>
      <x:c r="E1677" s="20"/>
      <x:c r="F1677" s="25"/>
      <x:c r="G1677" s="20"/>
      <x:c r="H1677" s="20"/>
      <x:c r="I1677" s="20"/>
      <x:c r="J1677" s="20"/>
      <x:c r="K1677" s="20"/>
      <x:c r="L1677" s="20"/>
      <x:c r="M1677" s="20"/>
      <x:c r="N1677" s="20"/>
      <x:c r="O1677" s="20"/>
      <x:c r="P1677" s="20"/>
      <x:c r="Q1677" s="20"/>
      <x:c r="R1677" s="20"/>
      <x:c r="S1677" s="20"/>
      <x:c r="T1677" s="20"/>
      <x:c r="U1677" s="20"/>
      <x:c r="V1677" s="20"/>
      <x:c r="W1677" s="20"/>
      <x:c r="X1677" s="20"/>
      <x:c r="Y1677" s="21"/>
    </x:row>
    <x:row r="1678">
      <x:c r="A1678" s="19"/>
      <x:c r="B1678" s="27"/>
      <x:c r="C1678" s="20"/>
      <x:c r="D1678" s="28"/>
      <x:c r="E1678" s="20"/>
      <x:c r="F1678" s="25"/>
      <x:c r="G1678" s="20"/>
      <x:c r="H1678" s="20"/>
      <x:c r="I1678" s="20"/>
      <x:c r="J1678" s="20"/>
      <x:c r="K1678" s="20"/>
      <x:c r="L1678" s="20"/>
      <x:c r="M1678" s="20"/>
      <x:c r="N1678" s="20"/>
      <x:c r="O1678" s="20"/>
      <x:c r="P1678" s="20"/>
      <x:c r="Q1678" s="20"/>
      <x:c r="R1678" s="20"/>
      <x:c r="S1678" s="20"/>
      <x:c r="T1678" s="20"/>
      <x:c r="U1678" s="20"/>
      <x:c r="V1678" s="20"/>
      <x:c r="W1678" s="20"/>
      <x:c r="X1678" s="20"/>
      <x:c r="Y1678" s="21"/>
    </x:row>
    <x:row r="1679">
      <x:c r="A1679" s="19"/>
      <x:c r="B1679" s="27"/>
      <x:c r="C1679" s="20"/>
      <x:c r="D1679" s="28"/>
      <x:c r="E1679" s="20"/>
      <x:c r="F1679" s="25"/>
      <x:c r="G1679" s="20"/>
      <x:c r="H1679" s="20"/>
      <x:c r="I1679" s="20"/>
      <x:c r="J1679" s="20"/>
      <x:c r="K1679" s="20"/>
      <x:c r="L1679" s="20"/>
      <x:c r="M1679" s="20"/>
      <x:c r="N1679" s="20"/>
      <x:c r="O1679" s="20"/>
      <x:c r="P1679" s="20"/>
      <x:c r="Q1679" s="20"/>
      <x:c r="R1679" s="20"/>
      <x:c r="S1679" s="20"/>
      <x:c r="T1679" s="20"/>
      <x:c r="U1679" s="20"/>
      <x:c r="V1679" s="20"/>
      <x:c r="W1679" s="20"/>
      <x:c r="X1679" s="20"/>
      <x:c r="Y1679" s="21"/>
    </x:row>
    <x:row r="1680">
      <x:c r="A1680" s="19"/>
      <x:c r="B1680" s="27"/>
      <x:c r="C1680" s="20"/>
      <x:c r="D1680" s="28"/>
      <x:c r="E1680" s="20"/>
      <x:c r="F1680" s="25"/>
      <x:c r="G1680" s="20"/>
      <x:c r="H1680" s="20"/>
      <x:c r="I1680" s="20"/>
      <x:c r="J1680" s="20"/>
      <x:c r="K1680" s="20"/>
      <x:c r="L1680" s="20"/>
      <x:c r="M1680" s="20"/>
      <x:c r="N1680" s="20"/>
      <x:c r="O1680" s="20"/>
      <x:c r="P1680" s="20"/>
      <x:c r="Q1680" s="20"/>
      <x:c r="R1680" s="20"/>
      <x:c r="S1680" s="20"/>
      <x:c r="T1680" s="20"/>
      <x:c r="U1680" s="20"/>
      <x:c r="V1680" s="20"/>
      <x:c r="W1680" s="20"/>
      <x:c r="X1680" s="20"/>
      <x:c r="Y1680" s="21"/>
    </x:row>
    <x:row r="1681">
      <x:c r="A1681" s="19"/>
      <x:c r="B1681" s="27"/>
      <x:c r="C1681" s="20"/>
      <x:c r="D1681" s="28"/>
      <x:c r="E1681" s="20"/>
      <x:c r="F1681" s="25"/>
      <x:c r="G1681" s="20"/>
      <x:c r="H1681" s="20"/>
      <x:c r="I1681" s="20"/>
      <x:c r="J1681" s="20"/>
      <x:c r="K1681" s="20"/>
      <x:c r="L1681" s="20"/>
      <x:c r="M1681" s="20"/>
      <x:c r="N1681" s="20"/>
      <x:c r="O1681" s="20"/>
      <x:c r="P1681" s="20"/>
      <x:c r="Q1681" s="20"/>
      <x:c r="R1681" s="20"/>
      <x:c r="S1681" s="20"/>
      <x:c r="T1681" s="20"/>
      <x:c r="U1681" s="20"/>
      <x:c r="V1681" s="20"/>
      <x:c r="W1681" s="20"/>
      <x:c r="X1681" s="20"/>
      <x:c r="Y1681" s="21"/>
    </x:row>
    <x:row r="1682">
      <x:c r="A1682" s="19"/>
      <x:c r="B1682" s="27"/>
      <x:c r="C1682" s="20"/>
      <x:c r="D1682" s="28"/>
      <x:c r="E1682" s="20"/>
      <x:c r="F1682" s="25"/>
      <x:c r="G1682" s="20"/>
      <x:c r="H1682" s="20"/>
      <x:c r="I1682" s="20"/>
      <x:c r="J1682" s="20"/>
      <x:c r="K1682" s="20"/>
      <x:c r="L1682" s="20"/>
      <x:c r="M1682" s="20"/>
      <x:c r="N1682" s="20"/>
      <x:c r="O1682" s="20"/>
      <x:c r="P1682" s="20"/>
      <x:c r="Q1682" s="20"/>
      <x:c r="R1682" s="20"/>
      <x:c r="S1682" s="20"/>
      <x:c r="T1682" s="20"/>
      <x:c r="U1682" s="20"/>
      <x:c r="V1682" s="20"/>
      <x:c r="W1682" s="20"/>
      <x:c r="X1682" s="20"/>
      <x:c r="Y1682" s="21"/>
    </x:row>
    <x:row r="1683">
      <x:c r="A1683" s="19"/>
      <x:c r="B1683" s="27"/>
      <x:c r="C1683" s="20"/>
      <x:c r="D1683" s="28"/>
      <x:c r="E1683" s="20"/>
      <x:c r="F1683" s="25"/>
      <x:c r="G1683" s="20"/>
      <x:c r="H1683" s="20"/>
      <x:c r="I1683" s="20"/>
      <x:c r="J1683" s="20"/>
      <x:c r="K1683" s="20"/>
      <x:c r="L1683" s="20"/>
      <x:c r="M1683" s="20"/>
      <x:c r="N1683" s="20"/>
      <x:c r="O1683" s="20"/>
      <x:c r="P1683" s="20"/>
      <x:c r="Q1683" s="20"/>
      <x:c r="R1683" s="20"/>
      <x:c r="S1683" s="20"/>
      <x:c r="T1683" s="20"/>
      <x:c r="U1683" s="20"/>
      <x:c r="V1683" s="20"/>
      <x:c r="W1683" s="20"/>
      <x:c r="X1683" s="20"/>
      <x:c r="Y1683" s="21"/>
    </x:row>
    <x:row r="1684">
      <x:c r="A1684" s="19"/>
      <x:c r="B1684" s="27"/>
      <x:c r="C1684" s="20"/>
      <x:c r="D1684" s="28"/>
      <x:c r="E1684" s="20"/>
      <x:c r="F1684" s="25"/>
      <x:c r="G1684" s="20"/>
      <x:c r="H1684" s="20"/>
      <x:c r="I1684" s="20"/>
      <x:c r="J1684" s="20"/>
      <x:c r="K1684" s="20"/>
      <x:c r="L1684" s="20"/>
      <x:c r="M1684" s="20"/>
      <x:c r="N1684" s="20"/>
      <x:c r="O1684" s="20"/>
      <x:c r="P1684" s="20"/>
      <x:c r="Q1684" s="20"/>
      <x:c r="R1684" s="20"/>
      <x:c r="S1684" s="20"/>
      <x:c r="T1684" s="20"/>
      <x:c r="U1684" s="20"/>
      <x:c r="V1684" s="20"/>
      <x:c r="W1684" s="20"/>
      <x:c r="X1684" s="20"/>
      <x:c r="Y1684" s="21"/>
    </x:row>
    <x:row r="1685">
      <x:c r="A1685" s="19"/>
      <x:c r="B1685" s="27"/>
      <x:c r="C1685" s="20"/>
      <x:c r="D1685" s="28"/>
      <x:c r="E1685" s="20"/>
      <x:c r="F1685" s="25"/>
      <x:c r="G1685" s="20"/>
      <x:c r="H1685" s="20"/>
      <x:c r="I1685" s="20"/>
      <x:c r="J1685" s="20"/>
      <x:c r="K1685" s="20"/>
      <x:c r="L1685" s="20"/>
      <x:c r="M1685" s="20"/>
      <x:c r="N1685" s="20"/>
      <x:c r="O1685" s="20"/>
      <x:c r="P1685" s="20"/>
      <x:c r="Q1685" s="20"/>
      <x:c r="R1685" s="20"/>
      <x:c r="S1685" s="20"/>
      <x:c r="T1685" s="20"/>
      <x:c r="U1685" s="20"/>
      <x:c r="V1685" s="20"/>
      <x:c r="W1685" s="20"/>
      <x:c r="X1685" s="20"/>
      <x:c r="Y1685" s="21"/>
    </x:row>
    <x:row r="1686">
      <x:c r="A1686" s="19"/>
      <x:c r="B1686" s="27"/>
      <x:c r="C1686" s="20"/>
      <x:c r="D1686" s="28"/>
      <x:c r="E1686" s="20"/>
      <x:c r="F1686" s="25"/>
      <x:c r="G1686" s="20"/>
      <x:c r="H1686" s="20"/>
      <x:c r="I1686" s="20"/>
      <x:c r="J1686" s="20"/>
      <x:c r="K1686" s="20"/>
      <x:c r="L1686" s="20"/>
      <x:c r="M1686" s="20"/>
      <x:c r="N1686" s="20"/>
      <x:c r="O1686" s="20"/>
      <x:c r="P1686" s="20"/>
      <x:c r="Q1686" s="20"/>
      <x:c r="R1686" s="20"/>
      <x:c r="S1686" s="20"/>
      <x:c r="T1686" s="20"/>
      <x:c r="U1686" s="20"/>
      <x:c r="V1686" s="20"/>
      <x:c r="W1686" s="20"/>
      <x:c r="X1686" s="20"/>
      <x:c r="Y1686" s="21"/>
    </x:row>
    <x:row r="1687">
      <x:c r="A1687" s="19"/>
      <x:c r="B1687" s="27"/>
      <x:c r="C1687" s="20"/>
      <x:c r="D1687" s="28"/>
      <x:c r="E1687" s="20"/>
      <x:c r="F1687" s="25"/>
      <x:c r="G1687" s="20"/>
      <x:c r="H1687" s="20"/>
      <x:c r="I1687" s="20"/>
      <x:c r="J1687" s="20"/>
      <x:c r="K1687" s="20"/>
      <x:c r="L1687" s="20"/>
      <x:c r="M1687" s="20"/>
      <x:c r="N1687" s="20"/>
      <x:c r="O1687" s="20"/>
      <x:c r="P1687" s="20"/>
      <x:c r="Q1687" s="20"/>
      <x:c r="R1687" s="20"/>
      <x:c r="S1687" s="20"/>
      <x:c r="T1687" s="20"/>
      <x:c r="U1687" s="20"/>
      <x:c r="V1687" s="20"/>
      <x:c r="W1687" s="20"/>
      <x:c r="X1687" s="20"/>
      <x:c r="Y1687" s="21"/>
    </x:row>
    <x:row r="1688">
      <x:c r="A1688" s="19"/>
      <x:c r="B1688" s="27"/>
      <x:c r="C1688" s="20"/>
      <x:c r="D1688" s="28"/>
      <x:c r="E1688" s="20"/>
      <x:c r="F1688" s="25"/>
      <x:c r="G1688" s="20"/>
      <x:c r="H1688" s="20"/>
      <x:c r="I1688" s="20"/>
      <x:c r="J1688" s="20"/>
      <x:c r="K1688" s="20"/>
      <x:c r="L1688" s="20"/>
      <x:c r="M1688" s="20"/>
      <x:c r="N1688" s="20"/>
      <x:c r="O1688" s="20"/>
      <x:c r="P1688" s="20"/>
      <x:c r="Q1688" s="20"/>
      <x:c r="R1688" s="20"/>
      <x:c r="S1688" s="20"/>
      <x:c r="T1688" s="20"/>
      <x:c r="U1688" s="20"/>
      <x:c r="V1688" s="20"/>
      <x:c r="W1688" s="20"/>
      <x:c r="X1688" s="20"/>
      <x:c r="Y1688" s="21"/>
    </x:row>
    <x:row r="1689">
      <x:c r="A1689" s="19"/>
      <x:c r="B1689" s="27"/>
      <x:c r="C1689" s="20"/>
      <x:c r="D1689" s="28"/>
      <x:c r="E1689" s="20"/>
      <x:c r="F1689" s="25"/>
      <x:c r="G1689" s="20"/>
      <x:c r="H1689" s="20"/>
      <x:c r="I1689" s="20"/>
      <x:c r="J1689" s="20"/>
      <x:c r="K1689" s="20"/>
      <x:c r="L1689" s="20"/>
      <x:c r="M1689" s="20"/>
      <x:c r="N1689" s="20"/>
      <x:c r="O1689" s="20"/>
      <x:c r="P1689" s="20"/>
      <x:c r="Q1689" s="20"/>
      <x:c r="R1689" s="20"/>
      <x:c r="S1689" s="20"/>
      <x:c r="T1689" s="20"/>
      <x:c r="U1689" s="20"/>
      <x:c r="V1689" s="20"/>
      <x:c r="W1689" s="20"/>
      <x:c r="X1689" s="20"/>
      <x:c r="Y1689" s="21"/>
    </x:row>
    <x:row r="1690">
      <x:c r="A1690" s="19"/>
      <x:c r="B1690" s="27"/>
      <x:c r="C1690" s="20"/>
      <x:c r="D1690" s="28"/>
      <x:c r="E1690" s="20"/>
      <x:c r="F1690" s="25"/>
      <x:c r="G1690" s="20"/>
      <x:c r="H1690" s="20"/>
      <x:c r="I1690" s="20"/>
      <x:c r="J1690" s="20"/>
      <x:c r="K1690" s="20"/>
      <x:c r="L1690" s="20"/>
      <x:c r="M1690" s="20"/>
      <x:c r="N1690" s="20"/>
      <x:c r="O1690" s="20"/>
      <x:c r="P1690" s="20"/>
      <x:c r="Q1690" s="20"/>
      <x:c r="R1690" s="20"/>
      <x:c r="S1690" s="20"/>
      <x:c r="T1690" s="20"/>
      <x:c r="U1690" s="20"/>
      <x:c r="V1690" s="20"/>
      <x:c r="W1690" s="20"/>
      <x:c r="X1690" s="20"/>
      <x:c r="Y1690" s="21"/>
    </x:row>
    <x:row r="1691">
      <x:c r="A1691" s="19"/>
      <x:c r="B1691" s="27"/>
      <x:c r="C1691" s="20"/>
      <x:c r="D1691" s="28"/>
      <x:c r="E1691" s="20"/>
      <x:c r="F1691" s="25"/>
      <x:c r="G1691" s="20"/>
      <x:c r="H1691" s="20"/>
      <x:c r="I1691" s="20"/>
      <x:c r="J1691" s="20"/>
      <x:c r="K1691" s="20"/>
      <x:c r="L1691" s="20"/>
      <x:c r="M1691" s="20"/>
      <x:c r="N1691" s="20"/>
      <x:c r="O1691" s="20"/>
      <x:c r="P1691" s="20"/>
      <x:c r="Q1691" s="20"/>
      <x:c r="R1691" s="20"/>
      <x:c r="S1691" s="20"/>
      <x:c r="T1691" s="20"/>
      <x:c r="U1691" s="20"/>
      <x:c r="V1691" s="20"/>
      <x:c r="W1691" s="20"/>
      <x:c r="X1691" s="20"/>
      <x:c r="Y1691" s="21"/>
    </x:row>
    <x:row r="1692">
      <x:c r="A1692" s="19"/>
      <x:c r="B1692" s="27"/>
      <x:c r="C1692" s="20"/>
      <x:c r="D1692" s="28"/>
      <x:c r="E1692" s="20"/>
      <x:c r="F1692" s="25"/>
      <x:c r="G1692" s="20"/>
      <x:c r="H1692" s="20"/>
      <x:c r="I1692" s="20"/>
      <x:c r="J1692" s="20"/>
      <x:c r="K1692" s="20"/>
      <x:c r="L1692" s="20"/>
      <x:c r="M1692" s="20"/>
      <x:c r="N1692" s="20"/>
      <x:c r="O1692" s="20"/>
      <x:c r="P1692" s="20"/>
      <x:c r="Q1692" s="20"/>
      <x:c r="R1692" s="20"/>
      <x:c r="S1692" s="20"/>
      <x:c r="T1692" s="20"/>
      <x:c r="U1692" s="20"/>
      <x:c r="V1692" s="20"/>
      <x:c r="W1692" s="20"/>
      <x:c r="X1692" s="20"/>
      <x:c r="Y1692" s="21"/>
    </x:row>
    <x:row r="1693">
      <x:c r="A1693" s="19"/>
      <x:c r="B1693" s="27"/>
      <x:c r="C1693" s="20"/>
      <x:c r="D1693" s="28"/>
      <x:c r="E1693" s="20"/>
      <x:c r="F1693" s="25"/>
      <x:c r="G1693" s="20"/>
      <x:c r="H1693" s="20"/>
      <x:c r="I1693" s="20"/>
      <x:c r="J1693" s="20"/>
      <x:c r="K1693" s="20"/>
      <x:c r="L1693" s="20"/>
      <x:c r="M1693" s="20"/>
      <x:c r="N1693" s="20"/>
      <x:c r="O1693" s="20"/>
      <x:c r="P1693" s="20"/>
      <x:c r="Q1693" s="20"/>
      <x:c r="R1693" s="20"/>
      <x:c r="S1693" s="20"/>
      <x:c r="T1693" s="20"/>
      <x:c r="U1693" s="20"/>
      <x:c r="V1693" s="20"/>
      <x:c r="W1693" s="20"/>
      <x:c r="X1693" s="20"/>
      <x:c r="Y1693" s="21"/>
    </x:row>
    <x:row r="1694">
      <x:c r="A1694" s="19"/>
      <x:c r="B1694" s="27"/>
      <x:c r="C1694" s="20"/>
      <x:c r="D1694" s="28"/>
      <x:c r="E1694" s="20"/>
      <x:c r="F1694" s="25"/>
      <x:c r="G1694" s="20"/>
      <x:c r="H1694" s="20"/>
      <x:c r="I1694" s="20"/>
      <x:c r="J1694" s="20"/>
      <x:c r="K1694" s="20"/>
      <x:c r="L1694" s="20"/>
      <x:c r="M1694" s="20"/>
      <x:c r="N1694" s="20"/>
      <x:c r="O1694" s="20"/>
      <x:c r="P1694" s="20"/>
      <x:c r="Q1694" s="20"/>
      <x:c r="R1694" s="20"/>
      <x:c r="S1694" s="20"/>
      <x:c r="T1694" s="20"/>
      <x:c r="U1694" s="20"/>
      <x:c r="V1694" s="20"/>
      <x:c r="W1694" s="20"/>
      <x:c r="X1694" s="20"/>
      <x:c r="Y1694" s="21"/>
    </x:row>
    <x:row r="1695">
      <x:c r="A1695" s="19"/>
      <x:c r="B1695" s="27"/>
      <x:c r="C1695" s="20"/>
      <x:c r="D1695" s="28"/>
      <x:c r="E1695" s="20"/>
      <x:c r="F1695" s="25"/>
      <x:c r="G1695" s="20"/>
      <x:c r="H1695" s="20"/>
      <x:c r="I1695" s="20"/>
      <x:c r="J1695" s="20"/>
      <x:c r="K1695" s="20"/>
      <x:c r="L1695" s="20"/>
      <x:c r="M1695" s="20"/>
      <x:c r="N1695" s="20"/>
      <x:c r="O1695" s="20"/>
      <x:c r="P1695" s="20"/>
      <x:c r="Q1695" s="20"/>
      <x:c r="R1695" s="20"/>
      <x:c r="S1695" s="20"/>
      <x:c r="T1695" s="20"/>
      <x:c r="U1695" s="20"/>
      <x:c r="V1695" s="20"/>
      <x:c r="W1695" s="20"/>
      <x:c r="X1695" s="20"/>
      <x:c r="Y1695" s="21"/>
    </x:row>
    <x:row r="1696">
      <x:c r="A1696" s="19"/>
      <x:c r="B1696" s="27"/>
      <x:c r="C1696" s="20"/>
      <x:c r="D1696" s="28"/>
      <x:c r="E1696" s="20"/>
      <x:c r="F1696" s="25"/>
      <x:c r="G1696" s="20"/>
      <x:c r="H1696" s="20"/>
      <x:c r="I1696" s="20"/>
      <x:c r="J1696" s="20"/>
      <x:c r="K1696" s="20"/>
      <x:c r="L1696" s="20"/>
      <x:c r="M1696" s="20"/>
      <x:c r="N1696" s="20"/>
      <x:c r="O1696" s="20"/>
      <x:c r="P1696" s="20"/>
      <x:c r="Q1696" s="20"/>
      <x:c r="R1696" s="20"/>
      <x:c r="S1696" s="20"/>
      <x:c r="T1696" s="20"/>
      <x:c r="U1696" s="20"/>
      <x:c r="V1696" s="20"/>
      <x:c r="W1696" s="20"/>
      <x:c r="X1696" s="20"/>
      <x:c r="Y1696" s="21"/>
    </x:row>
    <x:row r="1697">
      <x:c r="A1697" s="19"/>
      <x:c r="B1697" s="27"/>
      <x:c r="C1697" s="20"/>
      <x:c r="D1697" s="28"/>
      <x:c r="E1697" s="20"/>
      <x:c r="F1697" s="25"/>
      <x:c r="G1697" s="20"/>
      <x:c r="H1697" s="20"/>
      <x:c r="I1697" s="20"/>
      <x:c r="J1697" s="20"/>
      <x:c r="K1697" s="20"/>
      <x:c r="L1697" s="20"/>
      <x:c r="M1697" s="20"/>
      <x:c r="N1697" s="20"/>
      <x:c r="O1697" s="20"/>
      <x:c r="P1697" s="20"/>
      <x:c r="Q1697" s="20"/>
      <x:c r="R1697" s="20"/>
      <x:c r="S1697" s="20"/>
      <x:c r="T1697" s="20"/>
      <x:c r="U1697" s="20"/>
      <x:c r="V1697" s="20"/>
      <x:c r="W1697" s="20"/>
      <x:c r="X1697" s="20"/>
      <x:c r="Y1697" s="21"/>
    </x:row>
    <x:row r="1698">
      <x:c r="A1698" s="19"/>
      <x:c r="B1698" s="27"/>
      <x:c r="C1698" s="20"/>
      <x:c r="D1698" s="28"/>
      <x:c r="E1698" s="20"/>
      <x:c r="F1698" s="25"/>
      <x:c r="G1698" s="20"/>
      <x:c r="H1698" s="20"/>
      <x:c r="I1698" s="20"/>
      <x:c r="J1698" s="20"/>
      <x:c r="K1698" s="20"/>
      <x:c r="L1698" s="20"/>
      <x:c r="M1698" s="20"/>
      <x:c r="N1698" s="20"/>
      <x:c r="O1698" s="20"/>
      <x:c r="P1698" s="20"/>
      <x:c r="Q1698" s="20"/>
      <x:c r="R1698" s="20"/>
      <x:c r="S1698" s="20"/>
      <x:c r="T1698" s="20"/>
      <x:c r="U1698" s="20"/>
      <x:c r="V1698" s="20"/>
      <x:c r="W1698" s="20"/>
      <x:c r="X1698" s="20"/>
      <x:c r="Y1698" s="21"/>
    </x:row>
    <x:row r="1699">
      <x:c r="A1699" s="19"/>
      <x:c r="B1699" s="27"/>
      <x:c r="C1699" s="20"/>
      <x:c r="D1699" s="28"/>
      <x:c r="E1699" s="20"/>
      <x:c r="F1699" s="25"/>
      <x:c r="G1699" s="20"/>
      <x:c r="H1699" s="20"/>
      <x:c r="I1699" s="20"/>
      <x:c r="J1699" s="20"/>
      <x:c r="K1699" s="20"/>
      <x:c r="L1699" s="20"/>
      <x:c r="M1699" s="20"/>
      <x:c r="N1699" s="20"/>
      <x:c r="O1699" s="20"/>
      <x:c r="P1699" s="20"/>
      <x:c r="Q1699" s="20"/>
      <x:c r="R1699" s="20"/>
      <x:c r="S1699" s="20"/>
      <x:c r="T1699" s="20"/>
      <x:c r="U1699" s="20"/>
      <x:c r="V1699" s="20"/>
      <x:c r="W1699" s="20"/>
      <x:c r="X1699" s="20"/>
      <x:c r="Y1699" s="21"/>
    </x:row>
    <x:row r="1700">
      <x:c r="A1700" s="19"/>
      <x:c r="B1700" s="27"/>
      <x:c r="C1700" s="20"/>
      <x:c r="D1700" s="28"/>
      <x:c r="E1700" s="20"/>
      <x:c r="F1700" s="25"/>
      <x:c r="G1700" s="20"/>
      <x:c r="H1700" s="20"/>
      <x:c r="I1700" s="20"/>
      <x:c r="J1700" s="20"/>
      <x:c r="K1700" s="20"/>
      <x:c r="L1700" s="20"/>
      <x:c r="M1700" s="20"/>
      <x:c r="N1700" s="20"/>
      <x:c r="O1700" s="20"/>
      <x:c r="P1700" s="20"/>
      <x:c r="Q1700" s="20"/>
      <x:c r="R1700" s="20"/>
      <x:c r="S1700" s="20"/>
      <x:c r="T1700" s="20"/>
      <x:c r="U1700" s="20"/>
      <x:c r="V1700" s="20"/>
      <x:c r="W1700" s="20"/>
      <x:c r="X1700" s="20"/>
      <x:c r="Y1700" s="21"/>
    </x:row>
    <x:row r="1701">
      <x:c r="A1701" s="19"/>
      <x:c r="B1701" s="27"/>
      <x:c r="C1701" s="20"/>
      <x:c r="D1701" s="28"/>
      <x:c r="E1701" s="20"/>
      <x:c r="F1701" s="25"/>
      <x:c r="G1701" s="20"/>
      <x:c r="H1701" s="20"/>
      <x:c r="I1701" s="20"/>
      <x:c r="J1701" s="20"/>
      <x:c r="K1701" s="20"/>
      <x:c r="L1701" s="20"/>
      <x:c r="M1701" s="20"/>
      <x:c r="N1701" s="20"/>
      <x:c r="O1701" s="20"/>
      <x:c r="P1701" s="20"/>
      <x:c r="Q1701" s="20"/>
      <x:c r="R1701" s="20"/>
      <x:c r="S1701" s="20"/>
      <x:c r="T1701" s="20"/>
      <x:c r="U1701" s="20"/>
      <x:c r="V1701" s="20"/>
      <x:c r="W1701" s="20"/>
      <x:c r="X1701" s="20"/>
      <x:c r="Y1701" s="21"/>
    </x:row>
    <x:row r="1702">
      <x:c r="A1702" s="19"/>
      <x:c r="B1702" s="27"/>
      <x:c r="C1702" s="20"/>
      <x:c r="D1702" s="28"/>
      <x:c r="E1702" s="20"/>
      <x:c r="F1702" s="25"/>
      <x:c r="G1702" s="20"/>
      <x:c r="H1702" s="20"/>
      <x:c r="I1702" s="20"/>
      <x:c r="J1702" s="20"/>
      <x:c r="K1702" s="20"/>
      <x:c r="L1702" s="20"/>
      <x:c r="M1702" s="20"/>
      <x:c r="N1702" s="20"/>
      <x:c r="O1702" s="20"/>
      <x:c r="P1702" s="20"/>
      <x:c r="Q1702" s="20"/>
      <x:c r="R1702" s="20"/>
      <x:c r="S1702" s="20"/>
      <x:c r="T1702" s="20"/>
      <x:c r="U1702" s="20"/>
      <x:c r="V1702" s="20"/>
      <x:c r="W1702" s="20"/>
      <x:c r="X1702" s="20"/>
      <x:c r="Y1702" s="21"/>
    </x:row>
    <x:row r="1703">
      <x:c r="A1703" s="19"/>
      <x:c r="B1703" s="27"/>
      <x:c r="C1703" s="20"/>
      <x:c r="D1703" s="28"/>
      <x:c r="E1703" s="20"/>
      <x:c r="F1703" s="25"/>
      <x:c r="G1703" s="20"/>
      <x:c r="H1703" s="20"/>
      <x:c r="I1703" s="20"/>
      <x:c r="J1703" s="20"/>
      <x:c r="K1703" s="20"/>
      <x:c r="L1703" s="20"/>
      <x:c r="M1703" s="20"/>
      <x:c r="N1703" s="20"/>
      <x:c r="O1703" s="20"/>
      <x:c r="P1703" s="20"/>
      <x:c r="Q1703" s="20"/>
      <x:c r="R1703" s="20"/>
      <x:c r="S1703" s="20"/>
      <x:c r="T1703" s="20"/>
      <x:c r="U1703" s="20"/>
      <x:c r="V1703" s="20"/>
      <x:c r="W1703" s="20"/>
      <x:c r="X1703" s="20"/>
      <x:c r="Y1703" s="21"/>
    </x:row>
    <x:row r="1704">
      <x:c r="A1704" s="19"/>
      <x:c r="B1704" s="27"/>
      <x:c r="C1704" s="20"/>
      <x:c r="D1704" s="28"/>
      <x:c r="E1704" s="20"/>
      <x:c r="F1704" s="25"/>
      <x:c r="G1704" s="20"/>
      <x:c r="H1704" s="20"/>
      <x:c r="I1704" s="20"/>
      <x:c r="J1704" s="20"/>
      <x:c r="K1704" s="20"/>
      <x:c r="L1704" s="20"/>
      <x:c r="M1704" s="20"/>
      <x:c r="N1704" s="20"/>
      <x:c r="O1704" s="20"/>
      <x:c r="P1704" s="20"/>
      <x:c r="Q1704" s="20"/>
      <x:c r="R1704" s="20"/>
      <x:c r="S1704" s="20"/>
      <x:c r="T1704" s="20"/>
      <x:c r="U1704" s="20"/>
      <x:c r="V1704" s="20"/>
      <x:c r="W1704" s="20"/>
      <x:c r="X1704" s="20"/>
      <x:c r="Y1704" s="21"/>
    </x:row>
    <x:row r="1705">
      <x:c r="A1705" s="19"/>
      <x:c r="B1705" s="27"/>
      <x:c r="C1705" s="20"/>
      <x:c r="D1705" s="28"/>
      <x:c r="E1705" s="20"/>
      <x:c r="F1705" s="25"/>
      <x:c r="G1705" s="20"/>
      <x:c r="H1705" s="20"/>
      <x:c r="I1705" s="20"/>
      <x:c r="J1705" s="20"/>
      <x:c r="K1705" s="20"/>
      <x:c r="L1705" s="20"/>
      <x:c r="M1705" s="20"/>
      <x:c r="N1705" s="20"/>
      <x:c r="O1705" s="20"/>
      <x:c r="P1705" s="20"/>
      <x:c r="Q1705" s="20"/>
      <x:c r="R1705" s="20"/>
      <x:c r="S1705" s="20"/>
      <x:c r="T1705" s="20"/>
      <x:c r="U1705" s="20"/>
      <x:c r="V1705" s="20"/>
      <x:c r="W1705" s="20"/>
      <x:c r="X1705" s="20"/>
      <x:c r="Y1705" s="21"/>
    </x:row>
    <x:row r="1706">
      <x:c r="A1706" s="19"/>
      <x:c r="B1706" s="27"/>
      <x:c r="C1706" s="20"/>
      <x:c r="D1706" s="28"/>
      <x:c r="E1706" s="20"/>
      <x:c r="F1706" s="25"/>
      <x:c r="G1706" s="20"/>
      <x:c r="H1706" s="20"/>
      <x:c r="I1706" s="20"/>
      <x:c r="J1706" s="20"/>
      <x:c r="K1706" s="20"/>
      <x:c r="L1706" s="20"/>
      <x:c r="M1706" s="20"/>
      <x:c r="N1706" s="20"/>
      <x:c r="O1706" s="20"/>
      <x:c r="P1706" s="20"/>
      <x:c r="Q1706" s="20"/>
      <x:c r="R1706" s="20"/>
      <x:c r="S1706" s="20"/>
      <x:c r="T1706" s="20"/>
      <x:c r="U1706" s="20"/>
      <x:c r="V1706" s="20"/>
      <x:c r="W1706" s="20"/>
      <x:c r="X1706" s="20"/>
      <x:c r="Y1706" s="21"/>
    </x:row>
    <x:row r="1707">
      <x:c r="A1707" s="19"/>
      <x:c r="B1707" s="27"/>
      <x:c r="C1707" s="20"/>
      <x:c r="D1707" s="28"/>
      <x:c r="E1707" s="20"/>
      <x:c r="F1707" s="25"/>
      <x:c r="G1707" s="20"/>
      <x:c r="H1707" s="20"/>
      <x:c r="I1707" s="20"/>
      <x:c r="J1707" s="20"/>
      <x:c r="K1707" s="20"/>
      <x:c r="L1707" s="20"/>
      <x:c r="M1707" s="20"/>
      <x:c r="N1707" s="20"/>
      <x:c r="O1707" s="20"/>
      <x:c r="P1707" s="20"/>
      <x:c r="Q1707" s="20"/>
      <x:c r="R1707" s="20"/>
      <x:c r="S1707" s="20"/>
      <x:c r="T1707" s="20"/>
      <x:c r="U1707" s="20"/>
      <x:c r="V1707" s="20"/>
      <x:c r="W1707" s="20"/>
      <x:c r="X1707" s="20"/>
      <x:c r="Y1707" s="21"/>
    </x:row>
    <x:row r="1708">
      <x:c r="A1708" s="19"/>
      <x:c r="B1708" s="27"/>
      <x:c r="C1708" s="20"/>
      <x:c r="D1708" s="28"/>
      <x:c r="E1708" s="20"/>
      <x:c r="F1708" s="25"/>
      <x:c r="G1708" s="20"/>
      <x:c r="H1708" s="20"/>
      <x:c r="I1708" s="20"/>
      <x:c r="J1708" s="20"/>
      <x:c r="K1708" s="20"/>
      <x:c r="L1708" s="20"/>
      <x:c r="M1708" s="20"/>
      <x:c r="N1708" s="20"/>
      <x:c r="O1708" s="20"/>
      <x:c r="P1708" s="20"/>
      <x:c r="Q1708" s="20"/>
      <x:c r="R1708" s="20"/>
      <x:c r="S1708" s="20"/>
      <x:c r="T1708" s="20"/>
      <x:c r="U1708" s="20"/>
      <x:c r="V1708" s="20"/>
      <x:c r="W1708" s="20"/>
      <x:c r="X1708" s="20"/>
      <x:c r="Y1708" s="21"/>
    </x:row>
    <x:row r="1709">
      <x:c r="A1709" s="19"/>
      <x:c r="B1709" s="27"/>
      <x:c r="C1709" s="20"/>
      <x:c r="D1709" s="28"/>
      <x:c r="E1709" s="20"/>
      <x:c r="F1709" s="25"/>
      <x:c r="G1709" s="20"/>
      <x:c r="H1709" s="20"/>
      <x:c r="I1709" s="20"/>
      <x:c r="J1709" s="20"/>
      <x:c r="K1709" s="20"/>
      <x:c r="L1709" s="20"/>
      <x:c r="M1709" s="20"/>
      <x:c r="N1709" s="20"/>
      <x:c r="O1709" s="20"/>
      <x:c r="P1709" s="20"/>
      <x:c r="Q1709" s="20"/>
      <x:c r="R1709" s="20"/>
      <x:c r="S1709" s="20"/>
      <x:c r="T1709" s="20"/>
      <x:c r="U1709" s="20"/>
      <x:c r="V1709" s="20"/>
      <x:c r="W1709" s="20"/>
      <x:c r="X1709" s="20"/>
      <x:c r="Y1709" s="21"/>
    </x:row>
    <x:row r="1710">
      <x:c r="A1710" s="19"/>
      <x:c r="B1710" s="27"/>
      <x:c r="C1710" s="20"/>
      <x:c r="D1710" s="28"/>
      <x:c r="E1710" s="20"/>
      <x:c r="F1710" s="25"/>
      <x:c r="G1710" s="20"/>
      <x:c r="H1710" s="20"/>
      <x:c r="I1710" s="20"/>
      <x:c r="J1710" s="20"/>
      <x:c r="K1710" s="20"/>
      <x:c r="L1710" s="20"/>
      <x:c r="M1710" s="20"/>
      <x:c r="N1710" s="20"/>
      <x:c r="O1710" s="20"/>
      <x:c r="P1710" s="20"/>
      <x:c r="Q1710" s="20"/>
      <x:c r="R1710" s="20"/>
      <x:c r="S1710" s="20"/>
      <x:c r="T1710" s="20"/>
      <x:c r="U1710" s="20"/>
      <x:c r="V1710" s="20"/>
      <x:c r="W1710" s="20"/>
      <x:c r="X1710" s="20"/>
      <x:c r="Y1710" s="21"/>
    </x:row>
    <x:row r="1711">
      <x:c r="A1711" s="19"/>
      <x:c r="B1711" s="27"/>
      <x:c r="C1711" s="20"/>
      <x:c r="D1711" s="28"/>
      <x:c r="E1711" s="20"/>
      <x:c r="F1711" s="25"/>
      <x:c r="G1711" s="20"/>
      <x:c r="H1711" s="20"/>
      <x:c r="I1711" s="20"/>
      <x:c r="J1711" s="20"/>
      <x:c r="K1711" s="20"/>
      <x:c r="L1711" s="20"/>
      <x:c r="M1711" s="20"/>
      <x:c r="N1711" s="20"/>
      <x:c r="O1711" s="20"/>
      <x:c r="P1711" s="20"/>
      <x:c r="Q1711" s="20"/>
      <x:c r="R1711" s="20"/>
      <x:c r="S1711" s="20"/>
      <x:c r="T1711" s="20"/>
      <x:c r="U1711" s="20"/>
      <x:c r="V1711" s="20"/>
      <x:c r="W1711" s="20"/>
      <x:c r="X1711" s="20"/>
      <x:c r="Y1711" s="21"/>
    </x:row>
    <x:row r="1712">
      <x:c r="A1712" s="19"/>
      <x:c r="B1712" s="27"/>
      <x:c r="C1712" s="20"/>
      <x:c r="D1712" s="28"/>
      <x:c r="E1712" s="20"/>
      <x:c r="F1712" s="25"/>
      <x:c r="G1712" s="20"/>
      <x:c r="H1712" s="20"/>
      <x:c r="I1712" s="20"/>
      <x:c r="J1712" s="20"/>
      <x:c r="K1712" s="20"/>
      <x:c r="L1712" s="20"/>
      <x:c r="M1712" s="20"/>
      <x:c r="N1712" s="20"/>
      <x:c r="O1712" s="20"/>
      <x:c r="P1712" s="20"/>
      <x:c r="Q1712" s="20"/>
      <x:c r="R1712" s="20"/>
      <x:c r="S1712" s="20"/>
      <x:c r="T1712" s="20"/>
      <x:c r="U1712" s="20"/>
      <x:c r="V1712" s="20"/>
      <x:c r="W1712" s="20"/>
      <x:c r="X1712" s="20"/>
      <x:c r="Y1712" s="21"/>
    </x:row>
    <x:row r="1713">
      <x:c r="A1713" s="19"/>
      <x:c r="B1713" s="27"/>
      <x:c r="C1713" s="20"/>
      <x:c r="D1713" s="28"/>
      <x:c r="E1713" s="20"/>
      <x:c r="F1713" s="25"/>
      <x:c r="G1713" s="20"/>
      <x:c r="H1713" s="20"/>
      <x:c r="I1713" s="20"/>
      <x:c r="J1713" s="20"/>
      <x:c r="K1713" s="20"/>
      <x:c r="L1713" s="20"/>
      <x:c r="M1713" s="20"/>
      <x:c r="N1713" s="20"/>
      <x:c r="O1713" s="20"/>
      <x:c r="P1713" s="20"/>
      <x:c r="Q1713" s="20"/>
      <x:c r="R1713" s="20"/>
      <x:c r="S1713" s="20"/>
      <x:c r="T1713" s="20"/>
      <x:c r="U1713" s="20"/>
      <x:c r="V1713" s="20"/>
      <x:c r="W1713" s="20"/>
      <x:c r="X1713" s="20"/>
      <x:c r="Y1713" s="21"/>
    </x:row>
    <x:row r="1714">
      <x:c r="A1714" s="19"/>
      <x:c r="B1714" s="27"/>
      <x:c r="C1714" s="20"/>
      <x:c r="D1714" s="28"/>
      <x:c r="E1714" s="20"/>
      <x:c r="F1714" s="25"/>
      <x:c r="G1714" s="20"/>
      <x:c r="H1714" s="20"/>
      <x:c r="I1714" s="20"/>
      <x:c r="J1714" s="20"/>
      <x:c r="K1714" s="20"/>
      <x:c r="L1714" s="20"/>
      <x:c r="M1714" s="20"/>
      <x:c r="N1714" s="20"/>
      <x:c r="O1714" s="20"/>
      <x:c r="P1714" s="20"/>
      <x:c r="Q1714" s="20"/>
      <x:c r="R1714" s="20"/>
      <x:c r="S1714" s="20"/>
      <x:c r="T1714" s="20"/>
      <x:c r="U1714" s="20"/>
      <x:c r="V1714" s="20"/>
      <x:c r="W1714" s="20"/>
      <x:c r="X1714" s="20"/>
      <x:c r="Y1714" s="21"/>
    </x:row>
    <x:row r="1715">
      <x:c r="A1715" s="19"/>
      <x:c r="B1715" s="27"/>
      <x:c r="C1715" s="20"/>
      <x:c r="D1715" s="28"/>
      <x:c r="E1715" s="20"/>
      <x:c r="F1715" s="25"/>
      <x:c r="G1715" s="20"/>
      <x:c r="H1715" s="20"/>
      <x:c r="I1715" s="20"/>
      <x:c r="J1715" s="20"/>
      <x:c r="K1715" s="20"/>
      <x:c r="L1715" s="20"/>
      <x:c r="M1715" s="20"/>
      <x:c r="N1715" s="20"/>
      <x:c r="O1715" s="20"/>
      <x:c r="P1715" s="20"/>
      <x:c r="Q1715" s="20"/>
      <x:c r="R1715" s="20"/>
      <x:c r="S1715" s="20"/>
      <x:c r="T1715" s="20"/>
      <x:c r="U1715" s="20"/>
      <x:c r="V1715" s="20"/>
      <x:c r="W1715" s="20"/>
      <x:c r="X1715" s="20"/>
      <x:c r="Y1715" s="21"/>
    </x:row>
    <x:row r="1716">
      <x:c r="A1716" s="19"/>
      <x:c r="B1716" s="27"/>
      <x:c r="C1716" s="20"/>
      <x:c r="D1716" s="28"/>
      <x:c r="E1716" s="20"/>
      <x:c r="F1716" s="25"/>
      <x:c r="G1716" s="20"/>
      <x:c r="H1716" s="20"/>
      <x:c r="I1716" s="20"/>
      <x:c r="J1716" s="20"/>
      <x:c r="K1716" s="20"/>
      <x:c r="L1716" s="20"/>
      <x:c r="M1716" s="20"/>
      <x:c r="N1716" s="20"/>
      <x:c r="O1716" s="20"/>
      <x:c r="P1716" s="20"/>
      <x:c r="Q1716" s="20"/>
      <x:c r="R1716" s="20"/>
      <x:c r="S1716" s="20"/>
      <x:c r="T1716" s="20"/>
      <x:c r="U1716" s="20"/>
      <x:c r="V1716" s="20"/>
      <x:c r="W1716" s="20"/>
      <x:c r="X1716" s="20"/>
      <x:c r="Y1716" s="21"/>
    </x:row>
    <x:row r="1717">
      <x:c r="A1717" s="19"/>
      <x:c r="B1717" s="27"/>
      <x:c r="C1717" s="20"/>
      <x:c r="D1717" s="28"/>
      <x:c r="E1717" s="20"/>
      <x:c r="F1717" s="25"/>
      <x:c r="G1717" s="20"/>
      <x:c r="H1717" s="20"/>
      <x:c r="I1717" s="20"/>
      <x:c r="J1717" s="20"/>
      <x:c r="K1717" s="20"/>
      <x:c r="L1717" s="20"/>
      <x:c r="M1717" s="20"/>
      <x:c r="N1717" s="20"/>
      <x:c r="O1717" s="20"/>
      <x:c r="P1717" s="20"/>
      <x:c r="Q1717" s="20"/>
      <x:c r="R1717" s="20"/>
      <x:c r="S1717" s="20"/>
      <x:c r="T1717" s="20"/>
      <x:c r="U1717" s="20"/>
      <x:c r="V1717" s="20"/>
      <x:c r="W1717" s="20"/>
      <x:c r="X1717" s="20"/>
      <x:c r="Y1717" s="21"/>
    </x:row>
    <x:row r="1718">
      <x:c r="A1718" s="19"/>
      <x:c r="B1718" s="27"/>
      <x:c r="C1718" s="20"/>
      <x:c r="D1718" s="28"/>
      <x:c r="E1718" s="20"/>
      <x:c r="F1718" s="25"/>
      <x:c r="G1718" s="20"/>
      <x:c r="H1718" s="20"/>
      <x:c r="I1718" s="20"/>
      <x:c r="J1718" s="20"/>
      <x:c r="K1718" s="20"/>
      <x:c r="L1718" s="20"/>
      <x:c r="M1718" s="20"/>
      <x:c r="N1718" s="20"/>
      <x:c r="O1718" s="20"/>
      <x:c r="P1718" s="20"/>
      <x:c r="Q1718" s="20"/>
      <x:c r="R1718" s="20"/>
      <x:c r="S1718" s="20"/>
      <x:c r="T1718" s="20"/>
      <x:c r="U1718" s="20"/>
      <x:c r="V1718" s="20"/>
      <x:c r="W1718" s="20"/>
      <x:c r="X1718" s="20"/>
      <x:c r="Y1718" s="21"/>
    </x:row>
    <x:row r="1719">
      <x:c r="A1719" s="19"/>
      <x:c r="B1719" s="27"/>
      <x:c r="C1719" s="20"/>
      <x:c r="D1719" s="28"/>
      <x:c r="E1719" s="20"/>
      <x:c r="F1719" s="25"/>
      <x:c r="G1719" s="20"/>
      <x:c r="H1719" s="20"/>
      <x:c r="I1719" s="20"/>
      <x:c r="J1719" s="20"/>
      <x:c r="K1719" s="20"/>
      <x:c r="L1719" s="20"/>
      <x:c r="M1719" s="20"/>
      <x:c r="N1719" s="20"/>
      <x:c r="O1719" s="20"/>
      <x:c r="P1719" s="20"/>
      <x:c r="Q1719" s="20"/>
      <x:c r="R1719" s="20"/>
      <x:c r="S1719" s="20"/>
      <x:c r="T1719" s="20"/>
      <x:c r="U1719" s="20"/>
      <x:c r="V1719" s="20"/>
      <x:c r="W1719" s="20"/>
      <x:c r="X1719" s="20"/>
      <x:c r="Y1719" s="21"/>
    </x:row>
    <x:row r="1720">
      <x:c r="A1720" s="19"/>
      <x:c r="B1720" s="27"/>
      <x:c r="C1720" s="20"/>
      <x:c r="D1720" s="28"/>
      <x:c r="E1720" s="20"/>
      <x:c r="F1720" s="25"/>
      <x:c r="G1720" s="20"/>
      <x:c r="H1720" s="20"/>
      <x:c r="I1720" s="20"/>
      <x:c r="J1720" s="20"/>
      <x:c r="K1720" s="20"/>
      <x:c r="L1720" s="20"/>
      <x:c r="M1720" s="20"/>
      <x:c r="N1720" s="20"/>
      <x:c r="O1720" s="20"/>
      <x:c r="P1720" s="20"/>
      <x:c r="Q1720" s="20"/>
      <x:c r="R1720" s="20"/>
      <x:c r="S1720" s="20"/>
      <x:c r="T1720" s="20"/>
      <x:c r="U1720" s="20"/>
      <x:c r="V1720" s="20"/>
      <x:c r="W1720" s="20"/>
      <x:c r="X1720" s="20"/>
      <x:c r="Y1720" s="21"/>
    </x:row>
    <x:row r="1721">
      <x:c r="A1721" s="19"/>
      <x:c r="B1721" s="27"/>
      <x:c r="C1721" s="20"/>
      <x:c r="D1721" s="28"/>
      <x:c r="E1721" s="20"/>
      <x:c r="F1721" s="25"/>
      <x:c r="G1721" s="20"/>
      <x:c r="H1721" s="20"/>
      <x:c r="I1721" s="20"/>
      <x:c r="J1721" s="20"/>
      <x:c r="K1721" s="20"/>
      <x:c r="L1721" s="20"/>
      <x:c r="M1721" s="20"/>
      <x:c r="N1721" s="20"/>
      <x:c r="O1721" s="20"/>
      <x:c r="P1721" s="20"/>
      <x:c r="Q1721" s="20"/>
      <x:c r="R1721" s="20"/>
      <x:c r="S1721" s="20"/>
      <x:c r="T1721" s="20"/>
      <x:c r="U1721" s="20"/>
      <x:c r="V1721" s="20"/>
      <x:c r="W1721" s="20"/>
      <x:c r="X1721" s="20"/>
      <x:c r="Y1721" s="21"/>
    </x:row>
    <x:row r="1722">
      <x:c r="A1722" s="19"/>
      <x:c r="B1722" s="27"/>
      <x:c r="C1722" s="20"/>
      <x:c r="D1722" s="28"/>
      <x:c r="E1722" s="20"/>
      <x:c r="F1722" s="25"/>
      <x:c r="G1722" s="20"/>
      <x:c r="H1722" s="20"/>
      <x:c r="I1722" s="20"/>
      <x:c r="J1722" s="20"/>
      <x:c r="K1722" s="20"/>
      <x:c r="L1722" s="20"/>
      <x:c r="M1722" s="20"/>
      <x:c r="N1722" s="20"/>
      <x:c r="O1722" s="20"/>
      <x:c r="P1722" s="20"/>
      <x:c r="Q1722" s="20"/>
      <x:c r="R1722" s="20"/>
      <x:c r="S1722" s="20"/>
      <x:c r="T1722" s="20"/>
      <x:c r="U1722" s="20"/>
      <x:c r="V1722" s="20"/>
      <x:c r="W1722" s="20"/>
      <x:c r="X1722" s="20"/>
      <x:c r="Y1722" s="21"/>
    </x:row>
    <x:row r="1723">
      <x:c r="A1723" s="19"/>
      <x:c r="B1723" s="27"/>
      <x:c r="C1723" s="20"/>
      <x:c r="D1723" s="28"/>
      <x:c r="E1723" s="20"/>
      <x:c r="F1723" s="25"/>
      <x:c r="G1723" s="20"/>
      <x:c r="H1723" s="20"/>
      <x:c r="I1723" s="20"/>
      <x:c r="J1723" s="20"/>
      <x:c r="K1723" s="20"/>
      <x:c r="L1723" s="20"/>
      <x:c r="M1723" s="20"/>
      <x:c r="N1723" s="20"/>
      <x:c r="O1723" s="20"/>
      <x:c r="P1723" s="20"/>
      <x:c r="Q1723" s="20"/>
      <x:c r="R1723" s="20"/>
      <x:c r="S1723" s="20"/>
      <x:c r="T1723" s="20"/>
      <x:c r="U1723" s="20"/>
      <x:c r="V1723" s="20"/>
      <x:c r="W1723" s="20"/>
      <x:c r="X1723" s="20"/>
      <x:c r="Y1723" s="21"/>
    </x:row>
    <x:row r="1724">
      <x:c r="A1724" s="19"/>
      <x:c r="B1724" s="27"/>
      <x:c r="C1724" s="20"/>
      <x:c r="D1724" s="28"/>
      <x:c r="E1724" s="20"/>
      <x:c r="F1724" s="25"/>
      <x:c r="G1724" s="20"/>
      <x:c r="H1724" s="20"/>
      <x:c r="I1724" s="20"/>
      <x:c r="J1724" s="20"/>
      <x:c r="K1724" s="20"/>
      <x:c r="L1724" s="20"/>
      <x:c r="M1724" s="20"/>
      <x:c r="N1724" s="20"/>
      <x:c r="O1724" s="20"/>
      <x:c r="P1724" s="20"/>
      <x:c r="Q1724" s="20"/>
      <x:c r="R1724" s="20"/>
      <x:c r="S1724" s="20"/>
      <x:c r="T1724" s="20"/>
      <x:c r="U1724" s="20"/>
      <x:c r="V1724" s="20"/>
      <x:c r="W1724" s="20"/>
      <x:c r="X1724" s="20"/>
      <x:c r="Y1724" s="21"/>
    </x:row>
    <x:row r="1725">
      <x:c r="A1725" s="19"/>
      <x:c r="B1725" s="27"/>
      <x:c r="C1725" s="20"/>
      <x:c r="D1725" s="28"/>
      <x:c r="E1725" s="20"/>
      <x:c r="F1725" s="25"/>
      <x:c r="G1725" s="20"/>
      <x:c r="H1725" s="20"/>
      <x:c r="I1725" s="20"/>
      <x:c r="J1725" s="20"/>
      <x:c r="K1725" s="20"/>
      <x:c r="L1725" s="20"/>
      <x:c r="M1725" s="20"/>
      <x:c r="N1725" s="20"/>
      <x:c r="O1725" s="20"/>
      <x:c r="P1725" s="20"/>
      <x:c r="Q1725" s="20"/>
      <x:c r="R1725" s="20"/>
      <x:c r="S1725" s="20"/>
      <x:c r="T1725" s="20"/>
      <x:c r="U1725" s="20"/>
      <x:c r="V1725" s="20"/>
      <x:c r="W1725" s="20"/>
      <x:c r="X1725" s="20"/>
      <x:c r="Y1725" s="21"/>
    </x:row>
    <x:row r="1726">
      <x:c r="A1726" s="19"/>
      <x:c r="B1726" s="27"/>
      <x:c r="C1726" s="20"/>
      <x:c r="D1726" s="28"/>
      <x:c r="E1726" s="20"/>
      <x:c r="F1726" s="25"/>
      <x:c r="G1726" s="20"/>
      <x:c r="H1726" s="20"/>
      <x:c r="I1726" s="20"/>
      <x:c r="J1726" s="20"/>
      <x:c r="K1726" s="20"/>
      <x:c r="L1726" s="20"/>
      <x:c r="M1726" s="20"/>
      <x:c r="N1726" s="20"/>
      <x:c r="O1726" s="20"/>
      <x:c r="P1726" s="20"/>
      <x:c r="Q1726" s="20"/>
      <x:c r="R1726" s="20"/>
      <x:c r="S1726" s="20"/>
      <x:c r="T1726" s="20"/>
      <x:c r="U1726" s="20"/>
      <x:c r="V1726" s="20"/>
      <x:c r="W1726" s="20"/>
      <x:c r="X1726" s="20"/>
      <x:c r="Y1726" s="21"/>
    </x:row>
    <x:row r="1727">
      <x:c r="A1727" s="19"/>
      <x:c r="B1727" s="27"/>
      <x:c r="C1727" s="20"/>
      <x:c r="D1727" s="28"/>
      <x:c r="E1727" s="20"/>
      <x:c r="F1727" s="25"/>
      <x:c r="G1727" s="20"/>
      <x:c r="H1727" s="20"/>
      <x:c r="I1727" s="20"/>
      <x:c r="J1727" s="20"/>
      <x:c r="K1727" s="20"/>
      <x:c r="L1727" s="20"/>
      <x:c r="M1727" s="20"/>
      <x:c r="N1727" s="20"/>
      <x:c r="O1727" s="20"/>
      <x:c r="P1727" s="20"/>
      <x:c r="Q1727" s="20"/>
      <x:c r="R1727" s="20"/>
      <x:c r="S1727" s="20"/>
      <x:c r="T1727" s="20"/>
      <x:c r="U1727" s="20"/>
      <x:c r="V1727" s="20"/>
      <x:c r="W1727" s="20"/>
      <x:c r="X1727" s="20"/>
      <x:c r="Y1727" s="21"/>
    </x:row>
    <x:row r="1728">
      <x:c r="A1728" s="19"/>
      <x:c r="B1728" s="27"/>
      <x:c r="C1728" s="20"/>
      <x:c r="D1728" s="28"/>
      <x:c r="E1728" s="20"/>
      <x:c r="F1728" s="25"/>
      <x:c r="G1728" s="20"/>
      <x:c r="H1728" s="20"/>
      <x:c r="I1728" s="20"/>
      <x:c r="J1728" s="20"/>
      <x:c r="K1728" s="20"/>
      <x:c r="L1728" s="20"/>
      <x:c r="M1728" s="20"/>
      <x:c r="N1728" s="20"/>
      <x:c r="O1728" s="20"/>
      <x:c r="P1728" s="20"/>
      <x:c r="Q1728" s="20"/>
      <x:c r="R1728" s="20"/>
      <x:c r="S1728" s="20"/>
      <x:c r="T1728" s="20"/>
      <x:c r="U1728" s="20"/>
      <x:c r="V1728" s="20"/>
      <x:c r="W1728" s="20"/>
      <x:c r="X1728" s="20"/>
      <x:c r="Y1728" s="21"/>
    </x:row>
    <x:row r="1729">
      <x:c r="A1729" s="19"/>
      <x:c r="B1729" s="27"/>
      <x:c r="C1729" s="20"/>
      <x:c r="D1729" s="28"/>
      <x:c r="E1729" s="20"/>
      <x:c r="F1729" s="25"/>
      <x:c r="G1729" s="20"/>
      <x:c r="H1729" s="20"/>
      <x:c r="I1729" s="20"/>
      <x:c r="J1729" s="20"/>
      <x:c r="K1729" s="20"/>
      <x:c r="L1729" s="20"/>
      <x:c r="M1729" s="20"/>
      <x:c r="N1729" s="20"/>
      <x:c r="O1729" s="20"/>
      <x:c r="P1729" s="20"/>
      <x:c r="Q1729" s="20"/>
      <x:c r="R1729" s="20"/>
      <x:c r="S1729" s="20"/>
      <x:c r="T1729" s="20"/>
      <x:c r="U1729" s="20"/>
      <x:c r="V1729" s="20"/>
      <x:c r="W1729" s="20"/>
      <x:c r="X1729" s="20"/>
      <x:c r="Y1729" s="21"/>
    </x:row>
    <x:row r="1730">
      <x:c r="A1730" s="19"/>
      <x:c r="B1730" s="27"/>
      <x:c r="C1730" s="20"/>
      <x:c r="D1730" s="28"/>
      <x:c r="E1730" s="20"/>
      <x:c r="F1730" s="25"/>
      <x:c r="G1730" s="20"/>
      <x:c r="H1730" s="20"/>
      <x:c r="I1730" s="20"/>
      <x:c r="J1730" s="20"/>
      <x:c r="K1730" s="20"/>
      <x:c r="L1730" s="20"/>
      <x:c r="M1730" s="20"/>
      <x:c r="N1730" s="20"/>
      <x:c r="O1730" s="20"/>
      <x:c r="P1730" s="20"/>
      <x:c r="Q1730" s="20"/>
      <x:c r="R1730" s="20"/>
      <x:c r="S1730" s="20"/>
      <x:c r="T1730" s="20"/>
      <x:c r="U1730" s="20"/>
      <x:c r="V1730" s="20"/>
      <x:c r="W1730" s="20"/>
      <x:c r="X1730" s="20"/>
      <x:c r="Y1730" s="21"/>
    </x:row>
    <x:row r="1731">
      <x:c r="A1731" s="19"/>
      <x:c r="B1731" s="27"/>
      <x:c r="C1731" s="20"/>
      <x:c r="D1731" s="28"/>
      <x:c r="E1731" s="20"/>
      <x:c r="F1731" s="25"/>
      <x:c r="G1731" s="20"/>
      <x:c r="H1731" s="20"/>
      <x:c r="I1731" s="20"/>
      <x:c r="J1731" s="20"/>
      <x:c r="K1731" s="20"/>
      <x:c r="L1731" s="20"/>
      <x:c r="M1731" s="20"/>
      <x:c r="N1731" s="20"/>
      <x:c r="O1731" s="20"/>
      <x:c r="P1731" s="20"/>
      <x:c r="Q1731" s="20"/>
      <x:c r="R1731" s="20"/>
      <x:c r="S1731" s="20"/>
      <x:c r="T1731" s="20"/>
      <x:c r="U1731" s="20"/>
      <x:c r="V1731" s="20"/>
      <x:c r="W1731" s="20"/>
      <x:c r="X1731" s="20"/>
      <x:c r="Y1731" s="21"/>
    </x:row>
    <x:row r="1732">
      <x:c r="A1732" s="19"/>
      <x:c r="B1732" s="27"/>
      <x:c r="C1732" s="20"/>
      <x:c r="D1732" s="28"/>
      <x:c r="E1732" s="20"/>
      <x:c r="F1732" s="25"/>
      <x:c r="G1732" s="20"/>
      <x:c r="H1732" s="20"/>
      <x:c r="I1732" s="20"/>
      <x:c r="J1732" s="20"/>
      <x:c r="K1732" s="20"/>
      <x:c r="L1732" s="20"/>
      <x:c r="M1732" s="20"/>
      <x:c r="N1732" s="20"/>
      <x:c r="O1732" s="20"/>
      <x:c r="P1732" s="20"/>
      <x:c r="Q1732" s="20"/>
      <x:c r="R1732" s="20"/>
      <x:c r="S1732" s="20"/>
      <x:c r="T1732" s="20"/>
      <x:c r="U1732" s="20"/>
      <x:c r="V1732" s="20"/>
      <x:c r="W1732" s="20"/>
      <x:c r="X1732" s="20"/>
      <x:c r="Y1732" s="21"/>
    </x:row>
    <x:row r="1733">
      <x:c r="A1733" s="19"/>
      <x:c r="B1733" s="27"/>
      <x:c r="C1733" s="20"/>
      <x:c r="D1733" s="28"/>
      <x:c r="E1733" s="20"/>
      <x:c r="F1733" s="25"/>
      <x:c r="G1733" s="20"/>
      <x:c r="H1733" s="20"/>
      <x:c r="I1733" s="20"/>
      <x:c r="J1733" s="20"/>
      <x:c r="K1733" s="20"/>
      <x:c r="L1733" s="20"/>
      <x:c r="M1733" s="20"/>
      <x:c r="N1733" s="20"/>
      <x:c r="O1733" s="20"/>
      <x:c r="P1733" s="20"/>
      <x:c r="Q1733" s="20"/>
      <x:c r="R1733" s="20"/>
      <x:c r="S1733" s="20"/>
      <x:c r="T1733" s="20"/>
      <x:c r="U1733" s="20"/>
      <x:c r="V1733" s="20"/>
      <x:c r="W1733" s="20"/>
      <x:c r="X1733" s="20"/>
      <x:c r="Y1733" s="21"/>
    </x:row>
    <x:row r="1734">
      <x:c r="A1734" s="19"/>
      <x:c r="B1734" s="27"/>
      <x:c r="C1734" s="20"/>
      <x:c r="D1734" s="28"/>
      <x:c r="E1734" s="20"/>
      <x:c r="F1734" s="25"/>
      <x:c r="G1734" s="20"/>
      <x:c r="H1734" s="20"/>
      <x:c r="I1734" s="20"/>
      <x:c r="J1734" s="20"/>
      <x:c r="K1734" s="20"/>
      <x:c r="L1734" s="20"/>
      <x:c r="M1734" s="20"/>
      <x:c r="N1734" s="20"/>
      <x:c r="O1734" s="20"/>
      <x:c r="P1734" s="20"/>
      <x:c r="Q1734" s="20"/>
      <x:c r="R1734" s="20"/>
      <x:c r="S1734" s="20"/>
      <x:c r="T1734" s="20"/>
      <x:c r="U1734" s="20"/>
      <x:c r="V1734" s="20"/>
      <x:c r="W1734" s="20"/>
      <x:c r="X1734" s="20"/>
      <x:c r="Y1734" s="21"/>
    </x:row>
    <x:row r="1735">
      <x:c r="A1735" s="19"/>
      <x:c r="B1735" s="27"/>
      <x:c r="C1735" s="20"/>
      <x:c r="D1735" s="28"/>
      <x:c r="E1735" s="20"/>
      <x:c r="F1735" s="25"/>
      <x:c r="G1735" s="20"/>
      <x:c r="H1735" s="20"/>
      <x:c r="I1735" s="20"/>
      <x:c r="J1735" s="20"/>
      <x:c r="K1735" s="20"/>
      <x:c r="L1735" s="20"/>
      <x:c r="M1735" s="20"/>
      <x:c r="N1735" s="20"/>
      <x:c r="O1735" s="20"/>
      <x:c r="P1735" s="20"/>
      <x:c r="Q1735" s="20"/>
      <x:c r="R1735" s="20"/>
      <x:c r="S1735" s="20"/>
      <x:c r="T1735" s="20"/>
      <x:c r="U1735" s="20"/>
      <x:c r="V1735" s="20"/>
      <x:c r="W1735" s="20"/>
      <x:c r="X1735" s="20"/>
      <x:c r="Y1735" s="21"/>
    </x:row>
    <x:row r="1736">
      <x:c r="A1736" s="19"/>
      <x:c r="B1736" s="27"/>
      <x:c r="C1736" s="20"/>
      <x:c r="D1736" s="28"/>
      <x:c r="E1736" s="20"/>
      <x:c r="F1736" s="25"/>
      <x:c r="G1736" s="20"/>
      <x:c r="H1736" s="20"/>
      <x:c r="I1736" s="20"/>
      <x:c r="J1736" s="20"/>
      <x:c r="K1736" s="20"/>
      <x:c r="L1736" s="20"/>
      <x:c r="M1736" s="20"/>
      <x:c r="N1736" s="20"/>
      <x:c r="O1736" s="20"/>
      <x:c r="P1736" s="20"/>
      <x:c r="Q1736" s="20"/>
      <x:c r="R1736" s="20"/>
      <x:c r="S1736" s="20"/>
      <x:c r="T1736" s="20"/>
      <x:c r="U1736" s="20"/>
      <x:c r="V1736" s="20"/>
      <x:c r="W1736" s="20"/>
      <x:c r="X1736" s="20"/>
      <x:c r="Y1736" s="21"/>
    </x:row>
    <x:row r="1737">
      <x:c r="A1737" s="19"/>
      <x:c r="B1737" s="27"/>
      <x:c r="C1737" s="20"/>
      <x:c r="D1737" s="28"/>
      <x:c r="E1737" s="20"/>
      <x:c r="F1737" s="25"/>
      <x:c r="G1737" s="20"/>
      <x:c r="H1737" s="20"/>
      <x:c r="I1737" s="20"/>
      <x:c r="J1737" s="20"/>
      <x:c r="K1737" s="20"/>
      <x:c r="L1737" s="20"/>
      <x:c r="M1737" s="20"/>
      <x:c r="N1737" s="20"/>
      <x:c r="O1737" s="20"/>
      <x:c r="P1737" s="20"/>
      <x:c r="Q1737" s="20"/>
      <x:c r="R1737" s="20"/>
      <x:c r="S1737" s="20"/>
      <x:c r="T1737" s="20"/>
      <x:c r="U1737" s="20"/>
      <x:c r="V1737" s="20"/>
      <x:c r="W1737" s="20"/>
      <x:c r="X1737" s="20"/>
      <x:c r="Y1737" s="21"/>
    </x:row>
    <x:row r="1738">
      <x:c r="A1738" s="19"/>
      <x:c r="B1738" s="27"/>
      <x:c r="C1738" s="20"/>
      <x:c r="D1738" s="28"/>
      <x:c r="E1738" s="20"/>
      <x:c r="F1738" s="25"/>
      <x:c r="G1738" s="20"/>
      <x:c r="H1738" s="20"/>
      <x:c r="I1738" s="20"/>
      <x:c r="J1738" s="20"/>
      <x:c r="K1738" s="20"/>
      <x:c r="L1738" s="20"/>
      <x:c r="M1738" s="20"/>
      <x:c r="N1738" s="20"/>
      <x:c r="O1738" s="20"/>
      <x:c r="P1738" s="20"/>
      <x:c r="Q1738" s="20"/>
      <x:c r="R1738" s="20"/>
      <x:c r="S1738" s="20"/>
      <x:c r="T1738" s="20"/>
      <x:c r="U1738" s="20"/>
      <x:c r="V1738" s="20"/>
      <x:c r="W1738" s="20"/>
      <x:c r="X1738" s="20"/>
      <x:c r="Y1738" s="21"/>
    </x:row>
    <x:row r="1739">
      <x:c r="A1739" s="19"/>
      <x:c r="B1739" s="27"/>
      <x:c r="C1739" s="20"/>
      <x:c r="D1739" s="28"/>
      <x:c r="E1739" s="20"/>
      <x:c r="F1739" s="25"/>
      <x:c r="G1739" s="20"/>
      <x:c r="H1739" s="20"/>
      <x:c r="I1739" s="20"/>
      <x:c r="J1739" s="20"/>
      <x:c r="K1739" s="20"/>
      <x:c r="L1739" s="20"/>
      <x:c r="M1739" s="20"/>
      <x:c r="N1739" s="20"/>
      <x:c r="O1739" s="20"/>
      <x:c r="P1739" s="20"/>
      <x:c r="Q1739" s="20"/>
      <x:c r="R1739" s="20"/>
      <x:c r="S1739" s="20"/>
      <x:c r="T1739" s="20"/>
      <x:c r="U1739" s="20"/>
      <x:c r="V1739" s="20"/>
      <x:c r="W1739" s="20"/>
      <x:c r="X1739" s="20"/>
      <x:c r="Y1739" s="21"/>
    </x:row>
    <x:row r="1740">
      <x:c r="A1740" s="19"/>
      <x:c r="B1740" s="27"/>
      <x:c r="C1740" s="20"/>
      <x:c r="D1740" s="28"/>
      <x:c r="E1740" s="20"/>
      <x:c r="F1740" s="25"/>
      <x:c r="G1740" s="20"/>
      <x:c r="H1740" s="20"/>
      <x:c r="I1740" s="20"/>
      <x:c r="J1740" s="20"/>
      <x:c r="K1740" s="20"/>
      <x:c r="L1740" s="20"/>
      <x:c r="M1740" s="20"/>
      <x:c r="N1740" s="20"/>
      <x:c r="O1740" s="20"/>
      <x:c r="P1740" s="20"/>
      <x:c r="Q1740" s="20"/>
      <x:c r="R1740" s="20"/>
      <x:c r="S1740" s="20"/>
      <x:c r="T1740" s="20"/>
      <x:c r="U1740" s="20"/>
      <x:c r="V1740" s="20"/>
      <x:c r="W1740" s="20"/>
      <x:c r="X1740" s="20"/>
      <x:c r="Y1740" s="21"/>
    </x:row>
    <x:row r="1741">
      <x:c r="A1741" s="19"/>
      <x:c r="B1741" s="27"/>
      <x:c r="C1741" s="20"/>
      <x:c r="D1741" s="28"/>
      <x:c r="E1741" s="20"/>
      <x:c r="F1741" s="25"/>
      <x:c r="G1741" s="20"/>
      <x:c r="H1741" s="20"/>
      <x:c r="I1741" s="20"/>
      <x:c r="J1741" s="20"/>
      <x:c r="K1741" s="20"/>
      <x:c r="L1741" s="20"/>
      <x:c r="M1741" s="20"/>
      <x:c r="N1741" s="20"/>
      <x:c r="O1741" s="20"/>
      <x:c r="P1741" s="20"/>
      <x:c r="Q1741" s="20"/>
      <x:c r="R1741" s="20"/>
      <x:c r="S1741" s="20"/>
      <x:c r="T1741" s="20"/>
      <x:c r="U1741" s="20"/>
      <x:c r="V1741" s="20"/>
      <x:c r="W1741" s="20"/>
      <x:c r="X1741" s="20"/>
      <x:c r="Y1741" s="21"/>
    </x:row>
    <x:row r="1742">
      <x:c r="A1742" s="19"/>
      <x:c r="B1742" s="27"/>
      <x:c r="C1742" s="20"/>
      <x:c r="D1742" s="28"/>
      <x:c r="E1742" s="20"/>
      <x:c r="F1742" s="25"/>
      <x:c r="G1742" s="20"/>
      <x:c r="H1742" s="20"/>
      <x:c r="I1742" s="20"/>
      <x:c r="J1742" s="20"/>
      <x:c r="K1742" s="20"/>
      <x:c r="L1742" s="20"/>
      <x:c r="M1742" s="20"/>
      <x:c r="N1742" s="20"/>
      <x:c r="O1742" s="20"/>
      <x:c r="P1742" s="20"/>
      <x:c r="Q1742" s="20"/>
      <x:c r="R1742" s="20"/>
      <x:c r="S1742" s="20"/>
      <x:c r="T1742" s="20"/>
      <x:c r="U1742" s="20"/>
      <x:c r="V1742" s="20"/>
      <x:c r="W1742" s="20"/>
      <x:c r="X1742" s="20"/>
      <x:c r="Y1742" s="21"/>
    </x:row>
    <x:row r="1743">
      <x:c r="A1743" s="19"/>
      <x:c r="B1743" s="27"/>
      <x:c r="C1743" s="20"/>
      <x:c r="D1743" s="28"/>
      <x:c r="E1743" s="20"/>
      <x:c r="F1743" s="25"/>
      <x:c r="G1743" s="20"/>
      <x:c r="H1743" s="20"/>
      <x:c r="I1743" s="20"/>
      <x:c r="J1743" s="20"/>
      <x:c r="K1743" s="20"/>
      <x:c r="L1743" s="20"/>
      <x:c r="M1743" s="20"/>
      <x:c r="N1743" s="20"/>
      <x:c r="O1743" s="20"/>
      <x:c r="P1743" s="20"/>
      <x:c r="Q1743" s="20"/>
      <x:c r="R1743" s="20"/>
      <x:c r="S1743" s="20"/>
      <x:c r="T1743" s="20"/>
      <x:c r="U1743" s="20"/>
      <x:c r="V1743" s="20"/>
      <x:c r="W1743" s="20"/>
      <x:c r="X1743" s="20"/>
      <x:c r="Y1743" s="21"/>
    </x:row>
    <x:row r="1744">
      <x:c r="A1744" s="19"/>
      <x:c r="B1744" s="27"/>
      <x:c r="C1744" s="20"/>
      <x:c r="D1744" s="28"/>
      <x:c r="E1744" s="20"/>
      <x:c r="F1744" s="25"/>
      <x:c r="G1744" s="20"/>
      <x:c r="H1744" s="20"/>
      <x:c r="I1744" s="20"/>
      <x:c r="J1744" s="20"/>
      <x:c r="K1744" s="20"/>
      <x:c r="L1744" s="20"/>
      <x:c r="M1744" s="20"/>
      <x:c r="N1744" s="20"/>
      <x:c r="O1744" s="20"/>
      <x:c r="P1744" s="20"/>
      <x:c r="Q1744" s="20"/>
      <x:c r="R1744" s="20"/>
      <x:c r="S1744" s="20"/>
      <x:c r="T1744" s="20"/>
      <x:c r="U1744" s="20"/>
      <x:c r="V1744" s="20"/>
      <x:c r="W1744" s="20"/>
      <x:c r="X1744" s="20"/>
      <x:c r="Y1744" s="21"/>
    </x:row>
    <x:row r="1745">
      <x:c r="A1745" s="19"/>
      <x:c r="B1745" s="27"/>
      <x:c r="C1745" s="20"/>
      <x:c r="D1745" s="28"/>
      <x:c r="E1745" s="20"/>
      <x:c r="F1745" s="25"/>
      <x:c r="G1745" s="20"/>
      <x:c r="H1745" s="20"/>
      <x:c r="I1745" s="20"/>
      <x:c r="J1745" s="20"/>
      <x:c r="K1745" s="20"/>
      <x:c r="L1745" s="20"/>
      <x:c r="M1745" s="20"/>
      <x:c r="N1745" s="20"/>
      <x:c r="O1745" s="20"/>
      <x:c r="P1745" s="20"/>
      <x:c r="Q1745" s="20"/>
      <x:c r="R1745" s="20"/>
      <x:c r="S1745" s="20"/>
      <x:c r="T1745" s="20"/>
      <x:c r="U1745" s="20"/>
      <x:c r="V1745" s="20"/>
      <x:c r="W1745" s="20"/>
      <x:c r="X1745" s="20"/>
      <x:c r="Y1745" s="21"/>
    </x:row>
    <x:row r="1746">
      <x:c r="A1746" s="19"/>
      <x:c r="B1746" s="27"/>
      <x:c r="C1746" s="20"/>
      <x:c r="D1746" s="28"/>
      <x:c r="E1746" s="20"/>
      <x:c r="F1746" s="25"/>
      <x:c r="G1746" s="20"/>
      <x:c r="H1746" s="20"/>
      <x:c r="I1746" s="20"/>
      <x:c r="J1746" s="20"/>
      <x:c r="K1746" s="20"/>
      <x:c r="L1746" s="20"/>
      <x:c r="M1746" s="20"/>
      <x:c r="N1746" s="20"/>
      <x:c r="O1746" s="20"/>
      <x:c r="P1746" s="20"/>
      <x:c r="Q1746" s="20"/>
      <x:c r="R1746" s="20"/>
      <x:c r="S1746" s="20"/>
      <x:c r="T1746" s="20"/>
      <x:c r="U1746" s="20"/>
      <x:c r="V1746" s="20"/>
      <x:c r="W1746" s="20"/>
      <x:c r="X1746" s="20"/>
      <x:c r="Y1746" s="21"/>
    </x:row>
    <x:row r="1747">
      <x:c r="A1747" s="19"/>
      <x:c r="B1747" s="27"/>
      <x:c r="C1747" s="20"/>
      <x:c r="D1747" s="28"/>
      <x:c r="E1747" s="20"/>
      <x:c r="F1747" s="25"/>
      <x:c r="G1747" s="20"/>
      <x:c r="H1747" s="20"/>
      <x:c r="I1747" s="20"/>
      <x:c r="J1747" s="20"/>
      <x:c r="K1747" s="20"/>
      <x:c r="L1747" s="20"/>
      <x:c r="M1747" s="20"/>
      <x:c r="N1747" s="20"/>
      <x:c r="O1747" s="20"/>
      <x:c r="P1747" s="20"/>
      <x:c r="Q1747" s="20"/>
      <x:c r="R1747" s="20"/>
      <x:c r="S1747" s="20"/>
      <x:c r="T1747" s="20"/>
      <x:c r="U1747" s="20"/>
      <x:c r="V1747" s="20"/>
      <x:c r="W1747" s="20"/>
      <x:c r="X1747" s="20"/>
      <x:c r="Y1747" s="21"/>
    </x:row>
    <x:row r="1748">
      <x:c r="A1748" s="19"/>
      <x:c r="B1748" s="27"/>
      <x:c r="C1748" s="20"/>
      <x:c r="D1748" s="28"/>
      <x:c r="E1748" s="20"/>
      <x:c r="F1748" s="25"/>
      <x:c r="G1748" s="20"/>
      <x:c r="H1748" s="20"/>
      <x:c r="I1748" s="20"/>
      <x:c r="J1748" s="20"/>
      <x:c r="K1748" s="20"/>
      <x:c r="L1748" s="20"/>
      <x:c r="M1748" s="20"/>
      <x:c r="N1748" s="20"/>
      <x:c r="O1748" s="20"/>
      <x:c r="P1748" s="20"/>
      <x:c r="Q1748" s="20"/>
      <x:c r="R1748" s="20"/>
      <x:c r="S1748" s="20"/>
      <x:c r="T1748" s="20"/>
      <x:c r="U1748" s="20"/>
      <x:c r="V1748" s="20"/>
      <x:c r="W1748" s="20"/>
      <x:c r="X1748" s="20"/>
      <x:c r="Y1748" s="21"/>
    </x:row>
    <x:row r="1749">
      <x:c r="A1749" s="19"/>
      <x:c r="B1749" s="27"/>
      <x:c r="C1749" s="20"/>
      <x:c r="D1749" s="28"/>
      <x:c r="E1749" s="20"/>
      <x:c r="F1749" s="25"/>
      <x:c r="G1749" s="20"/>
      <x:c r="H1749" s="20"/>
      <x:c r="I1749" s="20"/>
      <x:c r="J1749" s="20"/>
      <x:c r="K1749" s="20"/>
      <x:c r="L1749" s="20"/>
      <x:c r="M1749" s="20"/>
      <x:c r="N1749" s="20"/>
      <x:c r="O1749" s="20"/>
      <x:c r="P1749" s="20"/>
      <x:c r="Q1749" s="20"/>
      <x:c r="R1749" s="20"/>
      <x:c r="S1749" s="20"/>
      <x:c r="T1749" s="20"/>
      <x:c r="U1749" s="20"/>
      <x:c r="V1749" s="20"/>
      <x:c r="W1749" s="20"/>
      <x:c r="X1749" s="20"/>
      <x:c r="Y1749" s="21"/>
    </x:row>
    <x:row r="1750">
      <x:c r="A1750" s="19"/>
      <x:c r="B1750" s="27"/>
      <x:c r="C1750" s="20"/>
      <x:c r="D1750" s="28"/>
      <x:c r="E1750" s="20"/>
      <x:c r="F1750" s="25"/>
      <x:c r="G1750" s="20"/>
      <x:c r="H1750" s="20"/>
      <x:c r="I1750" s="20"/>
      <x:c r="J1750" s="20"/>
      <x:c r="K1750" s="20"/>
      <x:c r="L1750" s="20"/>
      <x:c r="M1750" s="20"/>
      <x:c r="N1750" s="20"/>
      <x:c r="O1750" s="20"/>
      <x:c r="P1750" s="20"/>
      <x:c r="Q1750" s="20"/>
      <x:c r="R1750" s="20"/>
      <x:c r="S1750" s="20"/>
      <x:c r="T1750" s="20"/>
      <x:c r="U1750" s="20"/>
      <x:c r="V1750" s="20"/>
      <x:c r="W1750" s="20"/>
      <x:c r="X1750" s="20"/>
      <x:c r="Y1750" s="21"/>
    </x:row>
    <x:row r="1751">
      <x:c r="A1751" s="19"/>
      <x:c r="B1751" s="27"/>
      <x:c r="C1751" s="20"/>
      <x:c r="D1751" s="28"/>
      <x:c r="E1751" s="20"/>
      <x:c r="F1751" s="25"/>
      <x:c r="G1751" s="20"/>
      <x:c r="H1751" s="20"/>
      <x:c r="I1751" s="20"/>
      <x:c r="J1751" s="20"/>
      <x:c r="K1751" s="20"/>
      <x:c r="L1751" s="20"/>
      <x:c r="M1751" s="20"/>
      <x:c r="N1751" s="20"/>
      <x:c r="O1751" s="20"/>
      <x:c r="P1751" s="20"/>
      <x:c r="Q1751" s="20"/>
      <x:c r="R1751" s="20"/>
      <x:c r="S1751" s="20"/>
      <x:c r="T1751" s="20"/>
      <x:c r="U1751" s="20"/>
      <x:c r="V1751" s="20"/>
      <x:c r="W1751" s="20"/>
      <x:c r="X1751" s="20"/>
      <x:c r="Y1751" s="21"/>
    </x:row>
    <x:row r="1752">
      <x:c r="A1752" s="19"/>
      <x:c r="B1752" s="27"/>
      <x:c r="C1752" s="20"/>
      <x:c r="D1752" s="28"/>
      <x:c r="E1752" s="20"/>
      <x:c r="F1752" s="25"/>
      <x:c r="G1752" s="20"/>
      <x:c r="H1752" s="20"/>
      <x:c r="I1752" s="20"/>
      <x:c r="J1752" s="20"/>
      <x:c r="K1752" s="20"/>
      <x:c r="L1752" s="20"/>
      <x:c r="M1752" s="20"/>
      <x:c r="N1752" s="20"/>
      <x:c r="O1752" s="20"/>
      <x:c r="P1752" s="20"/>
      <x:c r="Q1752" s="20"/>
      <x:c r="R1752" s="20"/>
      <x:c r="S1752" s="20"/>
      <x:c r="T1752" s="20"/>
      <x:c r="U1752" s="20"/>
      <x:c r="V1752" s="20"/>
      <x:c r="W1752" s="20"/>
      <x:c r="X1752" s="20"/>
      <x:c r="Y1752" s="21"/>
    </x:row>
    <x:row r="1753">
      <x:c r="A1753" s="19"/>
      <x:c r="B1753" s="27"/>
      <x:c r="C1753" s="20"/>
      <x:c r="D1753" s="28"/>
      <x:c r="E1753" s="20"/>
      <x:c r="F1753" s="25"/>
      <x:c r="G1753" s="20"/>
      <x:c r="H1753" s="20"/>
      <x:c r="I1753" s="20"/>
      <x:c r="J1753" s="20"/>
      <x:c r="K1753" s="20"/>
      <x:c r="L1753" s="20"/>
      <x:c r="M1753" s="20"/>
      <x:c r="N1753" s="20"/>
      <x:c r="O1753" s="20"/>
      <x:c r="P1753" s="20"/>
      <x:c r="Q1753" s="20"/>
      <x:c r="R1753" s="20"/>
      <x:c r="S1753" s="20"/>
      <x:c r="T1753" s="20"/>
      <x:c r="U1753" s="20"/>
      <x:c r="V1753" s="20"/>
      <x:c r="W1753" s="20"/>
      <x:c r="X1753" s="20"/>
      <x:c r="Y1753" s="21"/>
    </x:row>
    <x:row r="1754">
      <x:c r="A1754" s="19"/>
      <x:c r="B1754" s="27"/>
      <x:c r="C1754" s="20"/>
      <x:c r="D1754" s="28"/>
      <x:c r="E1754" s="20"/>
      <x:c r="F1754" s="25"/>
      <x:c r="G1754" s="20"/>
      <x:c r="H1754" s="20"/>
      <x:c r="I1754" s="20"/>
      <x:c r="J1754" s="20"/>
      <x:c r="K1754" s="20"/>
      <x:c r="L1754" s="20"/>
      <x:c r="M1754" s="20"/>
      <x:c r="N1754" s="20"/>
      <x:c r="O1754" s="20"/>
      <x:c r="P1754" s="20"/>
      <x:c r="Q1754" s="20"/>
      <x:c r="R1754" s="20"/>
      <x:c r="S1754" s="20"/>
      <x:c r="T1754" s="20"/>
      <x:c r="U1754" s="20"/>
      <x:c r="V1754" s="20"/>
      <x:c r="W1754" s="20"/>
      <x:c r="X1754" s="20"/>
      <x:c r="Y1754" s="21"/>
    </x:row>
    <x:row r="1755">
      <x:c r="A1755" s="19"/>
      <x:c r="B1755" s="27"/>
      <x:c r="C1755" s="20"/>
      <x:c r="D1755" s="28"/>
      <x:c r="E1755" s="20"/>
      <x:c r="F1755" s="25"/>
      <x:c r="G1755" s="20"/>
      <x:c r="H1755" s="20"/>
      <x:c r="I1755" s="20"/>
      <x:c r="J1755" s="20"/>
      <x:c r="K1755" s="20"/>
      <x:c r="L1755" s="20"/>
      <x:c r="M1755" s="20"/>
      <x:c r="N1755" s="20"/>
      <x:c r="O1755" s="20"/>
      <x:c r="P1755" s="20"/>
      <x:c r="Q1755" s="20"/>
      <x:c r="R1755" s="20"/>
      <x:c r="S1755" s="20"/>
      <x:c r="T1755" s="20"/>
      <x:c r="U1755" s="20"/>
      <x:c r="V1755" s="20"/>
      <x:c r="W1755" s="20"/>
      <x:c r="X1755" s="20"/>
      <x:c r="Y1755" s="21"/>
    </x:row>
    <x:row r="1756">
      <x:c r="A1756" s="19"/>
      <x:c r="B1756" s="27"/>
      <x:c r="C1756" s="20"/>
      <x:c r="D1756" s="28"/>
      <x:c r="E1756" s="20"/>
      <x:c r="F1756" s="25"/>
      <x:c r="G1756" s="20"/>
      <x:c r="H1756" s="20"/>
      <x:c r="I1756" s="20"/>
      <x:c r="J1756" s="20"/>
      <x:c r="K1756" s="20"/>
      <x:c r="L1756" s="20"/>
      <x:c r="M1756" s="20"/>
      <x:c r="N1756" s="20"/>
      <x:c r="O1756" s="20"/>
      <x:c r="P1756" s="20"/>
      <x:c r="Q1756" s="20"/>
      <x:c r="R1756" s="20"/>
      <x:c r="S1756" s="20"/>
      <x:c r="T1756" s="20"/>
      <x:c r="U1756" s="20"/>
      <x:c r="V1756" s="20"/>
      <x:c r="W1756" s="20"/>
      <x:c r="X1756" s="20"/>
      <x:c r="Y1756" s="21"/>
    </x:row>
    <x:row r="1757">
      <x:c r="A1757" s="19"/>
      <x:c r="B1757" s="27"/>
      <x:c r="C1757" s="20"/>
      <x:c r="D1757" s="28"/>
      <x:c r="E1757" s="20"/>
      <x:c r="F1757" s="25"/>
      <x:c r="G1757" s="20"/>
      <x:c r="H1757" s="20"/>
      <x:c r="I1757" s="20"/>
      <x:c r="J1757" s="20"/>
      <x:c r="K1757" s="20"/>
      <x:c r="L1757" s="20"/>
      <x:c r="M1757" s="20"/>
      <x:c r="N1757" s="20"/>
      <x:c r="O1757" s="20"/>
      <x:c r="P1757" s="20"/>
      <x:c r="Q1757" s="20"/>
      <x:c r="R1757" s="20"/>
      <x:c r="S1757" s="20"/>
      <x:c r="T1757" s="20"/>
      <x:c r="U1757" s="20"/>
      <x:c r="V1757" s="20"/>
      <x:c r="W1757" s="20"/>
      <x:c r="X1757" s="20"/>
      <x:c r="Y1757" s="21"/>
    </x:row>
    <x:row r="1758">
      <x:c r="A1758" s="19"/>
      <x:c r="B1758" s="27"/>
      <x:c r="C1758" s="20"/>
      <x:c r="D1758" s="28"/>
      <x:c r="E1758" s="20"/>
      <x:c r="F1758" s="25"/>
      <x:c r="G1758" s="20"/>
      <x:c r="H1758" s="20"/>
      <x:c r="I1758" s="20"/>
      <x:c r="J1758" s="20"/>
      <x:c r="K1758" s="20"/>
      <x:c r="L1758" s="20"/>
      <x:c r="M1758" s="20"/>
      <x:c r="N1758" s="20"/>
      <x:c r="O1758" s="20"/>
      <x:c r="P1758" s="20"/>
      <x:c r="Q1758" s="20"/>
      <x:c r="R1758" s="20"/>
      <x:c r="S1758" s="20"/>
      <x:c r="T1758" s="20"/>
      <x:c r="U1758" s="20"/>
      <x:c r="V1758" s="20"/>
      <x:c r="W1758" s="20"/>
      <x:c r="X1758" s="20"/>
      <x:c r="Y1758" s="21"/>
    </x:row>
    <x:row r="1759">
      <x:c r="A1759" s="19"/>
      <x:c r="B1759" s="27"/>
      <x:c r="C1759" s="20"/>
      <x:c r="D1759" s="28"/>
      <x:c r="E1759" s="20"/>
      <x:c r="F1759" s="25"/>
      <x:c r="G1759" s="20"/>
      <x:c r="H1759" s="20"/>
      <x:c r="I1759" s="20"/>
      <x:c r="J1759" s="20"/>
      <x:c r="K1759" s="20"/>
      <x:c r="L1759" s="20"/>
      <x:c r="M1759" s="20"/>
      <x:c r="N1759" s="20"/>
      <x:c r="O1759" s="20"/>
      <x:c r="P1759" s="20"/>
      <x:c r="Q1759" s="20"/>
      <x:c r="R1759" s="20"/>
      <x:c r="S1759" s="20"/>
      <x:c r="T1759" s="20"/>
      <x:c r="U1759" s="20"/>
      <x:c r="V1759" s="20"/>
      <x:c r="W1759" s="20"/>
      <x:c r="X1759" s="20"/>
      <x:c r="Y1759" s="21"/>
    </x:row>
    <x:row r="1760">
      <x:c r="A1760" s="19"/>
      <x:c r="B1760" s="27"/>
      <x:c r="C1760" s="20"/>
      <x:c r="D1760" s="28"/>
      <x:c r="E1760" s="20"/>
      <x:c r="F1760" s="25"/>
      <x:c r="G1760" s="20"/>
      <x:c r="H1760" s="20"/>
      <x:c r="I1760" s="20"/>
      <x:c r="J1760" s="20"/>
      <x:c r="K1760" s="20"/>
      <x:c r="L1760" s="20"/>
      <x:c r="M1760" s="20"/>
      <x:c r="N1760" s="20"/>
      <x:c r="O1760" s="20"/>
      <x:c r="P1760" s="20"/>
      <x:c r="Q1760" s="20"/>
      <x:c r="R1760" s="20"/>
      <x:c r="S1760" s="20"/>
      <x:c r="T1760" s="20"/>
      <x:c r="U1760" s="20"/>
      <x:c r="V1760" s="20"/>
      <x:c r="W1760" s="20"/>
      <x:c r="X1760" s="20"/>
      <x:c r="Y1760" s="21"/>
    </x:row>
    <x:row r="1761">
      <x:c r="A1761" s="19"/>
      <x:c r="B1761" s="27"/>
      <x:c r="C1761" s="20"/>
      <x:c r="D1761" s="28"/>
      <x:c r="E1761" s="20"/>
      <x:c r="F1761" s="25"/>
      <x:c r="G1761" s="20"/>
      <x:c r="H1761" s="20"/>
      <x:c r="I1761" s="20"/>
      <x:c r="J1761" s="20"/>
      <x:c r="K1761" s="20"/>
      <x:c r="L1761" s="20"/>
      <x:c r="M1761" s="20"/>
      <x:c r="N1761" s="20"/>
      <x:c r="O1761" s="20"/>
      <x:c r="P1761" s="20"/>
      <x:c r="Q1761" s="20"/>
      <x:c r="R1761" s="20"/>
      <x:c r="S1761" s="20"/>
      <x:c r="T1761" s="20"/>
      <x:c r="U1761" s="20"/>
      <x:c r="V1761" s="20"/>
      <x:c r="W1761" s="20"/>
      <x:c r="X1761" s="20"/>
      <x:c r="Y1761" s="21"/>
    </x:row>
    <x:row r="1762">
      <x:c r="A1762" s="19"/>
      <x:c r="B1762" s="27"/>
      <x:c r="C1762" s="20"/>
      <x:c r="D1762" s="28"/>
      <x:c r="E1762" s="20"/>
      <x:c r="F1762" s="25"/>
      <x:c r="G1762" s="20"/>
      <x:c r="H1762" s="20"/>
      <x:c r="I1762" s="20"/>
      <x:c r="J1762" s="20"/>
      <x:c r="K1762" s="20"/>
      <x:c r="L1762" s="20"/>
      <x:c r="M1762" s="20"/>
      <x:c r="N1762" s="20"/>
      <x:c r="O1762" s="20"/>
      <x:c r="P1762" s="20"/>
      <x:c r="Q1762" s="20"/>
      <x:c r="R1762" s="20"/>
      <x:c r="S1762" s="20"/>
      <x:c r="T1762" s="20"/>
      <x:c r="U1762" s="20"/>
      <x:c r="V1762" s="20"/>
      <x:c r="W1762" s="20"/>
      <x:c r="X1762" s="20"/>
      <x:c r="Y1762" s="21"/>
    </x:row>
    <x:row r="1763">
      <x:c r="A1763" s="19"/>
      <x:c r="B1763" s="27"/>
      <x:c r="C1763" s="20"/>
      <x:c r="D1763" s="28"/>
      <x:c r="E1763" s="20"/>
      <x:c r="F1763" s="25"/>
      <x:c r="G1763" s="20"/>
      <x:c r="H1763" s="20"/>
      <x:c r="I1763" s="20"/>
      <x:c r="J1763" s="20"/>
      <x:c r="K1763" s="20"/>
      <x:c r="L1763" s="20"/>
      <x:c r="M1763" s="20"/>
      <x:c r="N1763" s="20"/>
      <x:c r="O1763" s="20"/>
      <x:c r="P1763" s="20"/>
      <x:c r="Q1763" s="20"/>
      <x:c r="R1763" s="20"/>
      <x:c r="S1763" s="20"/>
      <x:c r="T1763" s="20"/>
      <x:c r="U1763" s="20"/>
      <x:c r="V1763" s="20"/>
      <x:c r="W1763" s="20"/>
      <x:c r="X1763" s="20"/>
      <x:c r="Y1763" s="21"/>
    </x:row>
    <x:row r="1764">
      <x:c r="A1764" s="19"/>
      <x:c r="B1764" s="27"/>
      <x:c r="C1764" s="20"/>
      <x:c r="D1764" s="28"/>
      <x:c r="E1764" s="20"/>
      <x:c r="F1764" s="25"/>
      <x:c r="G1764" s="20"/>
      <x:c r="H1764" s="20"/>
      <x:c r="I1764" s="20"/>
      <x:c r="J1764" s="20"/>
      <x:c r="K1764" s="20"/>
      <x:c r="L1764" s="20"/>
      <x:c r="M1764" s="20"/>
      <x:c r="N1764" s="20"/>
      <x:c r="O1764" s="20"/>
      <x:c r="P1764" s="20"/>
      <x:c r="Q1764" s="20"/>
      <x:c r="R1764" s="20"/>
      <x:c r="S1764" s="20"/>
      <x:c r="T1764" s="20"/>
      <x:c r="U1764" s="20"/>
      <x:c r="V1764" s="20"/>
      <x:c r="W1764" s="20"/>
      <x:c r="X1764" s="20"/>
      <x:c r="Y1764" s="21"/>
    </x:row>
    <x:row r="1765">
      <x:c r="A1765" s="19"/>
      <x:c r="B1765" s="27"/>
      <x:c r="C1765" s="20"/>
      <x:c r="D1765" s="28"/>
      <x:c r="E1765" s="20"/>
      <x:c r="F1765" s="25"/>
      <x:c r="G1765" s="20"/>
      <x:c r="H1765" s="20"/>
      <x:c r="I1765" s="20"/>
      <x:c r="J1765" s="20"/>
      <x:c r="K1765" s="20"/>
      <x:c r="L1765" s="20"/>
      <x:c r="M1765" s="20"/>
      <x:c r="N1765" s="20"/>
      <x:c r="O1765" s="20"/>
      <x:c r="P1765" s="20"/>
      <x:c r="Q1765" s="20"/>
      <x:c r="R1765" s="20"/>
      <x:c r="S1765" s="20"/>
      <x:c r="T1765" s="20"/>
      <x:c r="U1765" s="20"/>
      <x:c r="V1765" s="20"/>
      <x:c r="W1765" s="20"/>
      <x:c r="X1765" s="20"/>
      <x:c r="Y1765" s="21"/>
    </x:row>
    <x:row r="1766">
      <x:c r="A1766" s="19"/>
      <x:c r="B1766" s="27"/>
      <x:c r="C1766" s="20"/>
      <x:c r="D1766" s="28"/>
      <x:c r="E1766" s="20"/>
      <x:c r="F1766" s="25"/>
      <x:c r="G1766" s="20"/>
      <x:c r="H1766" s="20"/>
      <x:c r="I1766" s="20"/>
      <x:c r="J1766" s="20"/>
      <x:c r="K1766" s="20"/>
      <x:c r="L1766" s="20"/>
      <x:c r="M1766" s="20"/>
      <x:c r="N1766" s="20"/>
      <x:c r="O1766" s="20"/>
      <x:c r="P1766" s="20"/>
      <x:c r="Q1766" s="20"/>
      <x:c r="R1766" s="20"/>
      <x:c r="S1766" s="20"/>
      <x:c r="T1766" s="20"/>
      <x:c r="U1766" s="20"/>
      <x:c r="V1766" s="20"/>
      <x:c r="W1766" s="20"/>
      <x:c r="X1766" s="20"/>
      <x:c r="Y1766" s="21"/>
    </x:row>
    <x:row r="1767">
      <x:c r="A1767" s="19"/>
      <x:c r="B1767" s="27"/>
      <x:c r="C1767" s="20"/>
      <x:c r="D1767" s="28"/>
      <x:c r="E1767" s="20"/>
      <x:c r="F1767" s="25"/>
      <x:c r="G1767" s="20"/>
      <x:c r="H1767" s="20"/>
      <x:c r="I1767" s="20"/>
      <x:c r="J1767" s="20"/>
      <x:c r="K1767" s="20"/>
      <x:c r="L1767" s="20"/>
      <x:c r="M1767" s="20"/>
      <x:c r="N1767" s="20"/>
      <x:c r="O1767" s="20"/>
      <x:c r="P1767" s="20"/>
      <x:c r="Q1767" s="20"/>
      <x:c r="R1767" s="20"/>
      <x:c r="S1767" s="20"/>
      <x:c r="T1767" s="20"/>
      <x:c r="U1767" s="20"/>
      <x:c r="V1767" s="20"/>
      <x:c r="W1767" s="20"/>
      <x:c r="X1767" s="20"/>
      <x:c r="Y1767" s="21"/>
    </x:row>
    <x:row r="1768">
      <x:c r="A1768" s="19"/>
      <x:c r="B1768" s="27"/>
      <x:c r="C1768" s="20"/>
      <x:c r="D1768" s="28"/>
      <x:c r="E1768" s="20"/>
      <x:c r="F1768" s="25"/>
      <x:c r="G1768" s="20"/>
      <x:c r="H1768" s="20"/>
      <x:c r="I1768" s="20"/>
      <x:c r="J1768" s="20"/>
      <x:c r="K1768" s="20"/>
      <x:c r="L1768" s="20"/>
      <x:c r="M1768" s="20"/>
      <x:c r="N1768" s="20"/>
      <x:c r="O1768" s="20"/>
      <x:c r="P1768" s="20"/>
      <x:c r="Q1768" s="20"/>
      <x:c r="R1768" s="20"/>
      <x:c r="S1768" s="20"/>
      <x:c r="T1768" s="20"/>
      <x:c r="U1768" s="20"/>
      <x:c r="V1768" s="20"/>
      <x:c r="W1768" s="20"/>
      <x:c r="X1768" s="20"/>
      <x:c r="Y1768" s="21"/>
    </x:row>
    <x:row r="1769">
      <x:c r="A1769" s="19"/>
      <x:c r="B1769" s="27"/>
      <x:c r="C1769" s="20"/>
      <x:c r="D1769" s="28"/>
      <x:c r="E1769" s="20"/>
      <x:c r="F1769" s="25"/>
      <x:c r="G1769" s="20"/>
      <x:c r="H1769" s="20"/>
      <x:c r="I1769" s="20"/>
      <x:c r="J1769" s="20"/>
      <x:c r="K1769" s="20"/>
      <x:c r="L1769" s="20"/>
      <x:c r="M1769" s="20"/>
      <x:c r="N1769" s="20"/>
      <x:c r="O1769" s="20"/>
      <x:c r="P1769" s="20"/>
      <x:c r="Q1769" s="20"/>
      <x:c r="R1769" s="20"/>
      <x:c r="S1769" s="20"/>
      <x:c r="T1769" s="20"/>
      <x:c r="U1769" s="20"/>
      <x:c r="V1769" s="20"/>
      <x:c r="W1769" s="20"/>
      <x:c r="X1769" s="20"/>
      <x:c r="Y1769" s="21"/>
    </x:row>
    <x:row r="1770">
      <x:c r="A1770" s="19"/>
      <x:c r="B1770" s="27"/>
      <x:c r="C1770" s="20"/>
      <x:c r="D1770" s="28"/>
      <x:c r="E1770" s="20"/>
      <x:c r="F1770" s="25"/>
      <x:c r="G1770" s="20"/>
      <x:c r="H1770" s="20"/>
      <x:c r="I1770" s="20"/>
      <x:c r="J1770" s="20"/>
      <x:c r="K1770" s="20"/>
      <x:c r="L1770" s="20"/>
      <x:c r="M1770" s="20"/>
      <x:c r="N1770" s="20"/>
      <x:c r="O1770" s="20"/>
      <x:c r="P1770" s="20"/>
      <x:c r="Q1770" s="20"/>
      <x:c r="R1770" s="20"/>
      <x:c r="S1770" s="20"/>
      <x:c r="T1770" s="20"/>
      <x:c r="U1770" s="20"/>
      <x:c r="V1770" s="20"/>
      <x:c r="W1770" s="20"/>
      <x:c r="X1770" s="20"/>
      <x:c r="Y1770" s="21"/>
    </x:row>
    <x:row r="1771">
      <x:c r="A1771" s="19"/>
      <x:c r="B1771" s="27"/>
      <x:c r="C1771" s="20"/>
      <x:c r="D1771" s="28"/>
      <x:c r="E1771" s="20"/>
      <x:c r="F1771" s="25"/>
      <x:c r="G1771" s="20"/>
      <x:c r="H1771" s="20"/>
      <x:c r="I1771" s="20"/>
      <x:c r="J1771" s="20"/>
      <x:c r="K1771" s="20"/>
      <x:c r="L1771" s="20"/>
      <x:c r="M1771" s="20"/>
      <x:c r="N1771" s="20"/>
      <x:c r="O1771" s="20"/>
      <x:c r="P1771" s="20"/>
      <x:c r="Q1771" s="20"/>
      <x:c r="R1771" s="20"/>
      <x:c r="S1771" s="20"/>
      <x:c r="T1771" s="20"/>
      <x:c r="U1771" s="20"/>
      <x:c r="V1771" s="20"/>
      <x:c r="W1771" s="20"/>
      <x:c r="X1771" s="20"/>
      <x:c r="Y1771" s="21"/>
    </x:row>
    <x:row r="1772">
      <x:c r="A1772" s="19"/>
      <x:c r="B1772" s="27"/>
      <x:c r="C1772" s="20"/>
      <x:c r="D1772" s="28"/>
      <x:c r="E1772" s="20"/>
      <x:c r="F1772" s="25"/>
      <x:c r="G1772" s="20"/>
      <x:c r="H1772" s="20"/>
      <x:c r="I1772" s="20"/>
      <x:c r="J1772" s="20"/>
      <x:c r="K1772" s="20"/>
      <x:c r="L1772" s="20"/>
      <x:c r="M1772" s="20"/>
      <x:c r="N1772" s="20"/>
      <x:c r="O1772" s="20"/>
      <x:c r="P1772" s="20"/>
      <x:c r="Q1772" s="20"/>
      <x:c r="R1772" s="20"/>
      <x:c r="S1772" s="20"/>
      <x:c r="T1772" s="20"/>
      <x:c r="U1772" s="20"/>
      <x:c r="V1772" s="20"/>
      <x:c r="W1772" s="20"/>
      <x:c r="X1772" s="20"/>
      <x:c r="Y1772" s="21"/>
    </x:row>
    <x:row r="1773">
      <x:c r="A1773" s="19"/>
      <x:c r="B1773" s="27"/>
      <x:c r="C1773" s="20"/>
      <x:c r="D1773" s="28"/>
      <x:c r="E1773" s="20"/>
      <x:c r="F1773" s="25"/>
      <x:c r="G1773" s="20"/>
      <x:c r="H1773" s="20"/>
      <x:c r="I1773" s="20"/>
      <x:c r="J1773" s="20"/>
      <x:c r="K1773" s="20"/>
      <x:c r="L1773" s="20"/>
      <x:c r="M1773" s="20"/>
      <x:c r="N1773" s="20"/>
      <x:c r="O1773" s="20"/>
      <x:c r="P1773" s="20"/>
      <x:c r="Q1773" s="20"/>
      <x:c r="R1773" s="20"/>
      <x:c r="S1773" s="20"/>
      <x:c r="T1773" s="20"/>
      <x:c r="U1773" s="20"/>
      <x:c r="V1773" s="20"/>
      <x:c r="W1773" s="20"/>
      <x:c r="X1773" s="20"/>
      <x:c r="Y1773" s="21"/>
    </x:row>
    <x:row r="1774">
      <x:c r="A1774" s="19"/>
      <x:c r="B1774" s="27"/>
      <x:c r="C1774" s="20"/>
      <x:c r="D1774" s="28"/>
      <x:c r="E1774" s="20"/>
      <x:c r="F1774" s="25"/>
      <x:c r="G1774" s="20"/>
      <x:c r="H1774" s="20"/>
      <x:c r="I1774" s="20"/>
      <x:c r="J1774" s="20"/>
      <x:c r="K1774" s="20"/>
      <x:c r="L1774" s="20"/>
      <x:c r="M1774" s="20"/>
      <x:c r="N1774" s="20"/>
      <x:c r="O1774" s="20"/>
      <x:c r="P1774" s="20"/>
      <x:c r="Q1774" s="20"/>
      <x:c r="R1774" s="20"/>
      <x:c r="S1774" s="20"/>
      <x:c r="T1774" s="20"/>
      <x:c r="U1774" s="20"/>
      <x:c r="V1774" s="20"/>
      <x:c r="W1774" s="20"/>
      <x:c r="X1774" s="20"/>
      <x:c r="Y1774" s="21"/>
    </x:row>
    <x:row r="1775">
      <x:c r="A1775" s="19"/>
      <x:c r="B1775" s="27"/>
      <x:c r="C1775" s="20"/>
      <x:c r="D1775" s="28"/>
      <x:c r="E1775" s="20"/>
      <x:c r="F1775" s="25"/>
      <x:c r="G1775" s="20"/>
      <x:c r="H1775" s="20"/>
      <x:c r="I1775" s="20"/>
      <x:c r="J1775" s="20"/>
      <x:c r="K1775" s="20"/>
      <x:c r="L1775" s="20"/>
      <x:c r="M1775" s="20"/>
      <x:c r="N1775" s="20"/>
      <x:c r="O1775" s="20"/>
      <x:c r="P1775" s="20"/>
      <x:c r="Q1775" s="20"/>
      <x:c r="R1775" s="20"/>
      <x:c r="S1775" s="20"/>
      <x:c r="T1775" s="20"/>
      <x:c r="U1775" s="20"/>
      <x:c r="V1775" s="20"/>
      <x:c r="W1775" s="20"/>
      <x:c r="X1775" s="20"/>
      <x:c r="Y1775" s="21"/>
    </x:row>
    <x:row r="1776">
      <x:c r="A1776" s="19"/>
      <x:c r="B1776" s="27"/>
      <x:c r="C1776" s="20"/>
      <x:c r="D1776" s="28"/>
      <x:c r="E1776" s="20"/>
      <x:c r="F1776" s="25"/>
      <x:c r="G1776" s="20"/>
      <x:c r="H1776" s="20"/>
      <x:c r="I1776" s="20"/>
      <x:c r="J1776" s="20"/>
      <x:c r="K1776" s="20"/>
      <x:c r="L1776" s="20"/>
      <x:c r="M1776" s="20"/>
      <x:c r="N1776" s="20"/>
      <x:c r="O1776" s="20"/>
      <x:c r="P1776" s="20"/>
      <x:c r="Q1776" s="20"/>
      <x:c r="R1776" s="20"/>
      <x:c r="S1776" s="20"/>
      <x:c r="T1776" s="20"/>
      <x:c r="U1776" s="20"/>
      <x:c r="V1776" s="20"/>
      <x:c r="W1776" s="20"/>
      <x:c r="X1776" s="20"/>
      <x:c r="Y1776" s="21"/>
    </x:row>
    <x:row r="1777">
      <x:c r="A1777" s="19"/>
      <x:c r="B1777" s="27"/>
      <x:c r="C1777" s="20"/>
      <x:c r="D1777" s="28"/>
      <x:c r="E1777" s="20"/>
      <x:c r="F1777" s="25"/>
      <x:c r="G1777" s="20"/>
      <x:c r="H1777" s="20"/>
      <x:c r="I1777" s="20"/>
      <x:c r="J1777" s="20"/>
      <x:c r="K1777" s="20"/>
      <x:c r="L1777" s="20"/>
      <x:c r="M1777" s="20"/>
      <x:c r="N1777" s="20"/>
      <x:c r="O1777" s="20"/>
      <x:c r="P1777" s="20"/>
      <x:c r="Q1777" s="20"/>
      <x:c r="R1777" s="20"/>
      <x:c r="S1777" s="20"/>
      <x:c r="T1777" s="20"/>
      <x:c r="U1777" s="20"/>
      <x:c r="V1777" s="20"/>
      <x:c r="W1777" s="20"/>
      <x:c r="X1777" s="20"/>
      <x:c r="Y1777" s="21"/>
    </x:row>
    <x:row r="1778">
      <x:c r="A1778" s="19"/>
      <x:c r="B1778" s="27"/>
      <x:c r="C1778" s="20"/>
      <x:c r="D1778" s="28"/>
      <x:c r="E1778" s="20"/>
      <x:c r="F1778" s="25"/>
      <x:c r="G1778" s="20"/>
      <x:c r="H1778" s="20"/>
      <x:c r="I1778" s="20"/>
      <x:c r="J1778" s="20"/>
      <x:c r="K1778" s="20"/>
      <x:c r="L1778" s="20"/>
      <x:c r="M1778" s="20"/>
      <x:c r="N1778" s="20"/>
      <x:c r="O1778" s="20"/>
      <x:c r="P1778" s="20"/>
      <x:c r="Q1778" s="20"/>
      <x:c r="R1778" s="20"/>
      <x:c r="S1778" s="20"/>
      <x:c r="T1778" s="20"/>
      <x:c r="U1778" s="20"/>
      <x:c r="V1778" s="20"/>
      <x:c r="W1778" s="20"/>
      <x:c r="X1778" s="20"/>
      <x:c r="Y1778" s="21"/>
    </x:row>
    <x:row r="1779">
      <x:c r="A1779" s="19"/>
      <x:c r="B1779" s="27"/>
      <x:c r="C1779" s="20"/>
      <x:c r="D1779" s="28"/>
      <x:c r="E1779" s="20"/>
      <x:c r="F1779" s="25"/>
      <x:c r="G1779" s="20"/>
      <x:c r="H1779" s="20"/>
      <x:c r="I1779" s="20"/>
      <x:c r="J1779" s="20"/>
      <x:c r="K1779" s="20"/>
      <x:c r="L1779" s="20"/>
      <x:c r="M1779" s="20"/>
      <x:c r="N1779" s="20"/>
      <x:c r="O1779" s="20"/>
      <x:c r="P1779" s="20"/>
      <x:c r="Q1779" s="20"/>
      <x:c r="R1779" s="20"/>
      <x:c r="S1779" s="20"/>
      <x:c r="T1779" s="20"/>
      <x:c r="U1779" s="20"/>
      <x:c r="V1779" s="20"/>
      <x:c r="W1779" s="20"/>
      <x:c r="X1779" s="20"/>
      <x:c r="Y1779" s="21"/>
    </x:row>
    <x:row r="1780">
      <x:c r="A1780" s="19"/>
      <x:c r="B1780" s="27"/>
      <x:c r="C1780" s="20"/>
      <x:c r="D1780" s="28"/>
      <x:c r="E1780" s="20"/>
      <x:c r="F1780" s="25"/>
      <x:c r="G1780" s="20"/>
      <x:c r="H1780" s="20"/>
      <x:c r="I1780" s="20"/>
      <x:c r="J1780" s="20"/>
      <x:c r="K1780" s="20"/>
      <x:c r="L1780" s="20"/>
      <x:c r="M1780" s="20"/>
      <x:c r="N1780" s="20"/>
      <x:c r="O1780" s="20"/>
      <x:c r="P1780" s="20"/>
      <x:c r="Q1780" s="20"/>
      <x:c r="R1780" s="20"/>
      <x:c r="S1780" s="20"/>
      <x:c r="T1780" s="20"/>
      <x:c r="U1780" s="20"/>
      <x:c r="V1780" s="20"/>
      <x:c r="W1780" s="20"/>
      <x:c r="X1780" s="20"/>
      <x:c r="Y1780" s="21"/>
    </x:row>
    <x:row r="1781">
      <x:c r="A1781" s="19"/>
      <x:c r="B1781" s="27"/>
      <x:c r="C1781" s="20"/>
      <x:c r="D1781" s="28"/>
      <x:c r="E1781" s="20"/>
      <x:c r="F1781" s="25"/>
      <x:c r="G1781" s="20"/>
      <x:c r="H1781" s="20"/>
      <x:c r="I1781" s="20"/>
      <x:c r="J1781" s="20"/>
      <x:c r="K1781" s="20"/>
      <x:c r="L1781" s="20"/>
      <x:c r="M1781" s="20"/>
      <x:c r="N1781" s="20"/>
      <x:c r="O1781" s="20"/>
      <x:c r="P1781" s="20"/>
      <x:c r="Q1781" s="20"/>
      <x:c r="R1781" s="20"/>
      <x:c r="S1781" s="20"/>
      <x:c r="T1781" s="20"/>
      <x:c r="U1781" s="20"/>
      <x:c r="V1781" s="20"/>
      <x:c r="W1781" s="20"/>
      <x:c r="X1781" s="20"/>
      <x:c r="Y1781" s="21"/>
    </x:row>
    <x:row r="1782">
      <x:c r="A1782" s="19"/>
      <x:c r="B1782" s="27"/>
      <x:c r="C1782" s="20"/>
      <x:c r="D1782" s="28"/>
      <x:c r="E1782" s="20"/>
      <x:c r="F1782" s="25"/>
      <x:c r="G1782" s="20"/>
      <x:c r="H1782" s="20"/>
      <x:c r="I1782" s="20"/>
      <x:c r="J1782" s="20"/>
      <x:c r="K1782" s="20"/>
      <x:c r="L1782" s="20"/>
      <x:c r="M1782" s="20"/>
      <x:c r="N1782" s="20"/>
      <x:c r="O1782" s="20"/>
      <x:c r="P1782" s="20"/>
      <x:c r="Q1782" s="20"/>
      <x:c r="R1782" s="20"/>
      <x:c r="S1782" s="20"/>
      <x:c r="T1782" s="20"/>
      <x:c r="U1782" s="20"/>
      <x:c r="V1782" s="20"/>
      <x:c r="W1782" s="20"/>
      <x:c r="X1782" s="20"/>
      <x:c r="Y1782" s="21"/>
    </x:row>
    <x:row r="1783">
      <x:c r="A1783" s="19"/>
      <x:c r="B1783" s="27"/>
      <x:c r="C1783" s="20"/>
      <x:c r="D1783" s="28"/>
      <x:c r="E1783" s="20"/>
      <x:c r="F1783" s="25"/>
      <x:c r="G1783" s="20"/>
      <x:c r="H1783" s="20"/>
      <x:c r="I1783" s="20"/>
      <x:c r="J1783" s="20"/>
      <x:c r="K1783" s="20"/>
      <x:c r="L1783" s="20"/>
      <x:c r="M1783" s="20"/>
      <x:c r="N1783" s="20"/>
      <x:c r="O1783" s="20"/>
      <x:c r="P1783" s="20"/>
      <x:c r="Q1783" s="20"/>
      <x:c r="R1783" s="20"/>
      <x:c r="S1783" s="20"/>
      <x:c r="T1783" s="20"/>
      <x:c r="U1783" s="20"/>
      <x:c r="V1783" s="20"/>
      <x:c r="W1783" s="20"/>
      <x:c r="X1783" s="20"/>
      <x:c r="Y1783" s="21"/>
    </x:row>
    <x:row r="1784">
      <x:c r="A1784" s="19"/>
      <x:c r="B1784" s="27"/>
      <x:c r="C1784" s="20"/>
      <x:c r="D1784" s="28"/>
      <x:c r="E1784" s="20"/>
      <x:c r="F1784" s="25"/>
      <x:c r="G1784" s="20"/>
      <x:c r="H1784" s="20"/>
      <x:c r="I1784" s="20"/>
      <x:c r="J1784" s="20"/>
      <x:c r="K1784" s="20"/>
      <x:c r="L1784" s="20"/>
      <x:c r="M1784" s="20"/>
      <x:c r="N1784" s="20"/>
      <x:c r="O1784" s="20"/>
      <x:c r="P1784" s="20"/>
      <x:c r="Q1784" s="20"/>
      <x:c r="R1784" s="20"/>
      <x:c r="S1784" s="20"/>
      <x:c r="T1784" s="20"/>
      <x:c r="U1784" s="20"/>
      <x:c r="V1784" s="20"/>
      <x:c r="W1784" s="20"/>
      <x:c r="X1784" s="20"/>
      <x:c r="Y1784" s="21"/>
    </x:row>
    <x:row r="1785">
      <x:c r="A1785" s="19"/>
      <x:c r="B1785" s="27"/>
      <x:c r="C1785" s="20"/>
      <x:c r="D1785" s="28"/>
      <x:c r="E1785" s="20"/>
      <x:c r="F1785" s="25"/>
      <x:c r="G1785" s="20"/>
      <x:c r="H1785" s="20"/>
      <x:c r="I1785" s="20"/>
      <x:c r="J1785" s="20"/>
      <x:c r="K1785" s="20"/>
      <x:c r="L1785" s="20"/>
      <x:c r="M1785" s="20"/>
      <x:c r="N1785" s="20"/>
      <x:c r="O1785" s="20"/>
      <x:c r="P1785" s="20"/>
      <x:c r="Q1785" s="20"/>
      <x:c r="R1785" s="20"/>
      <x:c r="S1785" s="20"/>
      <x:c r="T1785" s="20"/>
      <x:c r="U1785" s="20"/>
      <x:c r="V1785" s="20"/>
      <x:c r="W1785" s="20"/>
      <x:c r="X1785" s="20"/>
      <x:c r="Y1785" s="21"/>
    </x:row>
    <x:row r="1786">
      <x:c r="A1786" s="19"/>
      <x:c r="B1786" s="27"/>
      <x:c r="C1786" s="20"/>
      <x:c r="D1786" s="28"/>
      <x:c r="E1786" s="20"/>
      <x:c r="F1786" s="25"/>
      <x:c r="G1786" s="20"/>
      <x:c r="H1786" s="20"/>
      <x:c r="I1786" s="20"/>
      <x:c r="J1786" s="20"/>
      <x:c r="K1786" s="20"/>
      <x:c r="L1786" s="20"/>
      <x:c r="M1786" s="20"/>
      <x:c r="N1786" s="20"/>
      <x:c r="O1786" s="20"/>
      <x:c r="P1786" s="20"/>
      <x:c r="Q1786" s="20"/>
      <x:c r="R1786" s="20"/>
      <x:c r="S1786" s="20"/>
      <x:c r="T1786" s="20"/>
      <x:c r="U1786" s="20"/>
      <x:c r="V1786" s="20"/>
      <x:c r="W1786" s="20"/>
      <x:c r="X1786" s="20"/>
      <x:c r="Y1786" s="21"/>
    </x:row>
    <x:row r="1787">
      <x:c r="A1787" s="19"/>
      <x:c r="B1787" s="27"/>
      <x:c r="C1787" s="20"/>
      <x:c r="D1787" s="28"/>
      <x:c r="E1787" s="20"/>
      <x:c r="F1787" s="25"/>
      <x:c r="G1787" s="20"/>
      <x:c r="H1787" s="20"/>
      <x:c r="I1787" s="20"/>
      <x:c r="J1787" s="20"/>
      <x:c r="K1787" s="20"/>
      <x:c r="L1787" s="20"/>
      <x:c r="M1787" s="20"/>
      <x:c r="N1787" s="20"/>
      <x:c r="O1787" s="20"/>
      <x:c r="P1787" s="20"/>
      <x:c r="Q1787" s="20"/>
      <x:c r="R1787" s="20"/>
      <x:c r="S1787" s="20"/>
      <x:c r="T1787" s="20"/>
      <x:c r="U1787" s="20"/>
      <x:c r="V1787" s="20"/>
      <x:c r="W1787" s="20"/>
      <x:c r="X1787" s="20"/>
      <x:c r="Y1787" s="21"/>
    </x:row>
    <x:row r="1788">
      <x:c r="A1788" s="19"/>
      <x:c r="B1788" s="27"/>
      <x:c r="C1788" s="20"/>
      <x:c r="D1788" s="28"/>
      <x:c r="E1788" s="20"/>
      <x:c r="F1788" s="25"/>
      <x:c r="G1788" s="20"/>
      <x:c r="H1788" s="20"/>
      <x:c r="I1788" s="20"/>
      <x:c r="J1788" s="20"/>
      <x:c r="K1788" s="20"/>
      <x:c r="L1788" s="20"/>
      <x:c r="M1788" s="20"/>
      <x:c r="N1788" s="20"/>
      <x:c r="O1788" s="20"/>
      <x:c r="P1788" s="20"/>
      <x:c r="Q1788" s="20"/>
      <x:c r="R1788" s="20"/>
      <x:c r="S1788" s="20"/>
      <x:c r="T1788" s="20"/>
      <x:c r="U1788" s="20"/>
      <x:c r="V1788" s="20"/>
      <x:c r="W1788" s="20"/>
      <x:c r="X1788" s="20"/>
      <x:c r="Y1788" s="21"/>
    </x:row>
    <x:row r="1789">
      <x:c r="A1789" s="19"/>
      <x:c r="B1789" s="27"/>
      <x:c r="C1789" s="20"/>
      <x:c r="D1789" s="28"/>
      <x:c r="E1789" s="20"/>
      <x:c r="F1789" s="25"/>
      <x:c r="G1789" s="20"/>
      <x:c r="H1789" s="20"/>
      <x:c r="I1789" s="20"/>
      <x:c r="J1789" s="20"/>
      <x:c r="K1789" s="20"/>
      <x:c r="L1789" s="20"/>
      <x:c r="M1789" s="20"/>
      <x:c r="N1789" s="20"/>
      <x:c r="O1789" s="20"/>
      <x:c r="P1789" s="20"/>
      <x:c r="Q1789" s="20"/>
      <x:c r="R1789" s="20"/>
      <x:c r="S1789" s="20"/>
      <x:c r="T1789" s="20"/>
      <x:c r="U1789" s="20"/>
      <x:c r="V1789" s="20"/>
      <x:c r="W1789" s="20"/>
      <x:c r="X1789" s="20"/>
      <x:c r="Y1789" s="21"/>
    </x:row>
    <x:row r="1790">
      <x:c r="A1790" s="19"/>
      <x:c r="B1790" s="27"/>
      <x:c r="C1790" s="20"/>
      <x:c r="D1790" s="28"/>
      <x:c r="E1790" s="20"/>
      <x:c r="F1790" s="25"/>
      <x:c r="G1790" s="20"/>
      <x:c r="H1790" s="20"/>
      <x:c r="I1790" s="20"/>
      <x:c r="J1790" s="20"/>
      <x:c r="K1790" s="20"/>
      <x:c r="L1790" s="20"/>
      <x:c r="M1790" s="20"/>
      <x:c r="N1790" s="20"/>
      <x:c r="O1790" s="20"/>
      <x:c r="P1790" s="20"/>
      <x:c r="Q1790" s="20"/>
      <x:c r="R1790" s="20"/>
      <x:c r="S1790" s="20"/>
      <x:c r="T1790" s="20"/>
      <x:c r="U1790" s="20"/>
      <x:c r="V1790" s="20"/>
      <x:c r="W1790" s="20"/>
      <x:c r="X1790" s="20"/>
      <x:c r="Y1790" s="21"/>
    </x:row>
    <x:row r="1791">
      <x:c r="A1791" s="19"/>
      <x:c r="B1791" s="27"/>
      <x:c r="C1791" s="20"/>
      <x:c r="D1791" s="28"/>
      <x:c r="E1791" s="20"/>
      <x:c r="F1791" s="25"/>
      <x:c r="G1791" s="20"/>
      <x:c r="H1791" s="20"/>
      <x:c r="I1791" s="20"/>
      <x:c r="J1791" s="20"/>
      <x:c r="K1791" s="20"/>
      <x:c r="L1791" s="20"/>
      <x:c r="M1791" s="20"/>
      <x:c r="N1791" s="20"/>
      <x:c r="O1791" s="20"/>
      <x:c r="P1791" s="20"/>
      <x:c r="Q1791" s="20"/>
      <x:c r="R1791" s="20"/>
      <x:c r="S1791" s="20"/>
      <x:c r="T1791" s="20"/>
      <x:c r="U1791" s="20"/>
      <x:c r="V1791" s="20"/>
      <x:c r="W1791" s="20"/>
      <x:c r="X1791" s="20"/>
      <x:c r="Y1791" s="21"/>
    </x:row>
    <x:row r="1792">
      <x:c r="A1792" s="19"/>
      <x:c r="B1792" s="27"/>
      <x:c r="C1792" s="20"/>
      <x:c r="D1792" s="28"/>
      <x:c r="E1792" s="20"/>
      <x:c r="F1792" s="25"/>
      <x:c r="G1792" s="20"/>
      <x:c r="H1792" s="20"/>
      <x:c r="I1792" s="20"/>
      <x:c r="J1792" s="20"/>
      <x:c r="K1792" s="20"/>
      <x:c r="L1792" s="20"/>
      <x:c r="M1792" s="20"/>
      <x:c r="N1792" s="20"/>
      <x:c r="O1792" s="20"/>
      <x:c r="P1792" s="20"/>
      <x:c r="Q1792" s="20"/>
      <x:c r="R1792" s="20"/>
      <x:c r="S1792" s="20"/>
      <x:c r="T1792" s="20"/>
      <x:c r="U1792" s="20"/>
      <x:c r="V1792" s="20"/>
      <x:c r="W1792" s="20"/>
      <x:c r="X1792" s="20"/>
      <x:c r="Y1792" s="21"/>
    </x:row>
    <x:row r="1793">
      <x:c r="A1793" s="19"/>
      <x:c r="B1793" s="27"/>
      <x:c r="C1793" s="20"/>
      <x:c r="D1793" s="28"/>
      <x:c r="E1793" s="20"/>
      <x:c r="F1793" s="25"/>
      <x:c r="G1793" s="20"/>
      <x:c r="H1793" s="20"/>
      <x:c r="I1793" s="20"/>
      <x:c r="J1793" s="20"/>
      <x:c r="K1793" s="20"/>
      <x:c r="L1793" s="20"/>
      <x:c r="M1793" s="20"/>
      <x:c r="N1793" s="20"/>
      <x:c r="O1793" s="20"/>
      <x:c r="P1793" s="20"/>
      <x:c r="Q1793" s="20"/>
      <x:c r="R1793" s="20"/>
      <x:c r="S1793" s="20"/>
      <x:c r="T1793" s="20"/>
      <x:c r="U1793" s="20"/>
      <x:c r="V1793" s="20"/>
      <x:c r="W1793" s="20"/>
      <x:c r="X1793" s="20"/>
      <x:c r="Y1793" s="21"/>
    </x:row>
    <x:row r="1794">
      <x:c r="A1794" s="19"/>
      <x:c r="B1794" s="27"/>
      <x:c r="C1794" s="20"/>
      <x:c r="D1794" s="28"/>
      <x:c r="E1794" s="20"/>
      <x:c r="F1794" s="25"/>
      <x:c r="G1794" s="20"/>
      <x:c r="H1794" s="20"/>
      <x:c r="I1794" s="20"/>
      <x:c r="J1794" s="20"/>
      <x:c r="K1794" s="20"/>
      <x:c r="L1794" s="20"/>
      <x:c r="M1794" s="20"/>
      <x:c r="N1794" s="20"/>
      <x:c r="O1794" s="20"/>
      <x:c r="P1794" s="20"/>
      <x:c r="Q1794" s="20"/>
      <x:c r="R1794" s="20"/>
      <x:c r="S1794" s="20"/>
      <x:c r="T1794" s="20"/>
      <x:c r="U1794" s="20"/>
      <x:c r="V1794" s="20"/>
      <x:c r="W1794" s="20"/>
      <x:c r="X1794" s="20"/>
      <x:c r="Y1794" s="21"/>
    </x:row>
    <x:row r="1795">
      <x:c r="A1795" s="19"/>
      <x:c r="B1795" s="27"/>
      <x:c r="C1795" s="20"/>
      <x:c r="D1795" s="28"/>
      <x:c r="E1795" s="20"/>
      <x:c r="F1795" s="25"/>
      <x:c r="G1795" s="20"/>
      <x:c r="H1795" s="20"/>
      <x:c r="I1795" s="20"/>
      <x:c r="J1795" s="20"/>
      <x:c r="K1795" s="20"/>
      <x:c r="L1795" s="20"/>
      <x:c r="M1795" s="20"/>
      <x:c r="N1795" s="20"/>
      <x:c r="O1795" s="20"/>
      <x:c r="P1795" s="20"/>
      <x:c r="Q1795" s="20"/>
      <x:c r="R1795" s="20"/>
      <x:c r="S1795" s="20"/>
      <x:c r="T1795" s="20"/>
      <x:c r="U1795" s="20"/>
      <x:c r="V1795" s="20"/>
      <x:c r="W1795" s="20"/>
      <x:c r="X1795" s="20"/>
      <x:c r="Y1795" s="21"/>
    </x:row>
    <x:row r="1796">
      <x:c r="A1796" s="19"/>
      <x:c r="B1796" s="27"/>
      <x:c r="C1796" s="20"/>
      <x:c r="D1796" s="28"/>
      <x:c r="E1796" s="20"/>
      <x:c r="F1796" s="25"/>
      <x:c r="G1796" s="20"/>
      <x:c r="H1796" s="20"/>
      <x:c r="I1796" s="20"/>
      <x:c r="J1796" s="20"/>
      <x:c r="K1796" s="20"/>
      <x:c r="L1796" s="20"/>
      <x:c r="M1796" s="20"/>
      <x:c r="N1796" s="20"/>
      <x:c r="O1796" s="20"/>
      <x:c r="P1796" s="20"/>
      <x:c r="Q1796" s="20"/>
      <x:c r="R1796" s="20"/>
      <x:c r="S1796" s="20"/>
      <x:c r="T1796" s="20"/>
      <x:c r="U1796" s="20"/>
      <x:c r="V1796" s="20"/>
      <x:c r="W1796" s="20"/>
      <x:c r="X1796" s="20"/>
      <x:c r="Y1796" s="21"/>
    </x:row>
    <x:row r="1797">
      <x:c r="A1797" s="19"/>
      <x:c r="B1797" s="27"/>
      <x:c r="C1797" s="20"/>
      <x:c r="D1797" s="28"/>
      <x:c r="E1797" s="20"/>
      <x:c r="F1797" s="25"/>
      <x:c r="G1797" s="20"/>
      <x:c r="H1797" s="20"/>
      <x:c r="I1797" s="20"/>
      <x:c r="J1797" s="20"/>
      <x:c r="K1797" s="20"/>
      <x:c r="L1797" s="20"/>
      <x:c r="M1797" s="20"/>
      <x:c r="N1797" s="20"/>
      <x:c r="O1797" s="20"/>
      <x:c r="P1797" s="20"/>
      <x:c r="Q1797" s="20"/>
      <x:c r="R1797" s="20"/>
      <x:c r="S1797" s="20"/>
      <x:c r="T1797" s="20"/>
      <x:c r="U1797" s="20"/>
      <x:c r="V1797" s="20"/>
      <x:c r="W1797" s="20"/>
      <x:c r="X1797" s="20"/>
      <x:c r="Y1797" s="21"/>
    </x:row>
    <x:row r="1798">
      <x:c r="A1798" s="19"/>
      <x:c r="B1798" s="27"/>
      <x:c r="C1798" s="20"/>
      <x:c r="D1798" s="28"/>
      <x:c r="E1798" s="20"/>
      <x:c r="F1798" s="25"/>
      <x:c r="G1798" s="20"/>
      <x:c r="H1798" s="20"/>
      <x:c r="I1798" s="20"/>
      <x:c r="J1798" s="20"/>
      <x:c r="K1798" s="20"/>
      <x:c r="L1798" s="20"/>
      <x:c r="M1798" s="20"/>
      <x:c r="N1798" s="20"/>
      <x:c r="O1798" s="20"/>
      <x:c r="P1798" s="20"/>
      <x:c r="Q1798" s="20"/>
      <x:c r="R1798" s="20"/>
      <x:c r="S1798" s="20"/>
      <x:c r="T1798" s="20"/>
      <x:c r="U1798" s="20"/>
      <x:c r="V1798" s="20"/>
      <x:c r="W1798" s="20"/>
      <x:c r="X1798" s="20"/>
      <x:c r="Y1798" s="21"/>
    </x:row>
    <x:row r="1799">
      <x:c r="A1799" s="19"/>
      <x:c r="B1799" s="27"/>
      <x:c r="C1799" s="20"/>
      <x:c r="D1799" s="28"/>
      <x:c r="E1799" s="20"/>
      <x:c r="F1799" s="25"/>
      <x:c r="G1799" s="20"/>
      <x:c r="H1799" s="20"/>
      <x:c r="I1799" s="20"/>
      <x:c r="J1799" s="20"/>
      <x:c r="K1799" s="20"/>
      <x:c r="L1799" s="20"/>
      <x:c r="M1799" s="20"/>
      <x:c r="N1799" s="20"/>
      <x:c r="O1799" s="20"/>
      <x:c r="P1799" s="20"/>
      <x:c r="Q1799" s="20"/>
      <x:c r="R1799" s="20"/>
      <x:c r="S1799" s="20"/>
      <x:c r="T1799" s="20"/>
      <x:c r="U1799" s="20"/>
      <x:c r="V1799" s="20"/>
      <x:c r="W1799" s="20"/>
      <x:c r="X1799" s="20"/>
      <x:c r="Y1799" s="21"/>
    </x:row>
    <x:row r="1800">
      <x:c r="A1800" s="19"/>
      <x:c r="B1800" s="27"/>
      <x:c r="C1800" s="20"/>
      <x:c r="D1800" s="28"/>
      <x:c r="E1800" s="20"/>
      <x:c r="F1800" s="25"/>
      <x:c r="G1800" s="20"/>
      <x:c r="H1800" s="20"/>
      <x:c r="I1800" s="20"/>
      <x:c r="J1800" s="20"/>
      <x:c r="K1800" s="20"/>
      <x:c r="L1800" s="20"/>
      <x:c r="M1800" s="20"/>
      <x:c r="N1800" s="20"/>
      <x:c r="O1800" s="20"/>
      <x:c r="P1800" s="20"/>
      <x:c r="Q1800" s="20"/>
      <x:c r="R1800" s="20"/>
      <x:c r="S1800" s="20"/>
      <x:c r="T1800" s="20"/>
      <x:c r="U1800" s="20"/>
      <x:c r="V1800" s="20"/>
      <x:c r="W1800" s="20"/>
      <x:c r="X1800" s="20"/>
      <x:c r="Y1800" s="21"/>
    </x:row>
    <x:row r="1801">
      <x:c r="A1801" s="19"/>
      <x:c r="B1801" s="27"/>
      <x:c r="C1801" s="20"/>
      <x:c r="D1801" s="28"/>
      <x:c r="E1801" s="20"/>
      <x:c r="F1801" s="25"/>
      <x:c r="G1801" s="20"/>
      <x:c r="H1801" s="20"/>
      <x:c r="I1801" s="20"/>
      <x:c r="J1801" s="20"/>
      <x:c r="K1801" s="20"/>
      <x:c r="L1801" s="20"/>
      <x:c r="M1801" s="20"/>
      <x:c r="N1801" s="20"/>
      <x:c r="O1801" s="20"/>
      <x:c r="P1801" s="20"/>
      <x:c r="Q1801" s="20"/>
      <x:c r="R1801" s="20"/>
      <x:c r="S1801" s="20"/>
      <x:c r="T1801" s="20"/>
      <x:c r="U1801" s="20"/>
      <x:c r="V1801" s="20"/>
      <x:c r="W1801" s="20"/>
      <x:c r="X1801" s="20"/>
      <x:c r="Y1801" s="21"/>
    </x:row>
    <x:row r="1802">
      <x:c r="A1802" s="19"/>
      <x:c r="B1802" s="27"/>
      <x:c r="C1802" s="20"/>
      <x:c r="D1802" s="28"/>
      <x:c r="E1802" s="20"/>
      <x:c r="F1802" s="25"/>
      <x:c r="G1802" s="20"/>
      <x:c r="H1802" s="20"/>
      <x:c r="I1802" s="20"/>
      <x:c r="J1802" s="20"/>
      <x:c r="K1802" s="20"/>
      <x:c r="L1802" s="20"/>
      <x:c r="M1802" s="20"/>
      <x:c r="N1802" s="20"/>
      <x:c r="O1802" s="20"/>
      <x:c r="P1802" s="20"/>
      <x:c r="Q1802" s="20"/>
      <x:c r="R1802" s="20"/>
      <x:c r="S1802" s="20"/>
      <x:c r="T1802" s="20"/>
      <x:c r="U1802" s="20"/>
      <x:c r="V1802" s="20"/>
      <x:c r="W1802" s="20"/>
      <x:c r="X1802" s="20"/>
      <x:c r="Y1802" s="21"/>
    </x:row>
    <x:row r="1803">
      <x:c r="A1803" s="19"/>
      <x:c r="B1803" s="27"/>
      <x:c r="C1803" s="20"/>
      <x:c r="D1803" s="28"/>
      <x:c r="E1803" s="20"/>
      <x:c r="F1803" s="25"/>
      <x:c r="G1803" s="20"/>
      <x:c r="H1803" s="20"/>
      <x:c r="I1803" s="20"/>
      <x:c r="J1803" s="20"/>
      <x:c r="K1803" s="20"/>
      <x:c r="L1803" s="20"/>
      <x:c r="M1803" s="20"/>
      <x:c r="N1803" s="20"/>
      <x:c r="O1803" s="20"/>
      <x:c r="P1803" s="20"/>
      <x:c r="Q1803" s="20"/>
      <x:c r="R1803" s="20"/>
      <x:c r="S1803" s="20"/>
      <x:c r="T1803" s="20"/>
      <x:c r="U1803" s="20"/>
      <x:c r="V1803" s="20"/>
      <x:c r="W1803" s="20"/>
      <x:c r="X1803" s="20"/>
      <x:c r="Y1803" s="21"/>
    </x:row>
    <x:row r="1804">
      <x:c r="A1804" s="19"/>
      <x:c r="B1804" s="27"/>
      <x:c r="C1804" s="20"/>
      <x:c r="D1804" s="28"/>
      <x:c r="E1804" s="20"/>
      <x:c r="F1804" s="25"/>
      <x:c r="G1804" s="20"/>
      <x:c r="H1804" s="20"/>
      <x:c r="I1804" s="20"/>
      <x:c r="J1804" s="20"/>
      <x:c r="K1804" s="20"/>
      <x:c r="L1804" s="20"/>
      <x:c r="M1804" s="20"/>
      <x:c r="N1804" s="20"/>
      <x:c r="O1804" s="20"/>
      <x:c r="P1804" s="20"/>
      <x:c r="Q1804" s="20"/>
      <x:c r="R1804" s="20"/>
      <x:c r="S1804" s="20"/>
      <x:c r="T1804" s="20"/>
      <x:c r="U1804" s="20"/>
      <x:c r="V1804" s="20"/>
      <x:c r="W1804" s="20"/>
      <x:c r="X1804" s="20"/>
      <x:c r="Y1804" s="21"/>
    </x:row>
    <x:row r="1805">
      <x:c r="A1805" s="19"/>
      <x:c r="B1805" s="27"/>
      <x:c r="C1805" s="20"/>
      <x:c r="D1805" s="28"/>
      <x:c r="E1805" s="20"/>
      <x:c r="F1805" s="25"/>
      <x:c r="G1805" s="20"/>
      <x:c r="H1805" s="20"/>
      <x:c r="I1805" s="20"/>
      <x:c r="J1805" s="20"/>
      <x:c r="K1805" s="20"/>
      <x:c r="L1805" s="20"/>
      <x:c r="M1805" s="20"/>
      <x:c r="N1805" s="20"/>
      <x:c r="O1805" s="20"/>
      <x:c r="P1805" s="20"/>
      <x:c r="Q1805" s="20"/>
      <x:c r="R1805" s="20"/>
      <x:c r="S1805" s="20"/>
      <x:c r="T1805" s="20"/>
      <x:c r="U1805" s="20"/>
      <x:c r="V1805" s="20"/>
      <x:c r="W1805" s="20"/>
      <x:c r="X1805" s="20"/>
      <x:c r="Y1805" s="21"/>
    </x:row>
    <x:row r="1806">
      <x:c r="A1806" s="19"/>
      <x:c r="B1806" s="27"/>
      <x:c r="C1806" s="20"/>
      <x:c r="D1806" s="28"/>
      <x:c r="E1806" s="20"/>
      <x:c r="F1806" s="25"/>
      <x:c r="G1806" s="20"/>
      <x:c r="H1806" s="20"/>
      <x:c r="I1806" s="20"/>
      <x:c r="J1806" s="20"/>
      <x:c r="K1806" s="20"/>
      <x:c r="L1806" s="20"/>
      <x:c r="M1806" s="20"/>
      <x:c r="N1806" s="20"/>
      <x:c r="O1806" s="20"/>
      <x:c r="P1806" s="20"/>
      <x:c r="Q1806" s="20"/>
      <x:c r="R1806" s="20"/>
      <x:c r="S1806" s="20"/>
      <x:c r="T1806" s="20"/>
      <x:c r="U1806" s="20"/>
      <x:c r="V1806" s="20"/>
      <x:c r="W1806" s="20"/>
      <x:c r="X1806" s="20"/>
      <x:c r="Y1806" s="21"/>
    </x:row>
    <x:row r="1807">
      <x:c r="A1807" s="19"/>
      <x:c r="B1807" s="27"/>
      <x:c r="C1807" s="20"/>
      <x:c r="D1807" s="28"/>
      <x:c r="E1807" s="20"/>
      <x:c r="F1807" s="25"/>
      <x:c r="G1807" s="20"/>
      <x:c r="H1807" s="20"/>
      <x:c r="I1807" s="20"/>
      <x:c r="J1807" s="20"/>
      <x:c r="K1807" s="20"/>
      <x:c r="L1807" s="20"/>
      <x:c r="M1807" s="20"/>
      <x:c r="N1807" s="20"/>
      <x:c r="O1807" s="20"/>
      <x:c r="P1807" s="20"/>
      <x:c r="Q1807" s="20"/>
      <x:c r="R1807" s="20"/>
      <x:c r="S1807" s="20"/>
      <x:c r="T1807" s="20"/>
      <x:c r="U1807" s="20"/>
      <x:c r="V1807" s="20"/>
      <x:c r="W1807" s="20"/>
      <x:c r="X1807" s="20"/>
      <x:c r="Y1807" s="21"/>
    </x:row>
    <x:row r="1808">
      <x:c r="A1808" s="19"/>
      <x:c r="B1808" s="27"/>
      <x:c r="C1808" s="20"/>
      <x:c r="D1808" s="28"/>
      <x:c r="E1808" s="20"/>
      <x:c r="F1808" s="25"/>
      <x:c r="G1808" s="20"/>
      <x:c r="H1808" s="20"/>
      <x:c r="I1808" s="20"/>
      <x:c r="J1808" s="20"/>
      <x:c r="K1808" s="20"/>
      <x:c r="L1808" s="20"/>
      <x:c r="M1808" s="20"/>
      <x:c r="N1808" s="20"/>
      <x:c r="O1808" s="20"/>
      <x:c r="P1808" s="20"/>
      <x:c r="Q1808" s="20"/>
      <x:c r="R1808" s="20"/>
      <x:c r="S1808" s="20"/>
      <x:c r="T1808" s="20"/>
      <x:c r="U1808" s="20"/>
      <x:c r="V1808" s="20"/>
      <x:c r="W1808" s="20"/>
      <x:c r="X1808" s="20"/>
      <x:c r="Y1808" s="21"/>
    </x:row>
    <x:row r="1809">
      <x:c r="A1809" s="19"/>
      <x:c r="B1809" s="27"/>
      <x:c r="C1809" s="20"/>
      <x:c r="D1809" s="28"/>
      <x:c r="E1809" s="20"/>
      <x:c r="F1809" s="25"/>
      <x:c r="G1809" s="20"/>
      <x:c r="H1809" s="20"/>
      <x:c r="I1809" s="20"/>
      <x:c r="J1809" s="20"/>
      <x:c r="K1809" s="20"/>
      <x:c r="L1809" s="20"/>
      <x:c r="M1809" s="20"/>
      <x:c r="N1809" s="20"/>
      <x:c r="O1809" s="20"/>
      <x:c r="P1809" s="20"/>
      <x:c r="Q1809" s="20"/>
      <x:c r="R1809" s="20"/>
      <x:c r="S1809" s="20"/>
      <x:c r="T1809" s="20"/>
      <x:c r="U1809" s="20"/>
      <x:c r="V1809" s="20"/>
      <x:c r="W1809" s="20"/>
      <x:c r="X1809" s="20"/>
      <x:c r="Y1809" s="21"/>
    </x:row>
    <x:row r="1810">
      <x:c r="A1810" s="19"/>
      <x:c r="B1810" s="27"/>
      <x:c r="C1810" s="20"/>
      <x:c r="D1810" s="28"/>
      <x:c r="E1810" s="20"/>
      <x:c r="F1810" s="25"/>
      <x:c r="G1810" s="20"/>
      <x:c r="H1810" s="20"/>
      <x:c r="I1810" s="20"/>
      <x:c r="J1810" s="20"/>
      <x:c r="K1810" s="20"/>
      <x:c r="L1810" s="20"/>
      <x:c r="M1810" s="20"/>
      <x:c r="N1810" s="20"/>
      <x:c r="O1810" s="20"/>
      <x:c r="P1810" s="20"/>
      <x:c r="Q1810" s="20"/>
      <x:c r="R1810" s="20"/>
      <x:c r="S1810" s="20"/>
      <x:c r="T1810" s="20"/>
      <x:c r="U1810" s="20"/>
      <x:c r="V1810" s="20"/>
      <x:c r="W1810" s="20"/>
      <x:c r="X1810" s="20"/>
      <x:c r="Y1810" s="21"/>
    </x:row>
    <x:row r="1811">
      <x:c r="A1811" s="19"/>
      <x:c r="B1811" s="27"/>
      <x:c r="C1811" s="20"/>
      <x:c r="D1811" s="28"/>
      <x:c r="E1811" s="20"/>
      <x:c r="F1811" s="25"/>
      <x:c r="G1811" s="20"/>
      <x:c r="H1811" s="20"/>
      <x:c r="I1811" s="20"/>
      <x:c r="J1811" s="20"/>
      <x:c r="K1811" s="20"/>
      <x:c r="L1811" s="20"/>
      <x:c r="M1811" s="20"/>
      <x:c r="N1811" s="20"/>
      <x:c r="O1811" s="20"/>
      <x:c r="P1811" s="20"/>
      <x:c r="Q1811" s="20"/>
      <x:c r="R1811" s="20"/>
      <x:c r="S1811" s="20"/>
      <x:c r="T1811" s="20"/>
      <x:c r="U1811" s="20"/>
      <x:c r="V1811" s="20"/>
      <x:c r="W1811" s="20"/>
      <x:c r="X1811" s="20"/>
      <x:c r="Y1811" s="21"/>
    </x:row>
    <x:row r="1812">
      <x:c r="A1812" s="19"/>
      <x:c r="B1812" s="27"/>
      <x:c r="C1812" s="20"/>
      <x:c r="D1812" s="28"/>
      <x:c r="E1812" s="20"/>
      <x:c r="F1812" s="25"/>
      <x:c r="G1812" s="20"/>
      <x:c r="H1812" s="20"/>
      <x:c r="I1812" s="20"/>
      <x:c r="J1812" s="20"/>
      <x:c r="K1812" s="20"/>
      <x:c r="L1812" s="20"/>
      <x:c r="M1812" s="20"/>
      <x:c r="N1812" s="20"/>
      <x:c r="O1812" s="20"/>
      <x:c r="P1812" s="20"/>
      <x:c r="Q1812" s="20"/>
      <x:c r="R1812" s="20"/>
      <x:c r="S1812" s="20"/>
      <x:c r="T1812" s="20"/>
      <x:c r="U1812" s="20"/>
      <x:c r="V1812" s="20"/>
      <x:c r="W1812" s="20"/>
      <x:c r="X1812" s="20"/>
      <x:c r="Y1812" s="21"/>
    </x:row>
    <x:row r="1813">
      <x:c r="A1813" s="19"/>
      <x:c r="B1813" s="27"/>
      <x:c r="C1813" s="20"/>
      <x:c r="D1813" s="28"/>
      <x:c r="E1813" s="20"/>
      <x:c r="F1813" s="25"/>
      <x:c r="G1813" s="20"/>
      <x:c r="H1813" s="20"/>
      <x:c r="I1813" s="20"/>
      <x:c r="J1813" s="20"/>
      <x:c r="K1813" s="20"/>
      <x:c r="L1813" s="20"/>
      <x:c r="M1813" s="20"/>
      <x:c r="N1813" s="20"/>
      <x:c r="O1813" s="20"/>
      <x:c r="P1813" s="20"/>
      <x:c r="Q1813" s="20"/>
      <x:c r="R1813" s="20"/>
      <x:c r="S1813" s="20"/>
      <x:c r="T1813" s="20"/>
      <x:c r="U1813" s="20"/>
      <x:c r="V1813" s="20"/>
      <x:c r="W1813" s="20"/>
      <x:c r="X1813" s="20"/>
      <x:c r="Y1813" s="21"/>
    </x:row>
    <x:row r="1814">
      <x:c r="A1814" s="19"/>
      <x:c r="B1814" s="27"/>
      <x:c r="C1814" s="20"/>
      <x:c r="D1814" s="28"/>
      <x:c r="E1814" s="20"/>
      <x:c r="F1814" s="25"/>
      <x:c r="G1814" s="20"/>
      <x:c r="H1814" s="20"/>
      <x:c r="I1814" s="20"/>
      <x:c r="J1814" s="20"/>
      <x:c r="K1814" s="20"/>
      <x:c r="L1814" s="20"/>
      <x:c r="M1814" s="20"/>
      <x:c r="N1814" s="20"/>
      <x:c r="O1814" s="20"/>
      <x:c r="P1814" s="20"/>
      <x:c r="Q1814" s="20"/>
      <x:c r="R1814" s="20"/>
      <x:c r="S1814" s="20"/>
      <x:c r="T1814" s="20"/>
      <x:c r="U1814" s="20"/>
      <x:c r="V1814" s="20"/>
      <x:c r="W1814" s="20"/>
      <x:c r="X1814" s="20"/>
      <x:c r="Y1814" s="21"/>
    </x:row>
    <x:row r="1815">
      <x:c r="A1815" s="19"/>
      <x:c r="B1815" s="27"/>
      <x:c r="C1815" s="20"/>
      <x:c r="D1815" s="28"/>
      <x:c r="E1815" s="20"/>
      <x:c r="F1815" s="25"/>
      <x:c r="G1815" s="20"/>
      <x:c r="H1815" s="20"/>
      <x:c r="I1815" s="20"/>
      <x:c r="J1815" s="20"/>
      <x:c r="K1815" s="20"/>
      <x:c r="L1815" s="20"/>
      <x:c r="M1815" s="20"/>
      <x:c r="N1815" s="20"/>
      <x:c r="O1815" s="20"/>
      <x:c r="P1815" s="20"/>
      <x:c r="Q1815" s="20"/>
      <x:c r="R1815" s="20"/>
      <x:c r="S1815" s="20"/>
      <x:c r="T1815" s="20"/>
      <x:c r="U1815" s="20"/>
      <x:c r="V1815" s="20"/>
      <x:c r="W1815" s="20"/>
      <x:c r="X1815" s="20"/>
      <x:c r="Y1815" s="21"/>
    </x:row>
    <x:row r="1816">
      <x:c r="A1816" s="19"/>
      <x:c r="B1816" s="27"/>
      <x:c r="C1816" s="20"/>
      <x:c r="D1816" s="28"/>
      <x:c r="E1816" s="20"/>
      <x:c r="F1816" s="25"/>
      <x:c r="G1816" s="20"/>
      <x:c r="H1816" s="20"/>
      <x:c r="I1816" s="20"/>
      <x:c r="J1816" s="20"/>
      <x:c r="K1816" s="20"/>
      <x:c r="L1816" s="20"/>
      <x:c r="M1816" s="20"/>
      <x:c r="N1816" s="20"/>
      <x:c r="O1816" s="20"/>
      <x:c r="P1816" s="20"/>
      <x:c r="Q1816" s="20"/>
      <x:c r="R1816" s="20"/>
      <x:c r="S1816" s="20"/>
      <x:c r="T1816" s="20"/>
      <x:c r="U1816" s="20"/>
      <x:c r="V1816" s="20"/>
      <x:c r="W1816" s="20"/>
      <x:c r="X1816" s="20"/>
      <x:c r="Y1816" s="21"/>
    </x:row>
    <x:row r="1817">
      <x:c r="A1817" s="19"/>
      <x:c r="B1817" s="27"/>
      <x:c r="C1817" s="20"/>
      <x:c r="D1817" s="28"/>
      <x:c r="E1817" s="20"/>
      <x:c r="F1817" s="25"/>
      <x:c r="G1817" s="20"/>
      <x:c r="H1817" s="20"/>
      <x:c r="I1817" s="20"/>
      <x:c r="J1817" s="20"/>
      <x:c r="K1817" s="20"/>
      <x:c r="L1817" s="20"/>
      <x:c r="M1817" s="20"/>
      <x:c r="N1817" s="20"/>
      <x:c r="O1817" s="20"/>
      <x:c r="P1817" s="20"/>
      <x:c r="Q1817" s="20"/>
      <x:c r="R1817" s="20"/>
      <x:c r="S1817" s="20"/>
      <x:c r="T1817" s="20"/>
      <x:c r="U1817" s="20"/>
      <x:c r="V1817" s="20"/>
      <x:c r="W1817" s="20"/>
      <x:c r="X1817" s="20"/>
      <x:c r="Y1817" s="21"/>
    </x:row>
    <x:row r="1818">
      <x:c r="A1818" s="19"/>
      <x:c r="B1818" s="27"/>
      <x:c r="C1818" s="20"/>
      <x:c r="D1818" s="28"/>
      <x:c r="E1818" s="20"/>
      <x:c r="F1818" s="25"/>
      <x:c r="G1818" s="20"/>
      <x:c r="H1818" s="20"/>
      <x:c r="I1818" s="20"/>
      <x:c r="J1818" s="20"/>
      <x:c r="K1818" s="20"/>
      <x:c r="L1818" s="20"/>
      <x:c r="M1818" s="20"/>
      <x:c r="N1818" s="20"/>
      <x:c r="O1818" s="20"/>
      <x:c r="P1818" s="20"/>
      <x:c r="Q1818" s="20"/>
      <x:c r="R1818" s="20"/>
      <x:c r="S1818" s="20"/>
      <x:c r="T1818" s="20"/>
      <x:c r="U1818" s="20"/>
      <x:c r="V1818" s="20"/>
      <x:c r="W1818" s="20"/>
      <x:c r="X1818" s="20"/>
      <x:c r="Y1818" s="21"/>
    </x:row>
    <x:row r="1819">
      <x:c r="A1819" s="19"/>
      <x:c r="B1819" s="27"/>
      <x:c r="C1819" s="20"/>
      <x:c r="D1819" s="28"/>
      <x:c r="E1819" s="20"/>
      <x:c r="F1819" s="25"/>
      <x:c r="G1819" s="20"/>
      <x:c r="H1819" s="20"/>
      <x:c r="I1819" s="20"/>
      <x:c r="J1819" s="20"/>
      <x:c r="K1819" s="20"/>
      <x:c r="L1819" s="20"/>
      <x:c r="M1819" s="20"/>
      <x:c r="N1819" s="20"/>
      <x:c r="O1819" s="20"/>
      <x:c r="P1819" s="20"/>
      <x:c r="Q1819" s="20"/>
      <x:c r="R1819" s="20"/>
      <x:c r="S1819" s="20"/>
      <x:c r="T1819" s="20"/>
      <x:c r="U1819" s="20"/>
      <x:c r="V1819" s="20"/>
      <x:c r="W1819" s="20"/>
      <x:c r="X1819" s="20"/>
      <x:c r="Y1819" s="21"/>
    </x:row>
    <x:row r="1820">
      <x:c r="A1820" s="19"/>
      <x:c r="B1820" s="27"/>
      <x:c r="C1820" s="20"/>
      <x:c r="D1820" s="28"/>
      <x:c r="E1820" s="20"/>
      <x:c r="F1820" s="25"/>
      <x:c r="G1820" s="20"/>
      <x:c r="H1820" s="20"/>
      <x:c r="I1820" s="20"/>
      <x:c r="J1820" s="20"/>
      <x:c r="K1820" s="20"/>
      <x:c r="L1820" s="20"/>
      <x:c r="M1820" s="20"/>
      <x:c r="N1820" s="20"/>
      <x:c r="O1820" s="20"/>
      <x:c r="P1820" s="20"/>
      <x:c r="Q1820" s="20"/>
      <x:c r="R1820" s="20"/>
      <x:c r="S1820" s="20"/>
      <x:c r="T1820" s="20"/>
      <x:c r="U1820" s="20"/>
      <x:c r="V1820" s="20"/>
      <x:c r="W1820" s="20"/>
      <x:c r="X1820" s="20"/>
      <x:c r="Y1820" s="21"/>
    </x:row>
    <x:row r="1821">
      <x:c r="A1821" s="19"/>
      <x:c r="B1821" s="27"/>
      <x:c r="C1821" s="20"/>
      <x:c r="D1821" s="28"/>
      <x:c r="E1821" s="20"/>
      <x:c r="F1821" s="25"/>
      <x:c r="G1821" s="20"/>
      <x:c r="H1821" s="20"/>
      <x:c r="I1821" s="20"/>
      <x:c r="J1821" s="20"/>
      <x:c r="K1821" s="20"/>
      <x:c r="L1821" s="20"/>
      <x:c r="M1821" s="20"/>
      <x:c r="N1821" s="20"/>
      <x:c r="O1821" s="20"/>
      <x:c r="P1821" s="20"/>
      <x:c r="Q1821" s="20"/>
      <x:c r="R1821" s="20"/>
      <x:c r="S1821" s="20"/>
      <x:c r="T1821" s="20"/>
      <x:c r="U1821" s="20"/>
      <x:c r="V1821" s="20"/>
      <x:c r="W1821" s="20"/>
      <x:c r="X1821" s="20"/>
      <x:c r="Y1821" s="21"/>
    </x:row>
    <x:row r="1822">
      <x:c r="A1822" s="19"/>
      <x:c r="B1822" s="27"/>
      <x:c r="C1822" s="20"/>
      <x:c r="D1822" s="28"/>
      <x:c r="E1822" s="20"/>
      <x:c r="F1822" s="25"/>
      <x:c r="G1822" s="20"/>
      <x:c r="H1822" s="20"/>
      <x:c r="I1822" s="20"/>
      <x:c r="J1822" s="20"/>
      <x:c r="K1822" s="20"/>
      <x:c r="L1822" s="20"/>
      <x:c r="M1822" s="20"/>
      <x:c r="N1822" s="20"/>
      <x:c r="O1822" s="20"/>
      <x:c r="P1822" s="20"/>
      <x:c r="Q1822" s="20"/>
      <x:c r="R1822" s="20"/>
      <x:c r="S1822" s="20"/>
      <x:c r="T1822" s="20"/>
      <x:c r="U1822" s="20"/>
      <x:c r="V1822" s="20"/>
      <x:c r="W1822" s="20"/>
      <x:c r="X1822" s="20"/>
      <x:c r="Y1822" s="21"/>
    </x:row>
    <x:row r="1823">
      <x:c r="A1823" s="19"/>
      <x:c r="B1823" s="27"/>
      <x:c r="C1823" s="20"/>
      <x:c r="D1823" s="28"/>
      <x:c r="E1823" s="20"/>
      <x:c r="F1823" s="25"/>
      <x:c r="G1823" s="20"/>
      <x:c r="H1823" s="20"/>
      <x:c r="I1823" s="20"/>
      <x:c r="J1823" s="20"/>
      <x:c r="K1823" s="20"/>
      <x:c r="L1823" s="20"/>
      <x:c r="M1823" s="20"/>
      <x:c r="N1823" s="20"/>
      <x:c r="O1823" s="20"/>
      <x:c r="P1823" s="20"/>
      <x:c r="Q1823" s="20"/>
      <x:c r="R1823" s="20"/>
      <x:c r="S1823" s="20"/>
      <x:c r="T1823" s="20"/>
      <x:c r="U1823" s="20"/>
      <x:c r="V1823" s="20"/>
      <x:c r="W1823" s="20"/>
      <x:c r="X1823" s="20"/>
      <x:c r="Y1823" s="21"/>
    </x:row>
    <x:row r="1824">
      <x:c r="A1824" s="19"/>
      <x:c r="B1824" s="27"/>
      <x:c r="C1824" s="20"/>
      <x:c r="D1824" s="28"/>
      <x:c r="E1824" s="20"/>
      <x:c r="F1824" s="25"/>
      <x:c r="G1824" s="20"/>
      <x:c r="H1824" s="20"/>
      <x:c r="I1824" s="20"/>
      <x:c r="J1824" s="20"/>
      <x:c r="K1824" s="20"/>
      <x:c r="L1824" s="20"/>
      <x:c r="M1824" s="20"/>
      <x:c r="N1824" s="20"/>
      <x:c r="O1824" s="20"/>
      <x:c r="P1824" s="20"/>
      <x:c r="Q1824" s="20"/>
      <x:c r="R1824" s="20"/>
      <x:c r="S1824" s="20"/>
      <x:c r="T1824" s="20"/>
      <x:c r="U1824" s="20"/>
      <x:c r="V1824" s="20"/>
      <x:c r="W1824" s="20"/>
      <x:c r="X1824" s="20"/>
      <x:c r="Y1824" s="21"/>
    </x:row>
    <x:row r="1825">
      <x:c r="A1825" s="19"/>
      <x:c r="B1825" s="27"/>
      <x:c r="C1825" s="20"/>
      <x:c r="D1825" s="28"/>
      <x:c r="E1825" s="20"/>
      <x:c r="F1825" s="25"/>
      <x:c r="G1825" s="20"/>
      <x:c r="H1825" s="20"/>
      <x:c r="I1825" s="20"/>
      <x:c r="J1825" s="20"/>
      <x:c r="K1825" s="20"/>
      <x:c r="L1825" s="20"/>
      <x:c r="M1825" s="20"/>
      <x:c r="N1825" s="20"/>
      <x:c r="O1825" s="20"/>
      <x:c r="P1825" s="20"/>
      <x:c r="Q1825" s="20"/>
      <x:c r="R1825" s="20"/>
      <x:c r="S1825" s="20"/>
      <x:c r="T1825" s="20"/>
      <x:c r="U1825" s="20"/>
      <x:c r="V1825" s="20"/>
      <x:c r="W1825" s="20"/>
      <x:c r="X1825" s="20"/>
      <x:c r="Y1825" s="21"/>
    </x:row>
    <x:row r="1826">
      <x:c r="A1826" s="19"/>
      <x:c r="B1826" s="27"/>
      <x:c r="C1826" s="20"/>
      <x:c r="D1826" s="28"/>
      <x:c r="E1826" s="20"/>
      <x:c r="F1826" s="25"/>
      <x:c r="G1826" s="20"/>
      <x:c r="H1826" s="20"/>
      <x:c r="I1826" s="20"/>
      <x:c r="J1826" s="20"/>
      <x:c r="K1826" s="20"/>
      <x:c r="L1826" s="20"/>
      <x:c r="M1826" s="20"/>
      <x:c r="N1826" s="20"/>
      <x:c r="O1826" s="20"/>
      <x:c r="P1826" s="20"/>
      <x:c r="Q1826" s="20"/>
      <x:c r="R1826" s="20"/>
      <x:c r="S1826" s="20"/>
      <x:c r="T1826" s="20"/>
      <x:c r="U1826" s="20"/>
      <x:c r="V1826" s="20"/>
      <x:c r="W1826" s="20"/>
      <x:c r="X1826" s="20"/>
      <x:c r="Y1826" s="21"/>
    </x:row>
    <x:row r="1827">
      <x:c r="A1827" s="19"/>
      <x:c r="B1827" s="27"/>
      <x:c r="C1827" s="20"/>
      <x:c r="D1827" s="28"/>
      <x:c r="E1827" s="20"/>
      <x:c r="F1827" s="25"/>
      <x:c r="G1827" s="20"/>
      <x:c r="H1827" s="20"/>
      <x:c r="I1827" s="20"/>
      <x:c r="J1827" s="20"/>
      <x:c r="K1827" s="20"/>
      <x:c r="L1827" s="20"/>
      <x:c r="M1827" s="20"/>
      <x:c r="N1827" s="20"/>
      <x:c r="O1827" s="20"/>
      <x:c r="P1827" s="20"/>
      <x:c r="Q1827" s="20"/>
      <x:c r="R1827" s="20"/>
      <x:c r="S1827" s="20"/>
      <x:c r="T1827" s="20"/>
      <x:c r="U1827" s="20"/>
      <x:c r="V1827" s="20"/>
      <x:c r="W1827" s="20"/>
      <x:c r="X1827" s="20"/>
      <x:c r="Y1827" s="21"/>
    </x:row>
    <x:row r="1828">
      <x:c r="A1828" s="19"/>
      <x:c r="B1828" s="27"/>
      <x:c r="C1828" s="20"/>
      <x:c r="D1828" s="28"/>
      <x:c r="E1828" s="20"/>
      <x:c r="F1828" s="25"/>
      <x:c r="G1828" s="20"/>
      <x:c r="H1828" s="20"/>
      <x:c r="I1828" s="20"/>
      <x:c r="J1828" s="20"/>
      <x:c r="K1828" s="20"/>
      <x:c r="L1828" s="20"/>
      <x:c r="M1828" s="20"/>
      <x:c r="N1828" s="20"/>
      <x:c r="O1828" s="20"/>
      <x:c r="P1828" s="20"/>
      <x:c r="Q1828" s="20"/>
      <x:c r="R1828" s="20"/>
      <x:c r="S1828" s="20"/>
      <x:c r="T1828" s="20"/>
      <x:c r="U1828" s="20"/>
      <x:c r="V1828" s="20"/>
      <x:c r="W1828" s="20"/>
      <x:c r="X1828" s="20"/>
      <x:c r="Y1828" s="21"/>
    </x:row>
    <x:row r="1829">
      <x:c r="A1829" s="19"/>
      <x:c r="B1829" s="27"/>
      <x:c r="C1829" s="20"/>
      <x:c r="D1829" s="28"/>
      <x:c r="E1829" s="20"/>
      <x:c r="F1829" s="25"/>
      <x:c r="G1829" s="20"/>
      <x:c r="H1829" s="20"/>
      <x:c r="I1829" s="20"/>
      <x:c r="J1829" s="20"/>
      <x:c r="K1829" s="20"/>
      <x:c r="L1829" s="20"/>
      <x:c r="M1829" s="20"/>
      <x:c r="N1829" s="20"/>
      <x:c r="O1829" s="20"/>
      <x:c r="P1829" s="20"/>
      <x:c r="Q1829" s="20"/>
      <x:c r="R1829" s="20"/>
      <x:c r="S1829" s="20"/>
      <x:c r="T1829" s="20"/>
      <x:c r="U1829" s="20"/>
      <x:c r="V1829" s="20"/>
      <x:c r="W1829" s="20"/>
      <x:c r="X1829" s="20"/>
      <x:c r="Y1829" s="21"/>
    </x:row>
    <x:row r="1830">
      <x:c r="A1830" s="19"/>
      <x:c r="B1830" s="27"/>
      <x:c r="C1830" s="20"/>
      <x:c r="D1830" s="28"/>
      <x:c r="E1830" s="20"/>
      <x:c r="F1830" s="25"/>
      <x:c r="G1830" s="20"/>
      <x:c r="H1830" s="20"/>
      <x:c r="I1830" s="20"/>
      <x:c r="J1830" s="20"/>
      <x:c r="K1830" s="20"/>
      <x:c r="L1830" s="20"/>
      <x:c r="M1830" s="20"/>
      <x:c r="N1830" s="20"/>
      <x:c r="O1830" s="20"/>
      <x:c r="P1830" s="20"/>
      <x:c r="Q1830" s="20"/>
      <x:c r="R1830" s="20"/>
      <x:c r="S1830" s="20"/>
      <x:c r="T1830" s="20"/>
      <x:c r="U1830" s="20"/>
      <x:c r="V1830" s="20"/>
      <x:c r="W1830" s="20"/>
      <x:c r="X1830" s="20"/>
      <x:c r="Y1830" s="21"/>
    </x:row>
    <x:row r="1831">
      <x:c r="A1831" s="19"/>
      <x:c r="B1831" s="27"/>
      <x:c r="C1831" s="20"/>
      <x:c r="D1831" s="28"/>
      <x:c r="E1831" s="20"/>
      <x:c r="F1831" s="25"/>
      <x:c r="G1831" s="20"/>
      <x:c r="H1831" s="20"/>
      <x:c r="I1831" s="20"/>
      <x:c r="J1831" s="20"/>
      <x:c r="K1831" s="20"/>
      <x:c r="L1831" s="20"/>
      <x:c r="M1831" s="20"/>
      <x:c r="N1831" s="20"/>
      <x:c r="O1831" s="20"/>
      <x:c r="P1831" s="20"/>
      <x:c r="Q1831" s="20"/>
      <x:c r="R1831" s="20"/>
      <x:c r="S1831" s="20"/>
      <x:c r="T1831" s="20"/>
      <x:c r="U1831" s="20"/>
      <x:c r="V1831" s="20"/>
      <x:c r="W1831" s="20"/>
      <x:c r="X1831" s="20"/>
      <x:c r="Y1831" s="21"/>
    </x:row>
    <x:row r="1832">
      <x:c r="A1832" s="19"/>
      <x:c r="B1832" s="27"/>
      <x:c r="C1832" s="20"/>
      <x:c r="D1832" s="28"/>
      <x:c r="E1832" s="20"/>
      <x:c r="F1832" s="25"/>
      <x:c r="G1832" s="20"/>
      <x:c r="H1832" s="20"/>
      <x:c r="I1832" s="20"/>
      <x:c r="J1832" s="20"/>
      <x:c r="K1832" s="20"/>
      <x:c r="L1832" s="20"/>
      <x:c r="M1832" s="20"/>
      <x:c r="N1832" s="20"/>
      <x:c r="O1832" s="20"/>
      <x:c r="P1832" s="20"/>
      <x:c r="Q1832" s="20"/>
      <x:c r="R1832" s="20"/>
      <x:c r="S1832" s="20"/>
      <x:c r="T1832" s="20"/>
      <x:c r="U1832" s="20"/>
      <x:c r="V1832" s="20"/>
      <x:c r="W1832" s="20"/>
      <x:c r="X1832" s="20"/>
      <x:c r="Y1832" s="21"/>
    </x:row>
    <x:row r="1833">
      <x:c r="A1833" s="19"/>
      <x:c r="B1833" s="27"/>
      <x:c r="C1833" s="20"/>
      <x:c r="D1833" s="28"/>
      <x:c r="E1833" s="20"/>
      <x:c r="F1833" s="25"/>
      <x:c r="G1833" s="20"/>
      <x:c r="H1833" s="20"/>
      <x:c r="I1833" s="20"/>
      <x:c r="J1833" s="20"/>
      <x:c r="K1833" s="20"/>
      <x:c r="L1833" s="20"/>
      <x:c r="M1833" s="20"/>
      <x:c r="N1833" s="20"/>
      <x:c r="O1833" s="20"/>
      <x:c r="P1833" s="20"/>
      <x:c r="Q1833" s="20"/>
      <x:c r="R1833" s="20"/>
      <x:c r="S1833" s="20"/>
      <x:c r="T1833" s="20"/>
      <x:c r="U1833" s="20"/>
      <x:c r="V1833" s="20"/>
      <x:c r="W1833" s="20"/>
      <x:c r="X1833" s="20"/>
      <x:c r="Y1833" s="21"/>
    </x:row>
    <x:row r="1834">
      <x:c r="A1834" s="19"/>
      <x:c r="B1834" s="27"/>
      <x:c r="C1834" s="20"/>
      <x:c r="D1834" s="28"/>
      <x:c r="E1834" s="20"/>
      <x:c r="F1834" s="25"/>
      <x:c r="G1834" s="20"/>
      <x:c r="H1834" s="20"/>
      <x:c r="I1834" s="20"/>
      <x:c r="J1834" s="20"/>
      <x:c r="K1834" s="20"/>
      <x:c r="L1834" s="20"/>
      <x:c r="M1834" s="20"/>
      <x:c r="N1834" s="20"/>
      <x:c r="O1834" s="20"/>
      <x:c r="P1834" s="20"/>
      <x:c r="Q1834" s="20"/>
      <x:c r="R1834" s="20"/>
      <x:c r="S1834" s="20"/>
      <x:c r="T1834" s="20"/>
      <x:c r="U1834" s="20"/>
      <x:c r="V1834" s="20"/>
      <x:c r="W1834" s="20"/>
      <x:c r="X1834" s="20"/>
      <x:c r="Y1834" s="21"/>
    </x:row>
    <x:row r="1835">
      <x:c r="A1835" s="19"/>
      <x:c r="B1835" s="27"/>
      <x:c r="C1835" s="20"/>
      <x:c r="D1835" s="28"/>
      <x:c r="E1835" s="20"/>
      <x:c r="F1835" s="25"/>
      <x:c r="G1835" s="20"/>
      <x:c r="H1835" s="20"/>
      <x:c r="I1835" s="20"/>
      <x:c r="J1835" s="20"/>
      <x:c r="K1835" s="20"/>
      <x:c r="L1835" s="20"/>
      <x:c r="M1835" s="20"/>
      <x:c r="N1835" s="20"/>
      <x:c r="O1835" s="20"/>
      <x:c r="P1835" s="20"/>
      <x:c r="Q1835" s="20"/>
      <x:c r="R1835" s="20"/>
      <x:c r="S1835" s="20"/>
      <x:c r="T1835" s="20"/>
      <x:c r="U1835" s="20"/>
      <x:c r="V1835" s="20"/>
      <x:c r="W1835" s="20"/>
      <x:c r="X1835" s="20"/>
      <x:c r="Y1835" s="21"/>
    </x:row>
    <x:row r="1836">
      <x:c r="A1836" s="19"/>
      <x:c r="B1836" s="27"/>
      <x:c r="C1836" s="20"/>
      <x:c r="D1836" s="28"/>
      <x:c r="E1836" s="20"/>
      <x:c r="F1836" s="25"/>
      <x:c r="G1836" s="20"/>
      <x:c r="H1836" s="20"/>
      <x:c r="I1836" s="20"/>
      <x:c r="J1836" s="20"/>
      <x:c r="K1836" s="20"/>
      <x:c r="L1836" s="20"/>
      <x:c r="M1836" s="20"/>
      <x:c r="N1836" s="20"/>
      <x:c r="O1836" s="20"/>
      <x:c r="P1836" s="20"/>
      <x:c r="Q1836" s="20"/>
      <x:c r="R1836" s="20"/>
      <x:c r="S1836" s="20"/>
      <x:c r="T1836" s="20"/>
      <x:c r="U1836" s="20"/>
      <x:c r="V1836" s="20"/>
      <x:c r="W1836" s="20"/>
      <x:c r="X1836" s="20"/>
      <x:c r="Y1836" s="21"/>
    </x:row>
    <x:row r="1837">
      <x:c r="A1837" s="19"/>
      <x:c r="B1837" s="27"/>
      <x:c r="C1837" s="20"/>
      <x:c r="D1837" s="28"/>
      <x:c r="E1837" s="20"/>
      <x:c r="F1837" s="25"/>
      <x:c r="G1837" s="20"/>
      <x:c r="H1837" s="20"/>
      <x:c r="I1837" s="20"/>
      <x:c r="J1837" s="20"/>
      <x:c r="K1837" s="20"/>
      <x:c r="L1837" s="20"/>
      <x:c r="M1837" s="20"/>
      <x:c r="N1837" s="20"/>
      <x:c r="O1837" s="20"/>
      <x:c r="P1837" s="20"/>
      <x:c r="Q1837" s="20"/>
      <x:c r="R1837" s="20"/>
      <x:c r="S1837" s="20"/>
      <x:c r="T1837" s="20"/>
      <x:c r="U1837" s="20"/>
      <x:c r="V1837" s="20"/>
      <x:c r="W1837" s="20"/>
      <x:c r="X1837" s="20"/>
      <x:c r="Y1837" s="21"/>
    </x:row>
    <x:row r="1838">
      <x:c r="A1838" s="19"/>
      <x:c r="B1838" s="27"/>
      <x:c r="C1838" s="20"/>
      <x:c r="D1838" s="28"/>
      <x:c r="E1838" s="20"/>
      <x:c r="F1838" s="25"/>
      <x:c r="G1838" s="20"/>
      <x:c r="H1838" s="20"/>
      <x:c r="I1838" s="20"/>
      <x:c r="J1838" s="20"/>
      <x:c r="K1838" s="20"/>
      <x:c r="L1838" s="20"/>
      <x:c r="M1838" s="20"/>
      <x:c r="N1838" s="20"/>
      <x:c r="O1838" s="20"/>
      <x:c r="P1838" s="20"/>
      <x:c r="Q1838" s="20"/>
      <x:c r="R1838" s="20"/>
      <x:c r="S1838" s="20"/>
      <x:c r="T1838" s="20"/>
      <x:c r="U1838" s="20"/>
      <x:c r="V1838" s="20"/>
      <x:c r="W1838" s="20"/>
      <x:c r="X1838" s="20"/>
      <x:c r="Y1838" s="21"/>
    </x:row>
    <x:row r="1839">
      <x:c r="A1839" s="19"/>
      <x:c r="B1839" s="27"/>
      <x:c r="C1839" s="20"/>
      <x:c r="D1839" s="28"/>
      <x:c r="E1839" s="20"/>
      <x:c r="F1839" s="25"/>
      <x:c r="G1839" s="20"/>
      <x:c r="H1839" s="20"/>
      <x:c r="I1839" s="20"/>
      <x:c r="J1839" s="20"/>
      <x:c r="K1839" s="20"/>
      <x:c r="L1839" s="20"/>
      <x:c r="M1839" s="20"/>
      <x:c r="N1839" s="20"/>
      <x:c r="O1839" s="20"/>
      <x:c r="P1839" s="20"/>
      <x:c r="Q1839" s="20"/>
      <x:c r="R1839" s="20"/>
      <x:c r="S1839" s="20"/>
      <x:c r="T1839" s="20"/>
      <x:c r="U1839" s="20"/>
      <x:c r="V1839" s="20"/>
      <x:c r="W1839" s="20"/>
      <x:c r="X1839" s="20"/>
      <x:c r="Y1839" s="21"/>
    </x:row>
    <x:row r="1840">
      <x:c r="A1840" s="19"/>
      <x:c r="B1840" s="27"/>
      <x:c r="C1840" s="20"/>
      <x:c r="D1840" s="28"/>
      <x:c r="E1840" s="20"/>
      <x:c r="F1840" s="25"/>
      <x:c r="G1840" s="20"/>
      <x:c r="H1840" s="20"/>
      <x:c r="I1840" s="20"/>
      <x:c r="J1840" s="20"/>
      <x:c r="K1840" s="20"/>
      <x:c r="L1840" s="20"/>
      <x:c r="M1840" s="20"/>
      <x:c r="N1840" s="20"/>
      <x:c r="O1840" s="20"/>
      <x:c r="P1840" s="20"/>
      <x:c r="Q1840" s="20"/>
      <x:c r="R1840" s="20"/>
      <x:c r="S1840" s="20"/>
      <x:c r="T1840" s="20"/>
      <x:c r="U1840" s="20"/>
      <x:c r="V1840" s="20"/>
      <x:c r="W1840" s="20"/>
      <x:c r="X1840" s="20"/>
      <x:c r="Y1840" s="21"/>
    </x:row>
    <x:row r="1841">
      <x:c r="A1841" s="19"/>
      <x:c r="B1841" s="27"/>
      <x:c r="C1841" s="20"/>
      <x:c r="D1841" s="28"/>
      <x:c r="E1841" s="20"/>
      <x:c r="F1841" s="25"/>
      <x:c r="G1841" s="20"/>
      <x:c r="H1841" s="20"/>
      <x:c r="I1841" s="20"/>
      <x:c r="J1841" s="20"/>
      <x:c r="K1841" s="20"/>
      <x:c r="L1841" s="20"/>
      <x:c r="M1841" s="20"/>
      <x:c r="N1841" s="20"/>
      <x:c r="O1841" s="20"/>
      <x:c r="P1841" s="20"/>
      <x:c r="Q1841" s="20"/>
      <x:c r="R1841" s="20"/>
      <x:c r="S1841" s="20"/>
      <x:c r="T1841" s="20"/>
      <x:c r="U1841" s="20"/>
      <x:c r="V1841" s="20"/>
      <x:c r="W1841" s="20"/>
      <x:c r="X1841" s="20"/>
      <x:c r="Y1841" s="21"/>
    </x:row>
    <x:row r="1842">
      <x:c r="A1842" s="19"/>
      <x:c r="B1842" s="27"/>
      <x:c r="C1842" s="20"/>
      <x:c r="D1842" s="28"/>
      <x:c r="E1842" s="20"/>
      <x:c r="F1842" s="25"/>
      <x:c r="G1842" s="20"/>
      <x:c r="H1842" s="20"/>
      <x:c r="I1842" s="20"/>
      <x:c r="J1842" s="20"/>
      <x:c r="K1842" s="20"/>
      <x:c r="L1842" s="20"/>
      <x:c r="M1842" s="20"/>
      <x:c r="N1842" s="20"/>
      <x:c r="O1842" s="20"/>
      <x:c r="P1842" s="20"/>
      <x:c r="Q1842" s="20"/>
      <x:c r="R1842" s="20"/>
      <x:c r="S1842" s="20"/>
      <x:c r="T1842" s="20"/>
      <x:c r="U1842" s="20"/>
      <x:c r="V1842" s="20"/>
      <x:c r="W1842" s="20"/>
      <x:c r="X1842" s="20"/>
      <x:c r="Y1842" s="21"/>
    </x:row>
    <x:row r="1843">
      <x:c r="A1843" s="19"/>
      <x:c r="B1843" s="27"/>
      <x:c r="C1843" s="20"/>
      <x:c r="D1843" s="28"/>
      <x:c r="E1843" s="20"/>
      <x:c r="F1843" s="25"/>
      <x:c r="G1843" s="20"/>
      <x:c r="H1843" s="20"/>
      <x:c r="I1843" s="20"/>
      <x:c r="J1843" s="20"/>
      <x:c r="K1843" s="20"/>
      <x:c r="L1843" s="20"/>
      <x:c r="M1843" s="20"/>
      <x:c r="N1843" s="20"/>
      <x:c r="O1843" s="20"/>
      <x:c r="P1843" s="20"/>
      <x:c r="Q1843" s="20"/>
      <x:c r="R1843" s="20"/>
      <x:c r="S1843" s="20"/>
      <x:c r="T1843" s="20"/>
      <x:c r="U1843" s="20"/>
      <x:c r="V1843" s="20"/>
      <x:c r="W1843" s="20"/>
      <x:c r="X1843" s="20"/>
      <x:c r="Y1843" s="21"/>
    </x:row>
    <x:row r="1844">
      <x:c r="A1844" s="19"/>
      <x:c r="B1844" s="27"/>
      <x:c r="C1844" s="20"/>
      <x:c r="D1844" s="28"/>
      <x:c r="E1844" s="20"/>
      <x:c r="F1844" s="25"/>
      <x:c r="G1844" s="20"/>
      <x:c r="H1844" s="20"/>
      <x:c r="I1844" s="20"/>
      <x:c r="J1844" s="20"/>
      <x:c r="K1844" s="20"/>
      <x:c r="L1844" s="20"/>
      <x:c r="M1844" s="20"/>
      <x:c r="N1844" s="20"/>
      <x:c r="O1844" s="20"/>
      <x:c r="P1844" s="20"/>
      <x:c r="Q1844" s="20"/>
      <x:c r="R1844" s="20"/>
      <x:c r="S1844" s="20"/>
      <x:c r="T1844" s="20"/>
      <x:c r="U1844" s="20"/>
      <x:c r="V1844" s="20"/>
      <x:c r="W1844" s="20"/>
      <x:c r="X1844" s="20"/>
      <x:c r="Y1844" s="21"/>
    </x:row>
    <x:row r="1845">
      <x:c r="A1845" s="19"/>
      <x:c r="B1845" s="27"/>
      <x:c r="C1845" s="20"/>
      <x:c r="D1845" s="28"/>
      <x:c r="E1845" s="20"/>
      <x:c r="F1845" s="25"/>
      <x:c r="G1845" s="20"/>
      <x:c r="H1845" s="20"/>
      <x:c r="I1845" s="20"/>
      <x:c r="J1845" s="20"/>
      <x:c r="K1845" s="20"/>
      <x:c r="L1845" s="20"/>
      <x:c r="M1845" s="20"/>
      <x:c r="N1845" s="20"/>
      <x:c r="O1845" s="20"/>
      <x:c r="P1845" s="20"/>
      <x:c r="Q1845" s="20"/>
      <x:c r="R1845" s="20"/>
      <x:c r="S1845" s="20"/>
      <x:c r="T1845" s="20"/>
      <x:c r="U1845" s="20"/>
      <x:c r="V1845" s="20"/>
      <x:c r="W1845" s="20"/>
      <x:c r="X1845" s="20"/>
      <x:c r="Y1845" s="21"/>
    </x:row>
    <x:row r="1846">
      <x:c r="A1846" s="19"/>
      <x:c r="B1846" s="27"/>
      <x:c r="C1846" s="20"/>
      <x:c r="D1846" s="28"/>
      <x:c r="E1846" s="20"/>
      <x:c r="F1846" s="25"/>
      <x:c r="G1846" s="20"/>
      <x:c r="H1846" s="20"/>
      <x:c r="I1846" s="20"/>
      <x:c r="J1846" s="20"/>
      <x:c r="K1846" s="20"/>
      <x:c r="L1846" s="20"/>
      <x:c r="M1846" s="20"/>
      <x:c r="N1846" s="20"/>
      <x:c r="O1846" s="20"/>
      <x:c r="P1846" s="20"/>
      <x:c r="Q1846" s="20"/>
      <x:c r="R1846" s="20"/>
      <x:c r="S1846" s="20"/>
      <x:c r="T1846" s="20"/>
      <x:c r="U1846" s="20"/>
      <x:c r="V1846" s="20"/>
      <x:c r="W1846" s="20"/>
      <x:c r="X1846" s="20"/>
      <x:c r="Y1846" s="21"/>
    </x:row>
    <x:row r="1847">
      <x:c r="A1847" s="19"/>
      <x:c r="B1847" s="27"/>
      <x:c r="C1847" s="20"/>
      <x:c r="D1847" s="28"/>
      <x:c r="E1847" s="20"/>
      <x:c r="F1847" s="25"/>
      <x:c r="G1847" s="20"/>
      <x:c r="H1847" s="20"/>
      <x:c r="I1847" s="20"/>
      <x:c r="J1847" s="20"/>
      <x:c r="K1847" s="20"/>
      <x:c r="L1847" s="20"/>
      <x:c r="M1847" s="20"/>
      <x:c r="N1847" s="20"/>
      <x:c r="O1847" s="20"/>
      <x:c r="P1847" s="20"/>
      <x:c r="Q1847" s="20"/>
      <x:c r="R1847" s="20"/>
      <x:c r="S1847" s="20"/>
      <x:c r="T1847" s="20"/>
      <x:c r="U1847" s="20"/>
      <x:c r="V1847" s="20"/>
      <x:c r="W1847" s="20"/>
      <x:c r="X1847" s="20"/>
      <x:c r="Y1847" s="21"/>
    </x:row>
    <x:row r="1848">
      <x:c r="A1848" s="19"/>
      <x:c r="B1848" s="27"/>
      <x:c r="C1848" s="20"/>
      <x:c r="D1848" s="28"/>
      <x:c r="E1848" s="20"/>
      <x:c r="F1848" s="25"/>
      <x:c r="G1848" s="20"/>
      <x:c r="H1848" s="20"/>
      <x:c r="I1848" s="20"/>
      <x:c r="J1848" s="20"/>
      <x:c r="K1848" s="20"/>
      <x:c r="L1848" s="20"/>
      <x:c r="M1848" s="20"/>
      <x:c r="N1848" s="20"/>
      <x:c r="O1848" s="20"/>
      <x:c r="P1848" s="20"/>
      <x:c r="Q1848" s="20"/>
      <x:c r="R1848" s="20"/>
      <x:c r="S1848" s="20"/>
      <x:c r="T1848" s="20"/>
      <x:c r="U1848" s="20"/>
      <x:c r="V1848" s="20"/>
      <x:c r="W1848" s="20"/>
      <x:c r="X1848" s="20"/>
      <x:c r="Y1848" s="21"/>
    </x:row>
    <x:row r="1849">
      <x:c r="A1849" s="19"/>
      <x:c r="B1849" s="27"/>
      <x:c r="C1849" s="20"/>
      <x:c r="D1849" s="28"/>
      <x:c r="E1849" s="20"/>
      <x:c r="F1849" s="25"/>
      <x:c r="G1849" s="20"/>
      <x:c r="H1849" s="20"/>
      <x:c r="I1849" s="20"/>
      <x:c r="J1849" s="20"/>
      <x:c r="K1849" s="20"/>
      <x:c r="L1849" s="20"/>
      <x:c r="M1849" s="20"/>
      <x:c r="N1849" s="20"/>
      <x:c r="O1849" s="20"/>
      <x:c r="P1849" s="20"/>
      <x:c r="Q1849" s="20"/>
      <x:c r="R1849" s="20"/>
      <x:c r="S1849" s="20"/>
      <x:c r="T1849" s="20"/>
      <x:c r="U1849" s="20"/>
      <x:c r="V1849" s="20"/>
      <x:c r="W1849" s="20"/>
      <x:c r="X1849" s="20"/>
      <x:c r="Y1849" s="21"/>
    </x:row>
    <x:row r="1850">
      <x:c r="A1850" s="19"/>
      <x:c r="B1850" s="27"/>
      <x:c r="C1850" s="20"/>
      <x:c r="D1850" s="28"/>
      <x:c r="E1850" s="20"/>
      <x:c r="F1850" s="25"/>
      <x:c r="G1850" s="20"/>
      <x:c r="H1850" s="20"/>
      <x:c r="I1850" s="20"/>
      <x:c r="J1850" s="20"/>
      <x:c r="K1850" s="20"/>
      <x:c r="L1850" s="20"/>
      <x:c r="M1850" s="20"/>
      <x:c r="N1850" s="20"/>
      <x:c r="O1850" s="20"/>
      <x:c r="P1850" s="20"/>
      <x:c r="Q1850" s="20"/>
      <x:c r="R1850" s="20"/>
      <x:c r="S1850" s="20"/>
      <x:c r="T1850" s="20"/>
      <x:c r="U1850" s="20"/>
      <x:c r="V1850" s="20"/>
      <x:c r="W1850" s="20"/>
      <x:c r="X1850" s="20"/>
      <x:c r="Y1850" s="21"/>
    </x:row>
    <x:row r="1851">
      <x:c r="A1851" s="19"/>
      <x:c r="B1851" s="27"/>
      <x:c r="C1851" s="20"/>
      <x:c r="D1851" s="28"/>
      <x:c r="E1851" s="20"/>
      <x:c r="F1851" s="25"/>
      <x:c r="G1851" s="20"/>
      <x:c r="H1851" s="20"/>
      <x:c r="I1851" s="20"/>
      <x:c r="J1851" s="20"/>
      <x:c r="K1851" s="20"/>
      <x:c r="L1851" s="20"/>
      <x:c r="M1851" s="20"/>
      <x:c r="N1851" s="20"/>
      <x:c r="O1851" s="20"/>
      <x:c r="P1851" s="20"/>
      <x:c r="Q1851" s="20"/>
      <x:c r="R1851" s="20"/>
      <x:c r="S1851" s="20"/>
      <x:c r="T1851" s="20"/>
      <x:c r="U1851" s="20"/>
      <x:c r="V1851" s="20"/>
      <x:c r="W1851" s="20"/>
      <x:c r="X1851" s="20"/>
      <x:c r="Y1851" s="21"/>
    </x:row>
    <x:row r="1852">
      <x:c r="A1852" s="19"/>
      <x:c r="B1852" s="27"/>
      <x:c r="C1852" s="20"/>
      <x:c r="D1852" s="28"/>
      <x:c r="E1852" s="20"/>
      <x:c r="F1852" s="25"/>
      <x:c r="G1852" s="20"/>
      <x:c r="H1852" s="20"/>
      <x:c r="I1852" s="20"/>
      <x:c r="J1852" s="20"/>
      <x:c r="K1852" s="20"/>
      <x:c r="L1852" s="20"/>
      <x:c r="M1852" s="20"/>
      <x:c r="N1852" s="20"/>
      <x:c r="O1852" s="20"/>
      <x:c r="P1852" s="20"/>
      <x:c r="Q1852" s="20"/>
      <x:c r="R1852" s="20"/>
      <x:c r="S1852" s="20"/>
      <x:c r="T1852" s="20"/>
      <x:c r="U1852" s="20"/>
      <x:c r="V1852" s="20"/>
      <x:c r="W1852" s="20"/>
      <x:c r="X1852" s="20"/>
      <x:c r="Y1852" s="21"/>
    </x:row>
    <x:row r="1853">
      <x:c r="A1853" s="19"/>
      <x:c r="B1853" s="27"/>
      <x:c r="C1853" s="20"/>
      <x:c r="D1853" s="28"/>
      <x:c r="E1853" s="20"/>
      <x:c r="F1853" s="25"/>
      <x:c r="G1853" s="20"/>
      <x:c r="H1853" s="20"/>
      <x:c r="I1853" s="20"/>
      <x:c r="J1853" s="20"/>
      <x:c r="K1853" s="20"/>
      <x:c r="L1853" s="20"/>
      <x:c r="M1853" s="20"/>
      <x:c r="N1853" s="20"/>
      <x:c r="O1853" s="20"/>
      <x:c r="P1853" s="20"/>
      <x:c r="Q1853" s="20"/>
      <x:c r="R1853" s="20"/>
      <x:c r="S1853" s="20"/>
      <x:c r="T1853" s="20"/>
      <x:c r="U1853" s="20"/>
      <x:c r="V1853" s="20"/>
      <x:c r="W1853" s="20"/>
      <x:c r="X1853" s="20"/>
      <x:c r="Y1853" s="21"/>
    </x:row>
    <x:row r="1854">
      <x:c r="A1854" s="19"/>
      <x:c r="B1854" s="27"/>
      <x:c r="C1854" s="20"/>
      <x:c r="D1854" s="28"/>
      <x:c r="E1854" s="20"/>
      <x:c r="F1854" s="25"/>
      <x:c r="G1854" s="20"/>
      <x:c r="H1854" s="20"/>
      <x:c r="I1854" s="20"/>
      <x:c r="J1854" s="20"/>
      <x:c r="K1854" s="20"/>
      <x:c r="L1854" s="20"/>
      <x:c r="M1854" s="20"/>
      <x:c r="N1854" s="20"/>
      <x:c r="O1854" s="20"/>
      <x:c r="P1854" s="20"/>
      <x:c r="Q1854" s="20"/>
      <x:c r="R1854" s="20"/>
      <x:c r="S1854" s="20"/>
      <x:c r="T1854" s="20"/>
      <x:c r="U1854" s="20"/>
      <x:c r="V1854" s="20"/>
      <x:c r="W1854" s="20"/>
      <x:c r="X1854" s="20"/>
      <x:c r="Y1854" s="21"/>
    </x:row>
    <x:row r="1855">
      <x:c r="A1855" s="19"/>
      <x:c r="B1855" s="27"/>
      <x:c r="C1855" s="20"/>
      <x:c r="D1855" s="28"/>
      <x:c r="E1855" s="20"/>
      <x:c r="F1855" s="25"/>
      <x:c r="G1855" s="20"/>
      <x:c r="H1855" s="20"/>
      <x:c r="I1855" s="20"/>
      <x:c r="J1855" s="20"/>
      <x:c r="K1855" s="20"/>
      <x:c r="L1855" s="20"/>
      <x:c r="M1855" s="20"/>
      <x:c r="N1855" s="20"/>
      <x:c r="O1855" s="20"/>
      <x:c r="P1855" s="20"/>
      <x:c r="Q1855" s="20"/>
      <x:c r="R1855" s="20"/>
      <x:c r="S1855" s="20"/>
      <x:c r="T1855" s="20"/>
      <x:c r="U1855" s="20"/>
      <x:c r="V1855" s="20"/>
      <x:c r="W1855" s="20"/>
      <x:c r="X1855" s="20"/>
      <x:c r="Y1855" s="21"/>
    </x:row>
    <x:row r="1856">
      <x:c r="A1856" s="19"/>
      <x:c r="B1856" s="27"/>
      <x:c r="C1856" s="20"/>
      <x:c r="D1856" s="28"/>
      <x:c r="E1856" s="20"/>
      <x:c r="F1856" s="25"/>
      <x:c r="G1856" s="20"/>
      <x:c r="H1856" s="20"/>
      <x:c r="I1856" s="20"/>
      <x:c r="J1856" s="20"/>
      <x:c r="K1856" s="20"/>
      <x:c r="L1856" s="20"/>
      <x:c r="M1856" s="20"/>
      <x:c r="N1856" s="20"/>
      <x:c r="O1856" s="20"/>
      <x:c r="P1856" s="20"/>
      <x:c r="Q1856" s="20"/>
      <x:c r="R1856" s="20"/>
      <x:c r="S1856" s="20"/>
      <x:c r="T1856" s="20"/>
      <x:c r="U1856" s="20"/>
      <x:c r="V1856" s="20"/>
      <x:c r="W1856" s="20"/>
      <x:c r="X1856" s="20"/>
      <x:c r="Y1856" s="21"/>
    </x:row>
    <x:row r="1857">
      <x:c r="A1857" s="19"/>
      <x:c r="B1857" s="27"/>
      <x:c r="C1857" s="20"/>
      <x:c r="D1857" s="28"/>
      <x:c r="E1857" s="20"/>
      <x:c r="F1857" s="25"/>
      <x:c r="G1857" s="20"/>
      <x:c r="H1857" s="20"/>
      <x:c r="I1857" s="20"/>
      <x:c r="J1857" s="20"/>
      <x:c r="K1857" s="20"/>
      <x:c r="L1857" s="20"/>
      <x:c r="M1857" s="20"/>
      <x:c r="N1857" s="20"/>
      <x:c r="O1857" s="20"/>
      <x:c r="P1857" s="20"/>
      <x:c r="Q1857" s="20"/>
      <x:c r="R1857" s="20"/>
      <x:c r="S1857" s="20"/>
      <x:c r="T1857" s="20"/>
      <x:c r="U1857" s="20"/>
      <x:c r="V1857" s="20"/>
      <x:c r="W1857" s="20"/>
      <x:c r="X1857" s="20"/>
      <x:c r="Y1857" s="21"/>
    </x:row>
    <x:row r="1858">
      <x:c r="A1858" s="19"/>
      <x:c r="B1858" s="27"/>
      <x:c r="C1858" s="20"/>
      <x:c r="D1858" s="28"/>
      <x:c r="E1858" s="20"/>
      <x:c r="F1858" s="25"/>
      <x:c r="G1858" s="20"/>
      <x:c r="H1858" s="20"/>
      <x:c r="I1858" s="20"/>
      <x:c r="J1858" s="20"/>
      <x:c r="K1858" s="20"/>
      <x:c r="L1858" s="20"/>
      <x:c r="M1858" s="20"/>
      <x:c r="N1858" s="20"/>
      <x:c r="O1858" s="20"/>
      <x:c r="P1858" s="20"/>
      <x:c r="Q1858" s="20"/>
      <x:c r="R1858" s="20"/>
      <x:c r="S1858" s="20"/>
      <x:c r="T1858" s="20"/>
      <x:c r="U1858" s="20"/>
      <x:c r="V1858" s="20"/>
      <x:c r="W1858" s="20"/>
      <x:c r="X1858" s="20"/>
      <x:c r="Y1858" s="21"/>
    </x:row>
    <x:row r="1859">
      <x:c r="A1859" s="19"/>
      <x:c r="B1859" s="27"/>
      <x:c r="C1859" s="20"/>
      <x:c r="D1859" s="28"/>
      <x:c r="E1859" s="20"/>
      <x:c r="F1859" s="25"/>
      <x:c r="G1859" s="20"/>
      <x:c r="H1859" s="20"/>
      <x:c r="I1859" s="20"/>
      <x:c r="J1859" s="20"/>
      <x:c r="K1859" s="20"/>
      <x:c r="L1859" s="20"/>
      <x:c r="M1859" s="20"/>
      <x:c r="N1859" s="20"/>
      <x:c r="O1859" s="20"/>
      <x:c r="P1859" s="20"/>
      <x:c r="Q1859" s="20"/>
      <x:c r="R1859" s="20"/>
      <x:c r="S1859" s="20"/>
      <x:c r="T1859" s="20"/>
      <x:c r="U1859" s="20"/>
      <x:c r="V1859" s="20"/>
      <x:c r="W1859" s="20"/>
      <x:c r="X1859" s="20"/>
      <x:c r="Y1859" s="21"/>
    </x:row>
    <x:row r="1860">
      <x:c r="A1860" s="19"/>
      <x:c r="B1860" s="27"/>
      <x:c r="C1860" s="20"/>
      <x:c r="D1860" s="28"/>
      <x:c r="E1860" s="20"/>
      <x:c r="F1860" s="25"/>
      <x:c r="G1860" s="20"/>
      <x:c r="H1860" s="20"/>
      <x:c r="I1860" s="20"/>
      <x:c r="J1860" s="20"/>
      <x:c r="K1860" s="20"/>
      <x:c r="L1860" s="20"/>
      <x:c r="M1860" s="20"/>
      <x:c r="N1860" s="20"/>
      <x:c r="O1860" s="20"/>
      <x:c r="P1860" s="20"/>
      <x:c r="Q1860" s="20"/>
      <x:c r="R1860" s="20"/>
      <x:c r="S1860" s="20"/>
      <x:c r="T1860" s="20"/>
      <x:c r="U1860" s="20"/>
      <x:c r="V1860" s="20"/>
      <x:c r="W1860" s="20"/>
      <x:c r="X1860" s="20"/>
      <x:c r="Y1860" s="21"/>
    </x:row>
    <x:row r="1861">
      <x:c r="A1861" s="19"/>
      <x:c r="B1861" s="27"/>
      <x:c r="C1861" s="20"/>
      <x:c r="D1861" s="28"/>
      <x:c r="E1861" s="20"/>
      <x:c r="F1861" s="25"/>
      <x:c r="G1861" s="20"/>
      <x:c r="H1861" s="20"/>
      <x:c r="I1861" s="20"/>
      <x:c r="J1861" s="20"/>
      <x:c r="K1861" s="20"/>
      <x:c r="L1861" s="20"/>
      <x:c r="M1861" s="20"/>
      <x:c r="N1861" s="20"/>
      <x:c r="O1861" s="20"/>
      <x:c r="P1861" s="20"/>
      <x:c r="Q1861" s="20"/>
      <x:c r="R1861" s="20"/>
      <x:c r="S1861" s="20"/>
      <x:c r="T1861" s="20"/>
      <x:c r="U1861" s="20"/>
      <x:c r="V1861" s="20"/>
      <x:c r="W1861" s="20"/>
      <x:c r="X1861" s="20"/>
      <x:c r="Y1861" s="21"/>
    </x:row>
    <x:row r="1862">
      <x:c r="A1862" s="19"/>
      <x:c r="B1862" s="27"/>
      <x:c r="C1862" s="20"/>
      <x:c r="D1862" s="28"/>
      <x:c r="E1862" s="20"/>
      <x:c r="F1862" s="25"/>
      <x:c r="G1862" s="20"/>
      <x:c r="H1862" s="20"/>
      <x:c r="I1862" s="20"/>
      <x:c r="J1862" s="20"/>
      <x:c r="K1862" s="20"/>
      <x:c r="L1862" s="20"/>
      <x:c r="M1862" s="20"/>
      <x:c r="N1862" s="20"/>
      <x:c r="O1862" s="20"/>
      <x:c r="P1862" s="20"/>
      <x:c r="Q1862" s="20"/>
      <x:c r="R1862" s="20"/>
      <x:c r="S1862" s="20"/>
      <x:c r="T1862" s="20"/>
      <x:c r="U1862" s="20"/>
      <x:c r="V1862" s="20"/>
      <x:c r="W1862" s="20"/>
      <x:c r="X1862" s="20"/>
      <x:c r="Y1862" s="21"/>
    </x:row>
    <x:row r="1863">
      <x:c r="A1863" s="19"/>
      <x:c r="B1863" s="27"/>
      <x:c r="C1863" s="20"/>
      <x:c r="D1863" s="28"/>
      <x:c r="E1863" s="20"/>
      <x:c r="F1863" s="25"/>
      <x:c r="G1863" s="20"/>
      <x:c r="H1863" s="20"/>
      <x:c r="I1863" s="20"/>
      <x:c r="J1863" s="20"/>
      <x:c r="K1863" s="20"/>
      <x:c r="L1863" s="20"/>
      <x:c r="M1863" s="20"/>
      <x:c r="N1863" s="20"/>
      <x:c r="O1863" s="20"/>
      <x:c r="P1863" s="20"/>
      <x:c r="Q1863" s="20"/>
      <x:c r="R1863" s="20"/>
      <x:c r="S1863" s="20"/>
      <x:c r="T1863" s="20"/>
      <x:c r="U1863" s="20"/>
      <x:c r="V1863" s="20"/>
      <x:c r="W1863" s="20"/>
      <x:c r="X1863" s="20"/>
      <x:c r="Y1863" s="21"/>
    </x:row>
    <x:row r="1864">
      <x:c r="A1864" s="19"/>
      <x:c r="B1864" s="27"/>
      <x:c r="C1864" s="20"/>
      <x:c r="D1864" s="28"/>
      <x:c r="E1864" s="20"/>
      <x:c r="F1864" s="25"/>
      <x:c r="G1864" s="20"/>
      <x:c r="H1864" s="20"/>
      <x:c r="I1864" s="20"/>
      <x:c r="J1864" s="20"/>
      <x:c r="K1864" s="20"/>
      <x:c r="L1864" s="20"/>
      <x:c r="M1864" s="20"/>
      <x:c r="N1864" s="20"/>
      <x:c r="O1864" s="20"/>
      <x:c r="P1864" s="20"/>
      <x:c r="Q1864" s="20"/>
      <x:c r="R1864" s="20"/>
      <x:c r="S1864" s="20"/>
      <x:c r="T1864" s="20"/>
      <x:c r="U1864" s="20"/>
      <x:c r="V1864" s="20"/>
      <x:c r="W1864" s="20"/>
      <x:c r="X1864" s="20"/>
      <x:c r="Y1864" s="21"/>
    </x:row>
    <x:row r="1865">
      <x:c r="A1865" s="19"/>
      <x:c r="B1865" s="27"/>
      <x:c r="C1865" s="20"/>
      <x:c r="D1865" s="28"/>
      <x:c r="E1865" s="20"/>
      <x:c r="F1865" s="25"/>
      <x:c r="G1865" s="20"/>
      <x:c r="H1865" s="20"/>
      <x:c r="I1865" s="20"/>
      <x:c r="J1865" s="20"/>
      <x:c r="K1865" s="20"/>
      <x:c r="L1865" s="20"/>
      <x:c r="M1865" s="20"/>
      <x:c r="N1865" s="20"/>
      <x:c r="O1865" s="20"/>
      <x:c r="P1865" s="20"/>
      <x:c r="Q1865" s="20"/>
      <x:c r="R1865" s="20"/>
      <x:c r="S1865" s="20"/>
      <x:c r="T1865" s="20"/>
      <x:c r="U1865" s="20"/>
      <x:c r="V1865" s="20"/>
      <x:c r="W1865" s="20"/>
      <x:c r="X1865" s="20"/>
      <x:c r="Y1865" s="21"/>
    </x:row>
    <x:row r="1866">
      <x:c r="A1866" s="19"/>
      <x:c r="B1866" s="27"/>
      <x:c r="C1866" s="20"/>
      <x:c r="D1866" s="28"/>
      <x:c r="E1866" s="20"/>
      <x:c r="F1866" s="25"/>
      <x:c r="G1866" s="20"/>
      <x:c r="H1866" s="20"/>
      <x:c r="I1866" s="20"/>
      <x:c r="J1866" s="20"/>
      <x:c r="K1866" s="20"/>
      <x:c r="L1866" s="20"/>
      <x:c r="M1866" s="20"/>
      <x:c r="N1866" s="20"/>
      <x:c r="O1866" s="20"/>
      <x:c r="P1866" s="20"/>
      <x:c r="Q1866" s="20"/>
      <x:c r="R1866" s="20"/>
      <x:c r="S1866" s="20"/>
      <x:c r="T1866" s="20"/>
      <x:c r="U1866" s="20"/>
      <x:c r="V1866" s="20"/>
      <x:c r="W1866" s="20"/>
      <x:c r="X1866" s="20"/>
      <x:c r="Y1866" s="21"/>
    </x:row>
    <x:row r="1867">
      <x:c r="A1867" s="19"/>
      <x:c r="B1867" s="27"/>
      <x:c r="C1867" s="20"/>
      <x:c r="D1867" s="28"/>
      <x:c r="E1867" s="20"/>
      <x:c r="F1867" s="25"/>
      <x:c r="G1867" s="20"/>
      <x:c r="H1867" s="20"/>
      <x:c r="I1867" s="20"/>
      <x:c r="J1867" s="20"/>
      <x:c r="K1867" s="20"/>
      <x:c r="L1867" s="20"/>
      <x:c r="M1867" s="20"/>
      <x:c r="N1867" s="20"/>
      <x:c r="O1867" s="20"/>
      <x:c r="P1867" s="20"/>
      <x:c r="Q1867" s="20"/>
      <x:c r="R1867" s="20"/>
      <x:c r="S1867" s="20"/>
      <x:c r="T1867" s="20"/>
      <x:c r="U1867" s="20"/>
      <x:c r="V1867" s="20"/>
      <x:c r="W1867" s="20"/>
      <x:c r="X1867" s="20"/>
      <x:c r="Y1867" s="21"/>
    </x:row>
    <x:row r="1868">
      <x:c r="A1868" s="19"/>
      <x:c r="B1868" s="27"/>
      <x:c r="C1868" s="20"/>
      <x:c r="D1868" s="28"/>
      <x:c r="E1868" s="20"/>
      <x:c r="F1868" s="25"/>
      <x:c r="G1868" s="20"/>
      <x:c r="H1868" s="20"/>
      <x:c r="I1868" s="20"/>
      <x:c r="J1868" s="20"/>
      <x:c r="K1868" s="20"/>
      <x:c r="L1868" s="20"/>
      <x:c r="M1868" s="20"/>
      <x:c r="N1868" s="20"/>
      <x:c r="O1868" s="20"/>
      <x:c r="P1868" s="20"/>
      <x:c r="Q1868" s="20"/>
      <x:c r="R1868" s="20"/>
      <x:c r="S1868" s="20"/>
      <x:c r="T1868" s="20"/>
      <x:c r="U1868" s="20"/>
      <x:c r="V1868" s="20"/>
      <x:c r="W1868" s="20"/>
      <x:c r="X1868" s="20"/>
      <x:c r="Y1868" s="21"/>
    </x:row>
    <x:row r="1869">
      <x:c r="A1869" s="19"/>
      <x:c r="B1869" s="27"/>
      <x:c r="C1869" s="20"/>
      <x:c r="D1869" s="28"/>
      <x:c r="E1869" s="20"/>
      <x:c r="F1869" s="25"/>
      <x:c r="G1869" s="20"/>
      <x:c r="H1869" s="20"/>
      <x:c r="I1869" s="20"/>
      <x:c r="J1869" s="20"/>
      <x:c r="K1869" s="20"/>
      <x:c r="L1869" s="20"/>
      <x:c r="M1869" s="20"/>
      <x:c r="N1869" s="20"/>
      <x:c r="O1869" s="20"/>
      <x:c r="P1869" s="20"/>
      <x:c r="Q1869" s="20"/>
      <x:c r="R1869" s="20"/>
      <x:c r="S1869" s="20"/>
      <x:c r="T1869" s="20"/>
      <x:c r="U1869" s="20"/>
      <x:c r="V1869" s="20"/>
      <x:c r="W1869" s="20"/>
      <x:c r="X1869" s="20"/>
      <x:c r="Y1869" s="21"/>
    </x:row>
    <x:row r="1870">
      <x:c r="A1870" s="19"/>
      <x:c r="B1870" s="27"/>
      <x:c r="C1870" s="20"/>
      <x:c r="D1870" s="28"/>
      <x:c r="E1870" s="20"/>
      <x:c r="F1870" s="25"/>
      <x:c r="G1870" s="20"/>
      <x:c r="H1870" s="20"/>
      <x:c r="I1870" s="20"/>
      <x:c r="J1870" s="20"/>
      <x:c r="K1870" s="20"/>
      <x:c r="L1870" s="20"/>
      <x:c r="M1870" s="20"/>
      <x:c r="N1870" s="20"/>
      <x:c r="O1870" s="20"/>
      <x:c r="P1870" s="20"/>
      <x:c r="Q1870" s="20"/>
      <x:c r="R1870" s="20"/>
      <x:c r="S1870" s="20"/>
      <x:c r="T1870" s="20"/>
      <x:c r="U1870" s="20"/>
      <x:c r="V1870" s="20"/>
      <x:c r="W1870" s="20"/>
      <x:c r="X1870" s="20"/>
      <x:c r="Y1870" s="21"/>
    </x:row>
    <x:row r="1871">
      <x:c r="A1871" s="19"/>
      <x:c r="B1871" s="27"/>
      <x:c r="C1871" s="20"/>
      <x:c r="D1871" s="28"/>
      <x:c r="E1871" s="20"/>
      <x:c r="F1871" s="25"/>
      <x:c r="G1871" s="20"/>
      <x:c r="H1871" s="20"/>
      <x:c r="I1871" s="20"/>
      <x:c r="J1871" s="20"/>
      <x:c r="K1871" s="20"/>
      <x:c r="L1871" s="20"/>
      <x:c r="M1871" s="20"/>
      <x:c r="N1871" s="20"/>
      <x:c r="O1871" s="20"/>
      <x:c r="P1871" s="20"/>
      <x:c r="Q1871" s="20"/>
      <x:c r="R1871" s="20"/>
      <x:c r="S1871" s="20"/>
      <x:c r="T1871" s="20"/>
      <x:c r="U1871" s="20"/>
      <x:c r="V1871" s="20"/>
      <x:c r="W1871" s="20"/>
      <x:c r="X1871" s="20"/>
      <x:c r="Y1871" s="21"/>
    </x:row>
    <x:row r="1872">
      <x:c r="A1872" s="19"/>
      <x:c r="B1872" s="27"/>
      <x:c r="C1872" s="20"/>
      <x:c r="D1872" s="28"/>
      <x:c r="E1872" s="20"/>
      <x:c r="F1872" s="25"/>
      <x:c r="G1872" s="20"/>
      <x:c r="H1872" s="20"/>
      <x:c r="I1872" s="20"/>
      <x:c r="J1872" s="20"/>
      <x:c r="K1872" s="20"/>
      <x:c r="L1872" s="20"/>
      <x:c r="M1872" s="20"/>
      <x:c r="N1872" s="20"/>
      <x:c r="O1872" s="20"/>
      <x:c r="P1872" s="20"/>
      <x:c r="Q1872" s="20"/>
      <x:c r="R1872" s="20"/>
      <x:c r="S1872" s="20"/>
      <x:c r="T1872" s="20"/>
      <x:c r="U1872" s="20"/>
      <x:c r="V1872" s="20"/>
      <x:c r="W1872" s="20"/>
      <x:c r="X1872" s="20"/>
      <x:c r="Y1872" s="21"/>
    </x:row>
    <x:row r="1873">
      <x:c r="A1873" s="19"/>
      <x:c r="B1873" s="27"/>
      <x:c r="C1873" s="20"/>
      <x:c r="D1873" s="28"/>
      <x:c r="E1873" s="20"/>
      <x:c r="F1873" s="25"/>
      <x:c r="G1873" s="20"/>
      <x:c r="H1873" s="20"/>
      <x:c r="I1873" s="20"/>
      <x:c r="J1873" s="20"/>
      <x:c r="K1873" s="20"/>
      <x:c r="L1873" s="20"/>
      <x:c r="M1873" s="20"/>
      <x:c r="N1873" s="20"/>
      <x:c r="O1873" s="20"/>
      <x:c r="P1873" s="20"/>
      <x:c r="Q1873" s="20"/>
      <x:c r="R1873" s="20"/>
      <x:c r="S1873" s="20"/>
      <x:c r="T1873" s="20"/>
      <x:c r="U1873" s="20"/>
      <x:c r="V1873" s="20"/>
      <x:c r="W1873" s="20"/>
      <x:c r="X1873" s="20"/>
      <x:c r="Y1873" s="21"/>
    </x:row>
    <x:row r="1874">
      <x:c r="A1874" s="19"/>
      <x:c r="B1874" s="27"/>
      <x:c r="C1874" s="20"/>
      <x:c r="D1874" s="28"/>
      <x:c r="E1874" s="20"/>
      <x:c r="F1874" s="25"/>
      <x:c r="G1874" s="20"/>
      <x:c r="H1874" s="20"/>
      <x:c r="I1874" s="20"/>
      <x:c r="J1874" s="20"/>
      <x:c r="K1874" s="20"/>
      <x:c r="L1874" s="20"/>
      <x:c r="M1874" s="20"/>
      <x:c r="N1874" s="20"/>
      <x:c r="O1874" s="20"/>
      <x:c r="P1874" s="20"/>
      <x:c r="Q1874" s="20"/>
      <x:c r="R1874" s="20"/>
      <x:c r="S1874" s="20"/>
      <x:c r="T1874" s="20"/>
      <x:c r="U1874" s="20"/>
      <x:c r="V1874" s="20"/>
      <x:c r="W1874" s="20"/>
      <x:c r="X1874" s="20"/>
      <x:c r="Y1874" s="21"/>
    </x:row>
    <x:row r="1875">
      <x:c r="A1875" s="19"/>
      <x:c r="B1875" s="27"/>
      <x:c r="C1875" s="20"/>
      <x:c r="D1875" s="28"/>
      <x:c r="E1875" s="20"/>
      <x:c r="F1875" s="25"/>
      <x:c r="G1875" s="20"/>
      <x:c r="H1875" s="20"/>
      <x:c r="I1875" s="20"/>
      <x:c r="J1875" s="20"/>
      <x:c r="K1875" s="20"/>
      <x:c r="L1875" s="20"/>
      <x:c r="M1875" s="20"/>
      <x:c r="N1875" s="20"/>
      <x:c r="O1875" s="20"/>
      <x:c r="P1875" s="20"/>
      <x:c r="Q1875" s="20"/>
      <x:c r="R1875" s="20"/>
      <x:c r="S1875" s="20"/>
      <x:c r="T1875" s="20"/>
      <x:c r="U1875" s="20"/>
      <x:c r="V1875" s="20"/>
      <x:c r="W1875" s="20"/>
      <x:c r="X1875" s="20"/>
      <x:c r="Y1875" s="21"/>
    </x:row>
    <x:row r="1876">
      <x:c r="A1876" s="19"/>
      <x:c r="B1876" s="27"/>
      <x:c r="C1876" s="20"/>
      <x:c r="D1876" s="28"/>
      <x:c r="E1876" s="20"/>
      <x:c r="F1876" s="25"/>
      <x:c r="G1876" s="20"/>
      <x:c r="H1876" s="20"/>
      <x:c r="I1876" s="20"/>
      <x:c r="J1876" s="20"/>
      <x:c r="K1876" s="20"/>
      <x:c r="L1876" s="20"/>
      <x:c r="M1876" s="20"/>
      <x:c r="N1876" s="20"/>
      <x:c r="O1876" s="20"/>
      <x:c r="P1876" s="20"/>
      <x:c r="Q1876" s="20"/>
      <x:c r="R1876" s="20"/>
      <x:c r="S1876" s="20"/>
      <x:c r="T1876" s="20"/>
      <x:c r="U1876" s="20"/>
      <x:c r="V1876" s="20"/>
      <x:c r="W1876" s="20"/>
      <x:c r="X1876" s="20"/>
      <x:c r="Y1876" s="21"/>
    </x:row>
    <x:row r="1877">
      <x:c r="A1877" s="19"/>
      <x:c r="B1877" s="27"/>
      <x:c r="C1877" s="20"/>
      <x:c r="D1877" s="28"/>
      <x:c r="E1877" s="20"/>
      <x:c r="F1877" s="25"/>
      <x:c r="G1877" s="20"/>
      <x:c r="H1877" s="20"/>
      <x:c r="I1877" s="20"/>
      <x:c r="J1877" s="20"/>
      <x:c r="K1877" s="20"/>
      <x:c r="L1877" s="20"/>
      <x:c r="M1877" s="20"/>
      <x:c r="N1877" s="20"/>
      <x:c r="O1877" s="20"/>
      <x:c r="P1877" s="20"/>
      <x:c r="Q1877" s="20"/>
      <x:c r="R1877" s="20"/>
      <x:c r="S1877" s="20"/>
      <x:c r="T1877" s="20"/>
      <x:c r="U1877" s="20"/>
      <x:c r="V1877" s="20"/>
      <x:c r="W1877" s="20"/>
      <x:c r="X1877" s="20"/>
      <x:c r="Y1877" s="21"/>
    </x:row>
    <x:row r="1878">
      <x:c r="A1878" s="19"/>
      <x:c r="B1878" s="27"/>
      <x:c r="C1878" s="20"/>
      <x:c r="D1878" s="28"/>
      <x:c r="E1878" s="20"/>
      <x:c r="F1878" s="25"/>
      <x:c r="G1878" s="20"/>
      <x:c r="H1878" s="20"/>
      <x:c r="I1878" s="20"/>
      <x:c r="J1878" s="20"/>
      <x:c r="K1878" s="20"/>
      <x:c r="L1878" s="20"/>
      <x:c r="M1878" s="20"/>
      <x:c r="N1878" s="20"/>
      <x:c r="O1878" s="20"/>
      <x:c r="P1878" s="20"/>
      <x:c r="Q1878" s="20"/>
      <x:c r="R1878" s="20"/>
      <x:c r="S1878" s="20"/>
      <x:c r="T1878" s="20"/>
      <x:c r="U1878" s="20"/>
      <x:c r="V1878" s="20"/>
      <x:c r="W1878" s="20"/>
      <x:c r="X1878" s="20"/>
      <x:c r="Y1878" s="21"/>
    </x:row>
    <x:row r="1879">
      <x:c r="A1879" s="19"/>
      <x:c r="B1879" s="27"/>
      <x:c r="C1879" s="20"/>
      <x:c r="D1879" s="28"/>
      <x:c r="E1879" s="20"/>
      <x:c r="F1879" s="25"/>
      <x:c r="G1879" s="20"/>
      <x:c r="H1879" s="20"/>
      <x:c r="I1879" s="20"/>
      <x:c r="J1879" s="20"/>
      <x:c r="K1879" s="20"/>
      <x:c r="L1879" s="20"/>
      <x:c r="M1879" s="20"/>
      <x:c r="N1879" s="20"/>
      <x:c r="O1879" s="20"/>
      <x:c r="P1879" s="20"/>
      <x:c r="Q1879" s="20"/>
      <x:c r="R1879" s="20"/>
      <x:c r="S1879" s="20"/>
      <x:c r="T1879" s="20"/>
      <x:c r="U1879" s="20"/>
      <x:c r="V1879" s="20"/>
      <x:c r="W1879" s="20"/>
      <x:c r="X1879" s="20"/>
      <x:c r="Y1879" s="21"/>
    </x:row>
    <x:row r="1880">
      <x:c r="A1880" s="19"/>
      <x:c r="B1880" s="27"/>
      <x:c r="C1880" s="20"/>
      <x:c r="D1880" s="28"/>
      <x:c r="E1880" s="20"/>
      <x:c r="F1880" s="25"/>
      <x:c r="G1880" s="20"/>
      <x:c r="H1880" s="20"/>
      <x:c r="I1880" s="20"/>
      <x:c r="J1880" s="20"/>
      <x:c r="K1880" s="20"/>
      <x:c r="L1880" s="20"/>
      <x:c r="M1880" s="20"/>
      <x:c r="N1880" s="20"/>
      <x:c r="O1880" s="20"/>
      <x:c r="P1880" s="20"/>
      <x:c r="Q1880" s="20"/>
      <x:c r="R1880" s="20"/>
      <x:c r="S1880" s="20"/>
      <x:c r="T1880" s="20"/>
      <x:c r="U1880" s="20"/>
      <x:c r="V1880" s="20"/>
      <x:c r="W1880" s="20"/>
      <x:c r="X1880" s="20"/>
      <x:c r="Y1880" s="21"/>
    </x:row>
    <x:row r="1881">
      <x:c r="A1881" s="19"/>
      <x:c r="B1881" s="27"/>
      <x:c r="C1881" s="20"/>
      <x:c r="D1881" s="28"/>
      <x:c r="E1881" s="20"/>
      <x:c r="F1881" s="25"/>
      <x:c r="G1881" s="20"/>
      <x:c r="H1881" s="20"/>
      <x:c r="I1881" s="20"/>
      <x:c r="J1881" s="20"/>
      <x:c r="K1881" s="20"/>
      <x:c r="L1881" s="20"/>
      <x:c r="M1881" s="20"/>
      <x:c r="N1881" s="20"/>
      <x:c r="O1881" s="20"/>
      <x:c r="P1881" s="20"/>
      <x:c r="Q1881" s="20"/>
      <x:c r="R1881" s="20"/>
      <x:c r="S1881" s="20"/>
      <x:c r="T1881" s="20"/>
      <x:c r="U1881" s="20"/>
      <x:c r="V1881" s="20"/>
      <x:c r="W1881" s="20"/>
      <x:c r="X1881" s="20"/>
      <x:c r="Y1881" s="21"/>
    </x:row>
    <x:row r="1882">
      <x:c r="A1882" s="19"/>
      <x:c r="B1882" s="27"/>
      <x:c r="C1882" s="20"/>
      <x:c r="D1882" s="28"/>
      <x:c r="E1882" s="20"/>
      <x:c r="F1882" s="25"/>
      <x:c r="G1882" s="20"/>
      <x:c r="H1882" s="20"/>
      <x:c r="I1882" s="20"/>
      <x:c r="J1882" s="20"/>
      <x:c r="K1882" s="20"/>
      <x:c r="L1882" s="20"/>
      <x:c r="M1882" s="20"/>
      <x:c r="N1882" s="20"/>
      <x:c r="O1882" s="20"/>
      <x:c r="P1882" s="20"/>
      <x:c r="Q1882" s="20"/>
      <x:c r="R1882" s="20"/>
      <x:c r="S1882" s="20"/>
      <x:c r="T1882" s="20"/>
      <x:c r="U1882" s="20"/>
      <x:c r="V1882" s="20"/>
      <x:c r="W1882" s="20"/>
      <x:c r="X1882" s="20"/>
      <x:c r="Y1882" s="21"/>
    </x:row>
    <x:row r="1883">
      <x:c r="A1883" s="19"/>
      <x:c r="B1883" s="27"/>
      <x:c r="C1883" s="20"/>
      <x:c r="D1883" s="28"/>
      <x:c r="E1883" s="20"/>
      <x:c r="F1883" s="25"/>
      <x:c r="G1883" s="20"/>
      <x:c r="H1883" s="20"/>
      <x:c r="I1883" s="20"/>
      <x:c r="J1883" s="20"/>
      <x:c r="K1883" s="20"/>
      <x:c r="L1883" s="20"/>
      <x:c r="M1883" s="20"/>
      <x:c r="N1883" s="20"/>
      <x:c r="O1883" s="20"/>
      <x:c r="P1883" s="20"/>
      <x:c r="Q1883" s="20"/>
      <x:c r="R1883" s="20"/>
      <x:c r="S1883" s="20"/>
      <x:c r="T1883" s="20"/>
      <x:c r="U1883" s="20"/>
      <x:c r="V1883" s="20"/>
      <x:c r="W1883" s="20"/>
      <x:c r="X1883" s="20"/>
      <x:c r="Y1883" s="21"/>
    </x:row>
    <x:row r="1884">
      <x:c r="A1884" s="19"/>
      <x:c r="B1884" s="27"/>
      <x:c r="C1884" s="20"/>
      <x:c r="D1884" s="28"/>
      <x:c r="E1884" s="20"/>
      <x:c r="F1884" s="25"/>
      <x:c r="G1884" s="20"/>
      <x:c r="H1884" s="20"/>
      <x:c r="I1884" s="20"/>
      <x:c r="J1884" s="20"/>
      <x:c r="K1884" s="20"/>
      <x:c r="L1884" s="20"/>
      <x:c r="M1884" s="20"/>
      <x:c r="N1884" s="20"/>
      <x:c r="O1884" s="20"/>
      <x:c r="P1884" s="20"/>
      <x:c r="Q1884" s="20"/>
      <x:c r="R1884" s="20"/>
      <x:c r="S1884" s="20"/>
      <x:c r="T1884" s="20"/>
      <x:c r="U1884" s="20"/>
      <x:c r="V1884" s="20"/>
      <x:c r="W1884" s="20"/>
      <x:c r="X1884" s="20"/>
      <x:c r="Y1884" s="21"/>
    </x:row>
    <x:row r="1885">
      <x:c r="A1885" s="19"/>
      <x:c r="B1885" s="27"/>
      <x:c r="C1885" s="20"/>
      <x:c r="D1885" s="28"/>
      <x:c r="E1885" s="20"/>
      <x:c r="F1885" s="25"/>
      <x:c r="G1885" s="20"/>
      <x:c r="H1885" s="20"/>
      <x:c r="I1885" s="20"/>
      <x:c r="J1885" s="20"/>
      <x:c r="K1885" s="20"/>
      <x:c r="L1885" s="20"/>
      <x:c r="M1885" s="20"/>
      <x:c r="N1885" s="20"/>
      <x:c r="O1885" s="20"/>
      <x:c r="P1885" s="20"/>
      <x:c r="Q1885" s="20"/>
      <x:c r="R1885" s="20"/>
      <x:c r="S1885" s="20"/>
      <x:c r="T1885" s="20"/>
      <x:c r="U1885" s="20"/>
      <x:c r="V1885" s="20"/>
      <x:c r="W1885" s="20"/>
      <x:c r="X1885" s="20"/>
      <x:c r="Y1885" s="21"/>
    </x:row>
    <x:row r="1886">
      <x:c r="A1886" s="19"/>
      <x:c r="B1886" s="27"/>
      <x:c r="C1886" s="20"/>
      <x:c r="D1886" s="28"/>
      <x:c r="E1886" s="20"/>
      <x:c r="F1886" s="25"/>
      <x:c r="G1886" s="20"/>
      <x:c r="H1886" s="20"/>
      <x:c r="I1886" s="20"/>
      <x:c r="J1886" s="20"/>
      <x:c r="K1886" s="20"/>
      <x:c r="L1886" s="20"/>
      <x:c r="M1886" s="20"/>
      <x:c r="N1886" s="20"/>
      <x:c r="O1886" s="20"/>
      <x:c r="P1886" s="20"/>
      <x:c r="Q1886" s="20"/>
      <x:c r="R1886" s="20"/>
      <x:c r="S1886" s="20"/>
      <x:c r="T1886" s="20"/>
      <x:c r="U1886" s="20"/>
      <x:c r="V1886" s="20"/>
      <x:c r="W1886" s="20"/>
      <x:c r="X1886" s="20"/>
      <x:c r="Y1886" s="21"/>
    </x:row>
    <x:row r="1887">
      <x:c r="A1887" s="19"/>
      <x:c r="B1887" s="27"/>
      <x:c r="C1887" s="20"/>
      <x:c r="D1887" s="28"/>
      <x:c r="E1887" s="20"/>
      <x:c r="F1887" s="25"/>
      <x:c r="G1887" s="20"/>
      <x:c r="H1887" s="20"/>
      <x:c r="I1887" s="20"/>
      <x:c r="J1887" s="20"/>
      <x:c r="K1887" s="20"/>
      <x:c r="L1887" s="20"/>
      <x:c r="M1887" s="20"/>
      <x:c r="N1887" s="20"/>
      <x:c r="O1887" s="20"/>
      <x:c r="P1887" s="20"/>
      <x:c r="Q1887" s="20"/>
      <x:c r="R1887" s="20"/>
      <x:c r="S1887" s="20"/>
      <x:c r="T1887" s="20"/>
      <x:c r="U1887" s="20"/>
      <x:c r="V1887" s="20"/>
      <x:c r="W1887" s="20"/>
      <x:c r="X1887" s="20"/>
      <x:c r="Y1887" s="21"/>
    </x:row>
    <x:row r="1888">
      <x:c r="A1888" s="19"/>
      <x:c r="B1888" s="27"/>
      <x:c r="C1888" s="20"/>
      <x:c r="D1888" s="28"/>
      <x:c r="E1888" s="20"/>
      <x:c r="F1888" s="25"/>
      <x:c r="G1888" s="20"/>
      <x:c r="H1888" s="20"/>
      <x:c r="I1888" s="20"/>
      <x:c r="J1888" s="20"/>
      <x:c r="K1888" s="20"/>
      <x:c r="L1888" s="20"/>
      <x:c r="M1888" s="20"/>
      <x:c r="N1888" s="20"/>
      <x:c r="O1888" s="20"/>
      <x:c r="P1888" s="20"/>
      <x:c r="Q1888" s="20"/>
      <x:c r="R1888" s="20"/>
      <x:c r="S1888" s="20"/>
      <x:c r="T1888" s="20"/>
      <x:c r="U1888" s="20"/>
      <x:c r="V1888" s="20"/>
      <x:c r="W1888" s="20"/>
      <x:c r="X1888" s="20"/>
      <x:c r="Y1888" s="21"/>
    </x:row>
    <x:row r="1889">
      <x:c r="A1889" s="19"/>
      <x:c r="B1889" s="27"/>
      <x:c r="C1889" s="20"/>
      <x:c r="D1889" s="28"/>
      <x:c r="E1889" s="20"/>
      <x:c r="F1889" s="25"/>
      <x:c r="G1889" s="20"/>
      <x:c r="H1889" s="20"/>
      <x:c r="I1889" s="20"/>
      <x:c r="J1889" s="20"/>
      <x:c r="K1889" s="20"/>
      <x:c r="L1889" s="20"/>
      <x:c r="M1889" s="20"/>
      <x:c r="N1889" s="20"/>
      <x:c r="O1889" s="20"/>
      <x:c r="P1889" s="20"/>
      <x:c r="Q1889" s="20"/>
      <x:c r="R1889" s="20"/>
      <x:c r="S1889" s="20"/>
      <x:c r="T1889" s="20"/>
      <x:c r="U1889" s="20"/>
      <x:c r="V1889" s="20"/>
      <x:c r="W1889" s="20"/>
      <x:c r="X1889" s="20"/>
      <x:c r="Y1889" s="21"/>
    </x:row>
    <x:row r="1890">
      <x:c r="A1890" s="19"/>
      <x:c r="B1890" s="27"/>
      <x:c r="C1890" s="20"/>
      <x:c r="D1890" s="28"/>
      <x:c r="E1890" s="20"/>
      <x:c r="F1890" s="25"/>
      <x:c r="G1890" s="20"/>
      <x:c r="H1890" s="20"/>
      <x:c r="I1890" s="20"/>
      <x:c r="J1890" s="20"/>
      <x:c r="K1890" s="20"/>
      <x:c r="L1890" s="20"/>
      <x:c r="M1890" s="20"/>
      <x:c r="N1890" s="20"/>
      <x:c r="O1890" s="20"/>
      <x:c r="P1890" s="20"/>
      <x:c r="Q1890" s="20"/>
      <x:c r="R1890" s="20"/>
      <x:c r="S1890" s="20"/>
      <x:c r="T1890" s="20"/>
      <x:c r="U1890" s="20"/>
      <x:c r="V1890" s="20"/>
      <x:c r="W1890" s="20"/>
      <x:c r="X1890" s="20"/>
      <x:c r="Y1890" s="21"/>
    </x:row>
    <x:row r="1891">
      <x:c r="A1891" s="19"/>
      <x:c r="B1891" s="27"/>
      <x:c r="C1891" s="20"/>
      <x:c r="D1891" s="28"/>
      <x:c r="E1891" s="20"/>
      <x:c r="F1891" s="25"/>
      <x:c r="G1891" s="20"/>
      <x:c r="H1891" s="20"/>
      <x:c r="I1891" s="20"/>
      <x:c r="J1891" s="20"/>
      <x:c r="K1891" s="20"/>
      <x:c r="L1891" s="20"/>
      <x:c r="M1891" s="20"/>
      <x:c r="N1891" s="20"/>
      <x:c r="O1891" s="20"/>
      <x:c r="P1891" s="20"/>
      <x:c r="Q1891" s="20"/>
      <x:c r="R1891" s="20"/>
      <x:c r="S1891" s="20"/>
      <x:c r="T1891" s="20"/>
      <x:c r="U1891" s="20"/>
      <x:c r="V1891" s="20"/>
      <x:c r="W1891" s="20"/>
      <x:c r="X1891" s="20"/>
      <x:c r="Y1891" s="21"/>
    </x:row>
    <x:row r="1892">
      <x:c r="A1892" s="19"/>
      <x:c r="B1892" s="27"/>
      <x:c r="C1892" s="20"/>
      <x:c r="D1892" s="28"/>
      <x:c r="E1892" s="20"/>
      <x:c r="F1892" s="25"/>
      <x:c r="G1892" s="20"/>
      <x:c r="H1892" s="20"/>
      <x:c r="I1892" s="20"/>
      <x:c r="J1892" s="20"/>
      <x:c r="K1892" s="20"/>
      <x:c r="L1892" s="20"/>
      <x:c r="M1892" s="20"/>
      <x:c r="N1892" s="20"/>
      <x:c r="O1892" s="20"/>
      <x:c r="P1892" s="20"/>
      <x:c r="Q1892" s="20"/>
      <x:c r="R1892" s="20"/>
      <x:c r="S1892" s="20"/>
      <x:c r="T1892" s="20"/>
      <x:c r="U1892" s="20"/>
      <x:c r="V1892" s="20"/>
      <x:c r="W1892" s="20"/>
      <x:c r="X1892" s="20"/>
      <x:c r="Y1892" s="21"/>
    </x:row>
    <x:row r="1893">
      <x:c r="A1893" s="19"/>
      <x:c r="B1893" s="27"/>
      <x:c r="C1893" s="20"/>
      <x:c r="D1893" s="28"/>
      <x:c r="E1893" s="20"/>
      <x:c r="F1893" s="25"/>
      <x:c r="G1893" s="20"/>
      <x:c r="H1893" s="20"/>
      <x:c r="I1893" s="20"/>
      <x:c r="J1893" s="20"/>
      <x:c r="K1893" s="20"/>
      <x:c r="L1893" s="20"/>
      <x:c r="M1893" s="20"/>
      <x:c r="N1893" s="20"/>
      <x:c r="O1893" s="20"/>
      <x:c r="P1893" s="20"/>
      <x:c r="Q1893" s="20"/>
      <x:c r="R1893" s="20"/>
      <x:c r="S1893" s="20"/>
      <x:c r="T1893" s="20"/>
      <x:c r="U1893" s="20"/>
      <x:c r="V1893" s="20"/>
      <x:c r="W1893" s="20"/>
      <x:c r="X1893" s="20"/>
      <x:c r="Y1893" s="21"/>
    </x:row>
    <x:row r="1894">
      <x:c r="A1894" s="19"/>
      <x:c r="B1894" s="27"/>
      <x:c r="C1894" s="20"/>
      <x:c r="D1894" s="28"/>
      <x:c r="E1894" s="20"/>
      <x:c r="F1894" s="25"/>
      <x:c r="G1894" s="20"/>
      <x:c r="H1894" s="20"/>
      <x:c r="I1894" s="20"/>
      <x:c r="J1894" s="20"/>
      <x:c r="K1894" s="20"/>
      <x:c r="L1894" s="20"/>
      <x:c r="M1894" s="20"/>
      <x:c r="N1894" s="20"/>
      <x:c r="O1894" s="20"/>
      <x:c r="P1894" s="20"/>
      <x:c r="Q1894" s="20"/>
      <x:c r="R1894" s="20"/>
      <x:c r="S1894" s="20"/>
      <x:c r="T1894" s="20"/>
      <x:c r="U1894" s="20"/>
      <x:c r="V1894" s="20"/>
      <x:c r="W1894" s="20"/>
      <x:c r="X1894" s="20"/>
      <x:c r="Y1894" s="21"/>
    </x:row>
    <x:row r="1895">
      <x:c r="A1895" s="19"/>
      <x:c r="B1895" s="27"/>
      <x:c r="C1895" s="20"/>
      <x:c r="D1895" s="28"/>
      <x:c r="E1895" s="20"/>
      <x:c r="F1895" s="25"/>
      <x:c r="G1895" s="20"/>
      <x:c r="H1895" s="20"/>
      <x:c r="I1895" s="20"/>
      <x:c r="J1895" s="20"/>
      <x:c r="K1895" s="20"/>
      <x:c r="L1895" s="20"/>
      <x:c r="M1895" s="20"/>
      <x:c r="N1895" s="20"/>
      <x:c r="O1895" s="20"/>
      <x:c r="P1895" s="20"/>
      <x:c r="Q1895" s="20"/>
      <x:c r="R1895" s="20"/>
      <x:c r="S1895" s="20"/>
      <x:c r="T1895" s="20"/>
      <x:c r="U1895" s="20"/>
      <x:c r="V1895" s="20"/>
      <x:c r="W1895" s="20"/>
      <x:c r="X1895" s="20"/>
      <x:c r="Y1895" s="21"/>
    </x:row>
    <x:row r="1896">
      <x:c r="A1896" s="19"/>
      <x:c r="B1896" s="27"/>
      <x:c r="C1896" s="20"/>
      <x:c r="D1896" s="28"/>
      <x:c r="E1896" s="20"/>
      <x:c r="F1896" s="25"/>
      <x:c r="G1896" s="20"/>
      <x:c r="H1896" s="20"/>
      <x:c r="I1896" s="20"/>
      <x:c r="J1896" s="20"/>
      <x:c r="K1896" s="20"/>
      <x:c r="L1896" s="20"/>
      <x:c r="M1896" s="20"/>
      <x:c r="N1896" s="20"/>
      <x:c r="O1896" s="20"/>
      <x:c r="P1896" s="20"/>
      <x:c r="Q1896" s="20"/>
      <x:c r="R1896" s="20"/>
      <x:c r="S1896" s="20"/>
      <x:c r="T1896" s="20"/>
      <x:c r="U1896" s="20"/>
      <x:c r="V1896" s="20"/>
      <x:c r="W1896" s="20"/>
      <x:c r="X1896" s="20"/>
      <x:c r="Y1896" s="21"/>
    </x:row>
    <x:row r="1897">
      <x:c r="A1897" s="19"/>
      <x:c r="B1897" s="27"/>
      <x:c r="C1897" s="20"/>
      <x:c r="D1897" s="28"/>
      <x:c r="E1897" s="20"/>
      <x:c r="F1897" s="25"/>
      <x:c r="G1897" s="20"/>
      <x:c r="H1897" s="20"/>
      <x:c r="I1897" s="20"/>
      <x:c r="J1897" s="20"/>
      <x:c r="K1897" s="20"/>
      <x:c r="L1897" s="20"/>
      <x:c r="M1897" s="20"/>
      <x:c r="N1897" s="20"/>
      <x:c r="O1897" s="20"/>
      <x:c r="P1897" s="20"/>
      <x:c r="Q1897" s="20"/>
      <x:c r="R1897" s="20"/>
      <x:c r="S1897" s="20"/>
      <x:c r="T1897" s="20"/>
      <x:c r="U1897" s="20"/>
      <x:c r="V1897" s="20"/>
      <x:c r="W1897" s="20"/>
      <x:c r="X1897" s="20"/>
      <x:c r="Y1897" s="21"/>
    </x:row>
    <x:row r="1898">
      <x:c r="A1898" s="19"/>
      <x:c r="B1898" s="27"/>
      <x:c r="C1898" s="20"/>
      <x:c r="D1898" s="28"/>
      <x:c r="E1898" s="20"/>
      <x:c r="F1898" s="25"/>
      <x:c r="G1898" s="20"/>
      <x:c r="H1898" s="20"/>
      <x:c r="I1898" s="20"/>
      <x:c r="J1898" s="20"/>
      <x:c r="K1898" s="20"/>
      <x:c r="L1898" s="20"/>
      <x:c r="M1898" s="20"/>
      <x:c r="N1898" s="20"/>
      <x:c r="O1898" s="20"/>
      <x:c r="P1898" s="20"/>
      <x:c r="Q1898" s="20"/>
      <x:c r="R1898" s="20"/>
      <x:c r="S1898" s="20"/>
      <x:c r="T1898" s="20"/>
      <x:c r="U1898" s="20"/>
      <x:c r="V1898" s="20"/>
      <x:c r="W1898" s="20"/>
      <x:c r="X1898" s="20"/>
      <x:c r="Y1898" s="21"/>
    </x:row>
    <x:row r="1899">
      <x:c r="A1899" s="19"/>
      <x:c r="B1899" s="27"/>
      <x:c r="C1899" s="20"/>
      <x:c r="D1899" s="28"/>
      <x:c r="E1899" s="20"/>
      <x:c r="F1899" s="25"/>
      <x:c r="G1899" s="20"/>
      <x:c r="H1899" s="20"/>
      <x:c r="I1899" s="20"/>
      <x:c r="J1899" s="20"/>
      <x:c r="K1899" s="20"/>
      <x:c r="L1899" s="20"/>
      <x:c r="M1899" s="20"/>
      <x:c r="N1899" s="20"/>
      <x:c r="O1899" s="20"/>
      <x:c r="P1899" s="20"/>
      <x:c r="Q1899" s="20"/>
      <x:c r="R1899" s="20"/>
      <x:c r="S1899" s="20"/>
      <x:c r="T1899" s="20"/>
      <x:c r="U1899" s="20"/>
      <x:c r="V1899" s="20"/>
      <x:c r="W1899" s="20"/>
      <x:c r="X1899" s="20"/>
      <x:c r="Y1899" s="21"/>
    </x:row>
    <x:row r="1900">
      <x:c r="A1900" s="19"/>
      <x:c r="B1900" s="27"/>
      <x:c r="C1900" s="20"/>
      <x:c r="D1900" s="28"/>
      <x:c r="E1900" s="20"/>
      <x:c r="F1900" s="25"/>
      <x:c r="G1900" s="20"/>
      <x:c r="H1900" s="20"/>
      <x:c r="I1900" s="20"/>
      <x:c r="J1900" s="20"/>
      <x:c r="K1900" s="20"/>
      <x:c r="L1900" s="20"/>
      <x:c r="M1900" s="20"/>
      <x:c r="N1900" s="20"/>
      <x:c r="O1900" s="20"/>
      <x:c r="P1900" s="20"/>
      <x:c r="Q1900" s="20"/>
      <x:c r="R1900" s="20"/>
      <x:c r="S1900" s="20"/>
      <x:c r="T1900" s="20"/>
      <x:c r="U1900" s="20"/>
      <x:c r="V1900" s="20"/>
      <x:c r="W1900" s="20"/>
      <x:c r="X1900" s="20"/>
      <x:c r="Y1900" s="21"/>
    </x:row>
    <x:row r="1901">
      <x:c r="A1901" s="19"/>
      <x:c r="B1901" s="27"/>
      <x:c r="C1901" s="20"/>
      <x:c r="D1901" s="28"/>
      <x:c r="E1901" s="20"/>
      <x:c r="F1901" s="25"/>
      <x:c r="G1901" s="20"/>
      <x:c r="H1901" s="20"/>
      <x:c r="I1901" s="20"/>
      <x:c r="J1901" s="20"/>
      <x:c r="K1901" s="20"/>
      <x:c r="L1901" s="20"/>
      <x:c r="M1901" s="20"/>
      <x:c r="N1901" s="20"/>
      <x:c r="O1901" s="20"/>
      <x:c r="P1901" s="20"/>
      <x:c r="Q1901" s="20"/>
      <x:c r="R1901" s="20"/>
      <x:c r="S1901" s="20"/>
      <x:c r="T1901" s="20"/>
      <x:c r="U1901" s="20"/>
      <x:c r="V1901" s="20"/>
      <x:c r="W1901" s="20"/>
      <x:c r="X1901" s="20"/>
      <x:c r="Y1901" s="21"/>
    </x:row>
    <x:row r="1902">
      <x:c r="A1902" s="19"/>
      <x:c r="B1902" s="27"/>
      <x:c r="C1902" s="20"/>
      <x:c r="D1902" s="28"/>
      <x:c r="E1902" s="20"/>
      <x:c r="F1902" s="25"/>
      <x:c r="G1902" s="20"/>
      <x:c r="H1902" s="20"/>
      <x:c r="I1902" s="20"/>
      <x:c r="J1902" s="20"/>
      <x:c r="K1902" s="20"/>
      <x:c r="L1902" s="20"/>
      <x:c r="M1902" s="20"/>
      <x:c r="N1902" s="20"/>
      <x:c r="O1902" s="20"/>
      <x:c r="P1902" s="20"/>
      <x:c r="Q1902" s="20"/>
      <x:c r="R1902" s="20"/>
      <x:c r="S1902" s="20"/>
      <x:c r="T1902" s="20"/>
      <x:c r="U1902" s="20"/>
      <x:c r="V1902" s="20"/>
      <x:c r="W1902" s="20"/>
      <x:c r="X1902" s="20"/>
      <x:c r="Y1902" s="21"/>
    </x:row>
    <x:row r="1903">
      <x:c r="A1903" s="19"/>
      <x:c r="B1903" s="27"/>
      <x:c r="C1903" s="20"/>
      <x:c r="D1903" s="28"/>
      <x:c r="E1903" s="20"/>
      <x:c r="F1903" s="25"/>
      <x:c r="G1903" s="20"/>
      <x:c r="H1903" s="20"/>
      <x:c r="I1903" s="20"/>
      <x:c r="J1903" s="20"/>
      <x:c r="K1903" s="20"/>
      <x:c r="L1903" s="20"/>
      <x:c r="M1903" s="20"/>
      <x:c r="N1903" s="20"/>
      <x:c r="O1903" s="20"/>
      <x:c r="P1903" s="20"/>
      <x:c r="Q1903" s="20"/>
      <x:c r="R1903" s="20"/>
      <x:c r="S1903" s="20"/>
      <x:c r="T1903" s="20"/>
      <x:c r="U1903" s="20"/>
      <x:c r="V1903" s="20"/>
      <x:c r="W1903" s="20"/>
      <x:c r="X1903" s="20"/>
      <x:c r="Y1903" s="21"/>
    </x:row>
    <x:row r="1904">
      <x:c r="A1904" s="19"/>
      <x:c r="B1904" s="27"/>
      <x:c r="C1904" s="20"/>
      <x:c r="D1904" s="28"/>
      <x:c r="E1904" s="20"/>
      <x:c r="F1904" s="25"/>
      <x:c r="G1904" s="20"/>
      <x:c r="H1904" s="20"/>
      <x:c r="I1904" s="20"/>
      <x:c r="J1904" s="20"/>
      <x:c r="K1904" s="20"/>
      <x:c r="L1904" s="20"/>
      <x:c r="M1904" s="20"/>
      <x:c r="N1904" s="20"/>
      <x:c r="O1904" s="20"/>
      <x:c r="P1904" s="20"/>
      <x:c r="Q1904" s="20"/>
      <x:c r="R1904" s="20"/>
      <x:c r="S1904" s="20"/>
      <x:c r="T1904" s="20"/>
      <x:c r="U1904" s="20"/>
      <x:c r="V1904" s="20"/>
      <x:c r="W1904" s="20"/>
      <x:c r="X1904" s="20"/>
      <x:c r="Y1904" s="21"/>
    </x:row>
    <x:row r="1905">
      <x:c r="A1905" s="19"/>
      <x:c r="B1905" s="27"/>
      <x:c r="C1905" s="20"/>
      <x:c r="D1905" s="28"/>
      <x:c r="E1905" s="20"/>
      <x:c r="F1905" s="25"/>
      <x:c r="G1905" s="20"/>
      <x:c r="H1905" s="20"/>
      <x:c r="I1905" s="20"/>
      <x:c r="J1905" s="20"/>
      <x:c r="K1905" s="20"/>
      <x:c r="L1905" s="20"/>
      <x:c r="M1905" s="20"/>
      <x:c r="N1905" s="20"/>
      <x:c r="O1905" s="20"/>
      <x:c r="P1905" s="20"/>
      <x:c r="Q1905" s="20"/>
      <x:c r="R1905" s="20"/>
      <x:c r="S1905" s="20"/>
      <x:c r="T1905" s="20"/>
      <x:c r="U1905" s="20"/>
      <x:c r="V1905" s="20"/>
      <x:c r="W1905" s="20"/>
      <x:c r="X1905" s="20"/>
      <x:c r="Y1905" s="21"/>
    </x:row>
    <x:row r="1906">
      <x:c r="A1906" s="19"/>
      <x:c r="B1906" s="27"/>
      <x:c r="C1906" s="20"/>
      <x:c r="D1906" s="28"/>
      <x:c r="E1906" s="20"/>
      <x:c r="F1906" s="25"/>
      <x:c r="G1906" s="20"/>
      <x:c r="H1906" s="20"/>
      <x:c r="I1906" s="20"/>
      <x:c r="J1906" s="20"/>
      <x:c r="K1906" s="20"/>
      <x:c r="L1906" s="20"/>
      <x:c r="M1906" s="20"/>
      <x:c r="N1906" s="20"/>
      <x:c r="O1906" s="20"/>
      <x:c r="P1906" s="20"/>
      <x:c r="Q1906" s="20"/>
      <x:c r="R1906" s="20"/>
      <x:c r="S1906" s="20"/>
      <x:c r="T1906" s="20"/>
      <x:c r="U1906" s="20"/>
      <x:c r="V1906" s="20"/>
      <x:c r="W1906" s="20"/>
      <x:c r="X1906" s="20"/>
      <x:c r="Y1906" s="21"/>
    </x:row>
    <x:row r="1907">
      <x:c r="A1907" s="19"/>
      <x:c r="B1907" s="27"/>
      <x:c r="C1907" s="20"/>
      <x:c r="D1907" s="28"/>
      <x:c r="E1907" s="20"/>
      <x:c r="F1907" s="25"/>
      <x:c r="G1907" s="20"/>
      <x:c r="H1907" s="20"/>
      <x:c r="I1907" s="20"/>
      <x:c r="J1907" s="20"/>
      <x:c r="K1907" s="20"/>
      <x:c r="L1907" s="20"/>
      <x:c r="M1907" s="20"/>
      <x:c r="N1907" s="20"/>
      <x:c r="O1907" s="20"/>
      <x:c r="P1907" s="20"/>
      <x:c r="Q1907" s="20"/>
      <x:c r="R1907" s="20"/>
      <x:c r="S1907" s="20"/>
      <x:c r="T1907" s="20"/>
      <x:c r="U1907" s="20"/>
      <x:c r="V1907" s="20"/>
      <x:c r="W1907" s="20"/>
      <x:c r="X1907" s="20"/>
      <x:c r="Y1907" s="21"/>
    </x:row>
    <x:row r="1908">
      <x:c r="A1908" s="19"/>
      <x:c r="B1908" s="27"/>
      <x:c r="C1908" s="20"/>
      <x:c r="D1908" s="28"/>
      <x:c r="E1908" s="20"/>
      <x:c r="F1908" s="25"/>
      <x:c r="G1908" s="20"/>
      <x:c r="H1908" s="20"/>
      <x:c r="I1908" s="20"/>
      <x:c r="J1908" s="20"/>
      <x:c r="K1908" s="20"/>
      <x:c r="L1908" s="20"/>
      <x:c r="M1908" s="20"/>
      <x:c r="N1908" s="20"/>
      <x:c r="O1908" s="20"/>
      <x:c r="P1908" s="20"/>
      <x:c r="Q1908" s="20"/>
      <x:c r="R1908" s="20"/>
      <x:c r="S1908" s="20"/>
      <x:c r="T1908" s="20"/>
      <x:c r="U1908" s="20"/>
      <x:c r="V1908" s="20"/>
      <x:c r="W1908" s="20"/>
      <x:c r="X1908" s="20"/>
      <x:c r="Y1908" s="21"/>
    </x:row>
    <x:row r="1909">
      <x:c r="A1909" s="19"/>
      <x:c r="B1909" s="27"/>
      <x:c r="C1909" s="20"/>
      <x:c r="D1909" s="28"/>
      <x:c r="E1909" s="20"/>
      <x:c r="F1909" s="25"/>
      <x:c r="G1909" s="20"/>
      <x:c r="H1909" s="20"/>
      <x:c r="I1909" s="20"/>
      <x:c r="J1909" s="20"/>
      <x:c r="K1909" s="20"/>
      <x:c r="L1909" s="20"/>
      <x:c r="M1909" s="20"/>
      <x:c r="N1909" s="20"/>
      <x:c r="O1909" s="20"/>
      <x:c r="P1909" s="20"/>
      <x:c r="Q1909" s="20"/>
      <x:c r="R1909" s="20"/>
      <x:c r="S1909" s="20"/>
      <x:c r="T1909" s="20"/>
      <x:c r="U1909" s="20"/>
      <x:c r="V1909" s="20"/>
      <x:c r="W1909" s="20"/>
      <x:c r="X1909" s="20"/>
      <x:c r="Y1909" s="21"/>
    </x:row>
    <x:row r="1910">
      <x:c r="A1910" s="19"/>
      <x:c r="B1910" s="27"/>
      <x:c r="C1910" s="20"/>
      <x:c r="D1910" s="28"/>
      <x:c r="E1910" s="20"/>
      <x:c r="F1910" s="25"/>
      <x:c r="G1910" s="20"/>
      <x:c r="H1910" s="20"/>
      <x:c r="I1910" s="20"/>
      <x:c r="J1910" s="20"/>
      <x:c r="K1910" s="20"/>
      <x:c r="L1910" s="20"/>
      <x:c r="M1910" s="20"/>
      <x:c r="N1910" s="20"/>
      <x:c r="O1910" s="20"/>
      <x:c r="P1910" s="20"/>
      <x:c r="Q1910" s="20"/>
      <x:c r="R1910" s="20"/>
      <x:c r="S1910" s="20"/>
      <x:c r="T1910" s="20"/>
      <x:c r="U1910" s="20"/>
      <x:c r="V1910" s="20"/>
      <x:c r="W1910" s="20"/>
      <x:c r="X1910" s="20"/>
      <x:c r="Y1910" s="21"/>
    </x:row>
    <x:row r="1911">
      <x:c r="A1911" s="19"/>
      <x:c r="B1911" s="27"/>
      <x:c r="C1911" s="20"/>
      <x:c r="D1911" s="28"/>
      <x:c r="E1911" s="20"/>
      <x:c r="F1911" s="25"/>
      <x:c r="G1911" s="20"/>
      <x:c r="H1911" s="20"/>
      <x:c r="I1911" s="20"/>
      <x:c r="J1911" s="20"/>
      <x:c r="K1911" s="20"/>
      <x:c r="L1911" s="20"/>
      <x:c r="M1911" s="20"/>
      <x:c r="N1911" s="20"/>
      <x:c r="O1911" s="20"/>
      <x:c r="P1911" s="20"/>
      <x:c r="Q1911" s="20"/>
      <x:c r="R1911" s="20"/>
      <x:c r="S1911" s="20"/>
      <x:c r="T1911" s="20"/>
      <x:c r="U1911" s="20"/>
      <x:c r="V1911" s="20"/>
      <x:c r="W1911" s="20"/>
      <x:c r="X1911" s="20"/>
      <x:c r="Y1911" s="21"/>
    </x:row>
    <x:row r="1912">
      <x:c r="A1912" s="19"/>
      <x:c r="B1912" s="27"/>
      <x:c r="C1912" s="20"/>
      <x:c r="D1912" s="28"/>
      <x:c r="E1912" s="20"/>
      <x:c r="F1912" s="25"/>
      <x:c r="G1912" s="20"/>
      <x:c r="H1912" s="20"/>
      <x:c r="I1912" s="20"/>
      <x:c r="J1912" s="20"/>
      <x:c r="K1912" s="20"/>
      <x:c r="L1912" s="20"/>
      <x:c r="M1912" s="20"/>
      <x:c r="N1912" s="20"/>
      <x:c r="O1912" s="20"/>
      <x:c r="P1912" s="20"/>
      <x:c r="Q1912" s="20"/>
      <x:c r="R1912" s="20"/>
      <x:c r="S1912" s="20"/>
      <x:c r="T1912" s="20"/>
      <x:c r="U1912" s="20"/>
      <x:c r="V1912" s="20"/>
      <x:c r="W1912" s="20"/>
      <x:c r="X1912" s="20"/>
      <x:c r="Y1912" s="21"/>
    </x:row>
    <x:row r="1913">
      <x:c r="A1913" s="19"/>
      <x:c r="B1913" s="27"/>
      <x:c r="C1913" s="20"/>
      <x:c r="D1913" s="28"/>
      <x:c r="E1913" s="20"/>
      <x:c r="F1913" s="25"/>
      <x:c r="G1913" s="20"/>
      <x:c r="H1913" s="20"/>
      <x:c r="I1913" s="20"/>
      <x:c r="J1913" s="20"/>
      <x:c r="K1913" s="20"/>
      <x:c r="L1913" s="20"/>
      <x:c r="M1913" s="20"/>
      <x:c r="N1913" s="20"/>
      <x:c r="O1913" s="20"/>
      <x:c r="P1913" s="20"/>
      <x:c r="Q1913" s="20"/>
      <x:c r="R1913" s="20"/>
      <x:c r="S1913" s="20"/>
      <x:c r="T1913" s="20"/>
      <x:c r="U1913" s="20"/>
      <x:c r="V1913" s="20"/>
      <x:c r="W1913" s="20"/>
      <x:c r="X1913" s="20"/>
      <x:c r="Y1913" s="21"/>
    </x:row>
    <x:row r="1914">
      <x:c r="A1914" s="19"/>
      <x:c r="B1914" s="27"/>
      <x:c r="C1914" s="20"/>
      <x:c r="D1914" s="28"/>
      <x:c r="E1914" s="20"/>
      <x:c r="F1914" s="25"/>
      <x:c r="G1914" s="20"/>
      <x:c r="H1914" s="20"/>
      <x:c r="I1914" s="20"/>
      <x:c r="J1914" s="20"/>
      <x:c r="K1914" s="20"/>
      <x:c r="L1914" s="20"/>
      <x:c r="M1914" s="20"/>
      <x:c r="N1914" s="20"/>
      <x:c r="O1914" s="20"/>
      <x:c r="P1914" s="20"/>
      <x:c r="Q1914" s="20"/>
      <x:c r="R1914" s="20"/>
      <x:c r="S1914" s="20"/>
      <x:c r="T1914" s="20"/>
      <x:c r="U1914" s="20"/>
      <x:c r="V1914" s="20"/>
      <x:c r="W1914" s="20"/>
      <x:c r="X1914" s="20"/>
      <x:c r="Y1914" s="21"/>
    </x:row>
    <x:row r="1915">
      <x:c r="A1915" s="19"/>
      <x:c r="B1915" s="27"/>
      <x:c r="C1915" s="20"/>
      <x:c r="D1915" s="28"/>
      <x:c r="E1915" s="20"/>
      <x:c r="F1915" s="25"/>
      <x:c r="G1915" s="20"/>
      <x:c r="H1915" s="20"/>
      <x:c r="I1915" s="20"/>
      <x:c r="J1915" s="20"/>
      <x:c r="K1915" s="20"/>
      <x:c r="L1915" s="20"/>
      <x:c r="M1915" s="20"/>
      <x:c r="N1915" s="20"/>
      <x:c r="O1915" s="20"/>
      <x:c r="P1915" s="20"/>
      <x:c r="Q1915" s="20"/>
      <x:c r="R1915" s="20"/>
      <x:c r="S1915" s="20"/>
      <x:c r="T1915" s="20"/>
      <x:c r="U1915" s="20"/>
      <x:c r="V1915" s="20"/>
      <x:c r="W1915" s="20"/>
      <x:c r="X1915" s="20"/>
      <x:c r="Y1915" s="21"/>
    </x:row>
    <x:row r="1916">
      <x:c r="A1916" s="19"/>
      <x:c r="B1916" s="27"/>
      <x:c r="C1916" s="20"/>
      <x:c r="D1916" s="28"/>
      <x:c r="E1916" s="20"/>
      <x:c r="F1916" s="25"/>
      <x:c r="G1916" s="20"/>
      <x:c r="H1916" s="20"/>
      <x:c r="I1916" s="20"/>
      <x:c r="J1916" s="20"/>
      <x:c r="K1916" s="20"/>
      <x:c r="L1916" s="20"/>
      <x:c r="M1916" s="20"/>
      <x:c r="N1916" s="20"/>
      <x:c r="O1916" s="20"/>
      <x:c r="P1916" s="20"/>
      <x:c r="Q1916" s="20"/>
      <x:c r="R1916" s="20"/>
      <x:c r="S1916" s="20"/>
      <x:c r="T1916" s="20"/>
      <x:c r="U1916" s="20"/>
      <x:c r="V1916" s="20"/>
      <x:c r="W1916" s="20"/>
      <x:c r="X1916" s="20"/>
      <x:c r="Y1916" s="21"/>
    </x:row>
    <x:row r="1917">
      <x:c r="A1917" s="19"/>
      <x:c r="B1917" s="27"/>
      <x:c r="C1917" s="20"/>
      <x:c r="D1917" s="28"/>
      <x:c r="E1917" s="20"/>
      <x:c r="F1917" s="25"/>
      <x:c r="G1917" s="20"/>
      <x:c r="H1917" s="20"/>
      <x:c r="I1917" s="20"/>
      <x:c r="J1917" s="20"/>
      <x:c r="K1917" s="20"/>
      <x:c r="L1917" s="20"/>
      <x:c r="M1917" s="20"/>
      <x:c r="N1917" s="20"/>
      <x:c r="O1917" s="20"/>
      <x:c r="P1917" s="20"/>
      <x:c r="Q1917" s="20"/>
      <x:c r="R1917" s="20"/>
      <x:c r="S1917" s="20"/>
      <x:c r="T1917" s="20"/>
      <x:c r="U1917" s="20"/>
      <x:c r="V1917" s="20"/>
      <x:c r="W1917" s="20"/>
      <x:c r="X1917" s="20"/>
      <x:c r="Y1917" s="21"/>
    </x:row>
    <x:row r="1918">
      <x:c r="A1918" s="19"/>
      <x:c r="B1918" s="27"/>
      <x:c r="C1918" s="20"/>
      <x:c r="D1918" s="28"/>
      <x:c r="E1918" s="20"/>
      <x:c r="F1918" s="25"/>
      <x:c r="G1918" s="20"/>
      <x:c r="H1918" s="20"/>
      <x:c r="I1918" s="20"/>
      <x:c r="J1918" s="20"/>
      <x:c r="K1918" s="20"/>
      <x:c r="L1918" s="20"/>
      <x:c r="M1918" s="20"/>
      <x:c r="N1918" s="20"/>
      <x:c r="O1918" s="20"/>
      <x:c r="P1918" s="20"/>
      <x:c r="Q1918" s="20"/>
      <x:c r="R1918" s="20"/>
      <x:c r="S1918" s="20"/>
      <x:c r="T1918" s="20"/>
      <x:c r="U1918" s="20"/>
      <x:c r="V1918" s="20"/>
      <x:c r="W1918" s="20"/>
      <x:c r="X1918" s="20"/>
      <x:c r="Y1918" s="21"/>
    </x:row>
    <x:row r="1919">
      <x:c r="A1919" s="19"/>
      <x:c r="B1919" s="27"/>
      <x:c r="C1919" s="20"/>
      <x:c r="D1919" s="28"/>
      <x:c r="E1919" s="20"/>
      <x:c r="F1919" s="25"/>
      <x:c r="G1919" s="20"/>
      <x:c r="H1919" s="20"/>
      <x:c r="I1919" s="20"/>
      <x:c r="J1919" s="20"/>
      <x:c r="K1919" s="20"/>
      <x:c r="L1919" s="20"/>
      <x:c r="M1919" s="20"/>
      <x:c r="N1919" s="20"/>
      <x:c r="O1919" s="20"/>
      <x:c r="P1919" s="20"/>
      <x:c r="Q1919" s="20"/>
      <x:c r="R1919" s="20"/>
      <x:c r="S1919" s="20"/>
      <x:c r="T1919" s="20"/>
      <x:c r="U1919" s="20"/>
      <x:c r="V1919" s="20"/>
      <x:c r="W1919" s="20"/>
      <x:c r="X1919" s="20"/>
      <x:c r="Y1919" s="21"/>
    </x:row>
    <x:row r="1920">
      <x:c r="A1920" s="19"/>
      <x:c r="B1920" s="27"/>
      <x:c r="C1920" s="20"/>
      <x:c r="D1920" s="28"/>
      <x:c r="E1920" s="20"/>
      <x:c r="F1920" s="25"/>
      <x:c r="G1920" s="20"/>
      <x:c r="H1920" s="20"/>
      <x:c r="I1920" s="20"/>
      <x:c r="J1920" s="20"/>
      <x:c r="K1920" s="20"/>
      <x:c r="L1920" s="20"/>
      <x:c r="M1920" s="20"/>
      <x:c r="N1920" s="20"/>
      <x:c r="O1920" s="20"/>
      <x:c r="P1920" s="20"/>
      <x:c r="Q1920" s="20"/>
      <x:c r="R1920" s="20"/>
      <x:c r="S1920" s="20"/>
      <x:c r="T1920" s="20"/>
      <x:c r="U1920" s="20"/>
      <x:c r="V1920" s="20"/>
      <x:c r="W1920" s="20"/>
      <x:c r="X1920" s="20"/>
      <x:c r="Y1920" s="21"/>
    </x:row>
    <x:row r="1921">
      <x:c r="A1921" s="19"/>
      <x:c r="B1921" s="27"/>
      <x:c r="C1921" s="20"/>
      <x:c r="D1921" s="28"/>
      <x:c r="E1921" s="20"/>
      <x:c r="F1921" s="25"/>
      <x:c r="G1921" s="20"/>
      <x:c r="H1921" s="20"/>
      <x:c r="I1921" s="20"/>
      <x:c r="J1921" s="20"/>
      <x:c r="K1921" s="20"/>
      <x:c r="L1921" s="20"/>
      <x:c r="M1921" s="20"/>
      <x:c r="N1921" s="20"/>
      <x:c r="O1921" s="20"/>
      <x:c r="P1921" s="20"/>
      <x:c r="Q1921" s="20"/>
      <x:c r="R1921" s="20"/>
      <x:c r="S1921" s="20"/>
      <x:c r="T1921" s="20"/>
      <x:c r="U1921" s="20"/>
      <x:c r="V1921" s="20"/>
      <x:c r="W1921" s="20"/>
      <x:c r="X1921" s="20"/>
      <x:c r="Y1921" s="21"/>
    </x:row>
    <x:row r="1922">
      <x:c r="A1922" s="19"/>
      <x:c r="B1922" s="27"/>
      <x:c r="C1922" s="20"/>
      <x:c r="D1922" s="28"/>
      <x:c r="E1922" s="20"/>
      <x:c r="F1922" s="25"/>
      <x:c r="G1922" s="20"/>
      <x:c r="H1922" s="20"/>
      <x:c r="I1922" s="20"/>
      <x:c r="J1922" s="20"/>
      <x:c r="K1922" s="20"/>
      <x:c r="L1922" s="20"/>
      <x:c r="M1922" s="20"/>
      <x:c r="N1922" s="20"/>
      <x:c r="O1922" s="20"/>
      <x:c r="P1922" s="20"/>
      <x:c r="Q1922" s="20"/>
      <x:c r="R1922" s="20"/>
      <x:c r="S1922" s="20"/>
      <x:c r="T1922" s="20"/>
      <x:c r="U1922" s="20"/>
      <x:c r="V1922" s="20"/>
      <x:c r="W1922" s="20"/>
      <x:c r="X1922" s="20"/>
      <x:c r="Y1922" s="21"/>
    </x:row>
    <x:row r="1923">
      <x:c r="A1923" s="19"/>
      <x:c r="B1923" s="27"/>
      <x:c r="C1923" s="20"/>
      <x:c r="D1923" s="28"/>
      <x:c r="E1923" s="20"/>
      <x:c r="F1923" s="25"/>
      <x:c r="G1923" s="20"/>
      <x:c r="H1923" s="20"/>
      <x:c r="I1923" s="20"/>
      <x:c r="J1923" s="20"/>
      <x:c r="K1923" s="20"/>
      <x:c r="L1923" s="20"/>
      <x:c r="M1923" s="20"/>
      <x:c r="N1923" s="20"/>
      <x:c r="O1923" s="20"/>
      <x:c r="P1923" s="20"/>
      <x:c r="Q1923" s="20"/>
      <x:c r="R1923" s="20"/>
      <x:c r="S1923" s="20"/>
      <x:c r="T1923" s="20"/>
      <x:c r="U1923" s="20"/>
      <x:c r="V1923" s="20"/>
      <x:c r="W1923" s="20"/>
      <x:c r="X1923" s="20"/>
      <x:c r="Y1923" s="21"/>
    </x:row>
    <x:row r="1924">
      <x:c r="A1924" s="19"/>
      <x:c r="B1924" s="27"/>
      <x:c r="C1924" s="20"/>
      <x:c r="D1924" s="28"/>
      <x:c r="E1924" s="20"/>
      <x:c r="F1924" s="25"/>
      <x:c r="G1924" s="20"/>
      <x:c r="H1924" s="20"/>
      <x:c r="I1924" s="20"/>
      <x:c r="J1924" s="20"/>
      <x:c r="K1924" s="20"/>
      <x:c r="L1924" s="20"/>
      <x:c r="M1924" s="20"/>
      <x:c r="N1924" s="20"/>
      <x:c r="O1924" s="20"/>
      <x:c r="P1924" s="20"/>
      <x:c r="Q1924" s="20"/>
      <x:c r="R1924" s="20"/>
      <x:c r="S1924" s="20"/>
      <x:c r="T1924" s="20"/>
      <x:c r="U1924" s="20"/>
      <x:c r="V1924" s="20"/>
      <x:c r="W1924" s="20"/>
      <x:c r="X1924" s="20"/>
      <x:c r="Y1924" s="21"/>
    </x:row>
    <x:row r="1925">
      <x:c r="A1925" s="19"/>
      <x:c r="B1925" s="27"/>
      <x:c r="C1925" s="20"/>
      <x:c r="D1925" s="28"/>
      <x:c r="E1925" s="20"/>
      <x:c r="F1925" s="25"/>
      <x:c r="G1925" s="20"/>
      <x:c r="H1925" s="20"/>
      <x:c r="I1925" s="20"/>
      <x:c r="J1925" s="20"/>
      <x:c r="K1925" s="20"/>
      <x:c r="L1925" s="20"/>
      <x:c r="M1925" s="20"/>
      <x:c r="N1925" s="20"/>
      <x:c r="O1925" s="20"/>
      <x:c r="P1925" s="20"/>
      <x:c r="Q1925" s="20"/>
      <x:c r="R1925" s="20"/>
      <x:c r="S1925" s="20"/>
      <x:c r="T1925" s="20"/>
      <x:c r="U1925" s="20"/>
      <x:c r="V1925" s="20"/>
      <x:c r="W1925" s="20"/>
      <x:c r="X1925" s="20"/>
      <x:c r="Y1925" s="21"/>
    </x:row>
    <x:row r="1926">
      <x:c r="A1926" s="19"/>
      <x:c r="B1926" s="27"/>
      <x:c r="C1926" s="20"/>
      <x:c r="D1926" s="28"/>
      <x:c r="E1926" s="20"/>
      <x:c r="F1926" s="25"/>
      <x:c r="G1926" s="20"/>
      <x:c r="H1926" s="20"/>
      <x:c r="I1926" s="20"/>
      <x:c r="J1926" s="20"/>
      <x:c r="K1926" s="20"/>
      <x:c r="L1926" s="20"/>
      <x:c r="M1926" s="20"/>
      <x:c r="N1926" s="20"/>
      <x:c r="O1926" s="20"/>
      <x:c r="P1926" s="20"/>
      <x:c r="Q1926" s="20"/>
      <x:c r="R1926" s="20"/>
      <x:c r="S1926" s="20"/>
      <x:c r="T1926" s="20"/>
      <x:c r="U1926" s="20"/>
      <x:c r="V1926" s="20"/>
      <x:c r="W1926" s="20"/>
      <x:c r="X1926" s="20"/>
      <x:c r="Y1926" s="21"/>
    </x:row>
    <x:row r="1927">
      <x:c r="A1927" s="19"/>
      <x:c r="B1927" s="27"/>
      <x:c r="C1927" s="20"/>
      <x:c r="D1927" s="28"/>
      <x:c r="E1927" s="20"/>
      <x:c r="F1927" s="25"/>
      <x:c r="G1927" s="20"/>
      <x:c r="H1927" s="20"/>
      <x:c r="I1927" s="20"/>
      <x:c r="J1927" s="20"/>
      <x:c r="K1927" s="20"/>
      <x:c r="L1927" s="20"/>
      <x:c r="M1927" s="20"/>
      <x:c r="N1927" s="20"/>
      <x:c r="O1927" s="20"/>
      <x:c r="P1927" s="20"/>
      <x:c r="Q1927" s="20"/>
      <x:c r="R1927" s="20"/>
      <x:c r="S1927" s="20"/>
      <x:c r="T1927" s="20"/>
      <x:c r="U1927" s="20"/>
      <x:c r="V1927" s="20"/>
      <x:c r="W1927" s="20"/>
      <x:c r="X1927" s="20"/>
      <x:c r="Y1927" s="21"/>
    </x:row>
    <x:row r="1928">
      <x:c r="A1928" s="19"/>
      <x:c r="B1928" s="27"/>
      <x:c r="C1928" s="20"/>
      <x:c r="D1928" s="28"/>
      <x:c r="E1928" s="20"/>
      <x:c r="F1928" s="25"/>
      <x:c r="G1928" s="20"/>
      <x:c r="H1928" s="20"/>
      <x:c r="I1928" s="20"/>
      <x:c r="J1928" s="20"/>
      <x:c r="K1928" s="20"/>
      <x:c r="L1928" s="20"/>
      <x:c r="M1928" s="20"/>
      <x:c r="N1928" s="20"/>
      <x:c r="O1928" s="20"/>
      <x:c r="P1928" s="20"/>
      <x:c r="Q1928" s="20"/>
      <x:c r="R1928" s="20"/>
      <x:c r="S1928" s="20"/>
      <x:c r="T1928" s="20"/>
      <x:c r="U1928" s="20"/>
      <x:c r="V1928" s="20"/>
      <x:c r="W1928" s="20"/>
      <x:c r="X1928" s="20"/>
      <x:c r="Y1928" s="21"/>
    </x:row>
    <x:row r="1929">
      <x:c r="A1929" s="19"/>
      <x:c r="B1929" s="27"/>
      <x:c r="C1929" s="20"/>
      <x:c r="D1929" s="28"/>
      <x:c r="E1929" s="20"/>
      <x:c r="F1929" s="25"/>
      <x:c r="G1929" s="20"/>
      <x:c r="H1929" s="20"/>
      <x:c r="I1929" s="20"/>
      <x:c r="J1929" s="20"/>
      <x:c r="K1929" s="20"/>
      <x:c r="L1929" s="20"/>
      <x:c r="M1929" s="20"/>
      <x:c r="N1929" s="20"/>
      <x:c r="O1929" s="20"/>
      <x:c r="P1929" s="20"/>
      <x:c r="Q1929" s="20"/>
      <x:c r="R1929" s="20"/>
      <x:c r="S1929" s="20"/>
      <x:c r="T1929" s="20"/>
      <x:c r="U1929" s="20"/>
      <x:c r="V1929" s="20"/>
      <x:c r="W1929" s="20"/>
      <x:c r="X1929" s="20"/>
      <x:c r="Y1929" s="21"/>
    </x:row>
    <x:row r="1930">
      <x:c r="A1930" s="19"/>
      <x:c r="B1930" s="27"/>
      <x:c r="C1930" s="20"/>
      <x:c r="D1930" s="28"/>
      <x:c r="E1930" s="20"/>
      <x:c r="F1930" s="25"/>
      <x:c r="G1930" s="20"/>
      <x:c r="H1930" s="20"/>
      <x:c r="I1930" s="20"/>
      <x:c r="J1930" s="20"/>
      <x:c r="K1930" s="20"/>
      <x:c r="L1930" s="20"/>
      <x:c r="M1930" s="20"/>
      <x:c r="N1930" s="20"/>
      <x:c r="O1930" s="20"/>
      <x:c r="P1930" s="20"/>
      <x:c r="Q1930" s="20"/>
      <x:c r="R1930" s="20"/>
      <x:c r="S1930" s="20"/>
      <x:c r="T1930" s="20"/>
      <x:c r="U1930" s="20"/>
      <x:c r="V1930" s="20"/>
      <x:c r="W1930" s="20"/>
      <x:c r="X1930" s="20"/>
      <x:c r="Y1930" s="21"/>
    </x:row>
    <x:row r="1931">
      <x:c r="A1931" s="19"/>
      <x:c r="B1931" s="27"/>
      <x:c r="C1931" s="20"/>
      <x:c r="D1931" s="28"/>
      <x:c r="E1931" s="20"/>
      <x:c r="F1931" s="25"/>
      <x:c r="G1931" s="20"/>
      <x:c r="H1931" s="20"/>
      <x:c r="I1931" s="20"/>
      <x:c r="J1931" s="20"/>
      <x:c r="K1931" s="20"/>
      <x:c r="L1931" s="20"/>
      <x:c r="M1931" s="20"/>
      <x:c r="N1931" s="20"/>
      <x:c r="O1931" s="20"/>
      <x:c r="P1931" s="20"/>
      <x:c r="Q1931" s="20"/>
      <x:c r="R1931" s="20"/>
      <x:c r="S1931" s="20"/>
      <x:c r="T1931" s="20"/>
      <x:c r="U1931" s="20"/>
      <x:c r="V1931" s="20"/>
      <x:c r="W1931" s="20"/>
      <x:c r="X1931" s="20"/>
      <x:c r="Y1931" s="21"/>
    </x:row>
    <x:row r="1932">
      <x:c r="A1932" s="19"/>
      <x:c r="B1932" s="27"/>
      <x:c r="C1932" s="20"/>
      <x:c r="D1932" s="28"/>
      <x:c r="E1932" s="20"/>
      <x:c r="F1932" s="25"/>
      <x:c r="G1932" s="20"/>
      <x:c r="H1932" s="20"/>
      <x:c r="I1932" s="20"/>
      <x:c r="J1932" s="20"/>
      <x:c r="K1932" s="20"/>
      <x:c r="L1932" s="20"/>
      <x:c r="M1932" s="20"/>
      <x:c r="N1932" s="20"/>
      <x:c r="O1932" s="20"/>
      <x:c r="P1932" s="20"/>
      <x:c r="Q1932" s="20"/>
      <x:c r="R1932" s="20"/>
      <x:c r="S1932" s="20"/>
      <x:c r="T1932" s="20"/>
      <x:c r="U1932" s="20"/>
      <x:c r="V1932" s="20"/>
      <x:c r="W1932" s="20"/>
      <x:c r="X1932" s="20"/>
      <x:c r="Y1932" s="21"/>
    </x:row>
    <x:row r="1933">
      <x:c r="A1933" s="19"/>
      <x:c r="B1933" s="27"/>
      <x:c r="C1933" s="20"/>
      <x:c r="D1933" s="28"/>
      <x:c r="E1933" s="20"/>
      <x:c r="F1933" s="25"/>
      <x:c r="G1933" s="20"/>
      <x:c r="H1933" s="20"/>
      <x:c r="I1933" s="20"/>
      <x:c r="J1933" s="20"/>
      <x:c r="K1933" s="20"/>
      <x:c r="L1933" s="20"/>
      <x:c r="M1933" s="20"/>
      <x:c r="N1933" s="20"/>
      <x:c r="O1933" s="20"/>
      <x:c r="P1933" s="20"/>
      <x:c r="Q1933" s="20"/>
      <x:c r="R1933" s="20"/>
      <x:c r="S1933" s="20"/>
      <x:c r="T1933" s="20"/>
      <x:c r="U1933" s="20"/>
      <x:c r="V1933" s="20"/>
      <x:c r="W1933" s="20"/>
      <x:c r="X1933" s="20"/>
      <x:c r="Y1933" s="21"/>
    </x:row>
    <x:row r="1934">
      <x:c r="A1934" s="19"/>
      <x:c r="B1934" s="27"/>
      <x:c r="C1934" s="20"/>
      <x:c r="D1934" s="28"/>
      <x:c r="E1934" s="20"/>
      <x:c r="F1934" s="25"/>
      <x:c r="G1934" s="20"/>
      <x:c r="H1934" s="20"/>
      <x:c r="I1934" s="20"/>
      <x:c r="J1934" s="20"/>
      <x:c r="K1934" s="20"/>
      <x:c r="L1934" s="20"/>
      <x:c r="M1934" s="20"/>
      <x:c r="N1934" s="20"/>
      <x:c r="O1934" s="20"/>
      <x:c r="P1934" s="20"/>
      <x:c r="Q1934" s="20"/>
      <x:c r="R1934" s="20"/>
      <x:c r="S1934" s="20"/>
      <x:c r="T1934" s="20"/>
      <x:c r="U1934" s="20"/>
      <x:c r="V1934" s="20"/>
      <x:c r="W1934" s="20"/>
      <x:c r="X1934" s="20"/>
      <x:c r="Y1934" s="21"/>
    </x:row>
    <x:row r="1935">
      <x:c r="A1935" s="19"/>
      <x:c r="B1935" s="27"/>
      <x:c r="C1935" s="20"/>
      <x:c r="D1935" s="28"/>
      <x:c r="E1935" s="20"/>
      <x:c r="F1935" s="25"/>
      <x:c r="G1935" s="20"/>
      <x:c r="H1935" s="20"/>
      <x:c r="I1935" s="20"/>
      <x:c r="J1935" s="20"/>
      <x:c r="K1935" s="20"/>
      <x:c r="L1935" s="20"/>
      <x:c r="M1935" s="20"/>
      <x:c r="N1935" s="20"/>
      <x:c r="O1935" s="20"/>
      <x:c r="P1935" s="20"/>
      <x:c r="Q1935" s="20"/>
      <x:c r="R1935" s="20"/>
      <x:c r="S1935" s="20"/>
      <x:c r="T1935" s="20"/>
      <x:c r="U1935" s="20"/>
      <x:c r="V1935" s="20"/>
      <x:c r="W1935" s="20"/>
      <x:c r="X1935" s="20"/>
      <x:c r="Y1935" s="21"/>
    </x:row>
    <x:row r="1936">
      <x:c r="A1936" s="19"/>
      <x:c r="B1936" s="27"/>
      <x:c r="C1936" s="20"/>
      <x:c r="D1936" s="28"/>
      <x:c r="E1936" s="20"/>
      <x:c r="F1936" s="25"/>
      <x:c r="G1936" s="20"/>
      <x:c r="H1936" s="20"/>
      <x:c r="I1936" s="20"/>
      <x:c r="J1936" s="20"/>
      <x:c r="K1936" s="20"/>
      <x:c r="L1936" s="20"/>
      <x:c r="M1936" s="20"/>
      <x:c r="N1936" s="20"/>
      <x:c r="O1936" s="20"/>
      <x:c r="P1936" s="20"/>
      <x:c r="Q1936" s="20"/>
      <x:c r="R1936" s="20"/>
      <x:c r="S1936" s="20"/>
      <x:c r="T1936" s="20"/>
      <x:c r="U1936" s="20"/>
      <x:c r="V1936" s="20"/>
      <x:c r="W1936" s="20"/>
      <x:c r="X1936" s="20"/>
      <x:c r="Y1936" s="21"/>
    </x:row>
    <x:row r="1937">
      <x:c r="A1937" s="19"/>
      <x:c r="B1937" s="27"/>
      <x:c r="C1937" s="20"/>
      <x:c r="D1937" s="28"/>
      <x:c r="E1937" s="20"/>
      <x:c r="F1937" s="25"/>
      <x:c r="G1937" s="20"/>
      <x:c r="H1937" s="20"/>
      <x:c r="I1937" s="20"/>
      <x:c r="J1937" s="20"/>
      <x:c r="K1937" s="20"/>
      <x:c r="L1937" s="20"/>
      <x:c r="M1937" s="20"/>
      <x:c r="N1937" s="20"/>
      <x:c r="O1937" s="20"/>
      <x:c r="P1937" s="20"/>
      <x:c r="Q1937" s="20"/>
      <x:c r="R1937" s="20"/>
      <x:c r="S1937" s="20"/>
      <x:c r="T1937" s="20"/>
      <x:c r="U1937" s="20"/>
      <x:c r="V1937" s="20"/>
      <x:c r="W1937" s="20"/>
      <x:c r="X1937" s="20"/>
      <x:c r="Y1937" s="21"/>
    </x:row>
    <x:row r="1938">
      <x:c r="A1938" s="19"/>
      <x:c r="B1938" s="27"/>
      <x:c r="C1938" s="20"/>
      <x:c r="D1938" s="28"/>
      <x:c r="E1938" s="20"/>
      <x:c r="F1938" s="25"/>
      <x:c r="G1938" s="20"/>
      <x:c r="H1938" s="20"/>
      <x:c r="I1938" s="20"/>
      <x:c r="J1938" s="20"/>
      <x:c r="K1938" s="20"/>
      <x:c r="L1938" s="20"/>
      <x:c r="M1938" s="20"/>
      <x:c r="N1938" s="20"/>
      <x:c r="O1938" s="20"/>
      <x:c r="P1938" s="20"/>
      <x:c r="Q1938" s="20"/>
      <x:c r="R1938" s="20"/>
      <x:c r="S1938" s="20"/>
      <x:c r="T1938" s="20"/>
      <x:c r="U1938" s="20"/>
      <x:c r="V1938" s="20"/>
      <x:c r="W1938" s="20"/>
      <x:c r="X1938" s="20"/>
      <x:c r="Y1938" s="21"/>
    </x:row>
    <x:row r="1939">
      <x:c r="A1939" s="19"/>
      <x:c r="B1939" s="27"/>
      <x:c r="C1939" s="20"/>
      <x:c r="D1939" s="28"/>
      <x:c r="E1939" s="20"/>
      <x:c r="F1939" s="25"/>
      <x:c r="G1939" s="20"/>
      <x:c r="H1939" s="20"/>
      <x:c r="I1939" s="20"/>
      <x:c r="J1939" s="20"/>
      <x:c r="K1939" s="20"/>
      <x:c r="L1939" s="20"/>
      <x:c r="M1939" s="20"/>
      <x:c r="N1939" s="20"/>
      <x:c r="O1939" s="20"/>
      <x:c r="P1939" s="20"/>
      <x:c r="Q1939" s="20"/>
      <x:c r="R1939" s="20"/>
      <x:c r="S1939" s="20"/>
      <x:c r="T1939" s="20"/>
      <x:c r="U1939" s="20"/>
      <x:c r="V1939" s="20"/>
      <x:c r="W1939" s="20"/>
      <x:c r="X1939" s="20"/>
      <x:c r="Y1939" s="21"/>
    </x:row>
    <x:row r="1940">
      <x:c r="A1940" s="19"/>
      <x:c r="B1940" s="27"/>
      <x:c r="C1940" s="20"/>
      <x:c r="D1940" s="28"/>
      <x:c r="E1940" s="20"/>
      <x:c r="F1940" s="25"/>
      <x:c r="G1940" s="20"/>
      <x:c r="H1940" s="20"/>
      <x:c r="I1940" s="20"/>
      <x:c r="J1940" s="20"/>
      <x:c r="K1940" s="20"/>
      <x:c r="L1940" s="20"/>
      <x:c r="M1940" s="20"/>
      <x:c r="N1940" s="20"/>
      <x:c r="O1940" s="20"/>
      <x:c r="P1940" s="20"/>
      <x:c r="Q1940" s="20"/>
      <x:c r="R1940" s="20"/>
      <x:c r="S1940" s="20"/>
      <x:c r="T1940" s="20"/>
      <x:c r="U1940" s="20"/>
      <x:c r="V1940" s="20"/>
      <x:c r="W1940" s="20"/>
      <x:c r="X1940" s="20"/>
      <x:c r="Y1940" s="21"/>
    </x:row>
    <x:row r="1941">
      <x:c r="A1941" s="19"/>
      <x:c r="B1941" s="27"/>
      <x:c r="C1941" s="20"/>
      <x:c r="D1941" s="28"/>
      <x:c r="E1941" s="20"/>
      <x:c r="F1941" s="25"/>
      <x:c r="G1941" s="20"/>
      <x:c r="H1941" s="20"/>
      <x:c r="I1941" s="20"/>
      <x:c r="J1941" s="20"/>
      <x:c r="K1941" s="20"/>
      <x:c r="L1941" s="20"/>
      <x:c r="M1941" s="20"/>
      <x:c r="N1941" s="20"/>
      <x:c r="O1941" s="20"/>
      <x:c r="P1941" s="20"/>
      <x:c r="Q1941" s="20"/>
      <x:c r="R1941" s="20"/>
      <x:c r="S1941" s="20"/>
      <x:c r="T1941" s="20"/>
      <x:c r="U1941" s="20"/>
      <x:c r="V1941" s="20"/>
      <x:c r="W1941" s="20"/>
      <x:c r="X1941" s="20"/>
      <x:c r="Y1941" s="21"/>
    </x:row>
    <x:row r="1942">
      <x:c r="A1942" s="19"/>
      <x:c r="B1942" s="27"/>
      <x:c r="C1942" s="20"/>
      <x:c r="D1942" s="28"/>
      <x:c r="E1942" s="20"/>
      <x:c r="F1942" s="25"/>
      <x:c r="G1942" s="20"/>
      <x:c r="H1942" s="20"/>
      <x:c r="I1942" s="20"/>
      <x:c r="J1942" s="20"/>
      <x:c r="K1942" s="20"/>
      <x:c r="L1942" s="20"/>
      <x:c r="M1942" s="20"/>
      <x:c r="N1942" s="20"/>
      <x:c r="O1942" s="20"/>
      <x:c r="P1942" s="20"/>
      <x:c r="Q1942" s="20"/>
      <x:c r="R1942" s="20"/>
      <x:c r="S1942" s="20"/>
      <x:c r="T1942" s="20"/>
      <x:c r="U1942" s="20"/>
      <x:c r="V1942" s="20"/>
      <x:c r="W1942" s="20"/>
      <x:c r="X1942" s="20"/>
      <x:c r="Y1942" s="21"/>
    </x:row>
    <x:row r="1943">
      <x:c r="A1943" s="19"/>
      <x:c r="B1943" s="27"/>
      <x:c r="C1943" s="20"/>
      <x:c r="D1943" s="28"/>
      <x:c r="E1943" s="20"/>
      <x:c r="F1943" s="25"/>
      <x:c r="G1943" s="20"/>
      <x:c r="H1943" s="20"/>
      <x:c r="I1943" s="20"/>
      <x:c r="J1943" s="20"/>
      <x:c r="K1943" s="20"/>
      <x:c r="L1943" s="20"/>
      <x:c r="M1943" s="20"/>
      <x:c r="N1943" s="20"/>
      <x:c r="O1943" s="20"/>
      <x:c r="P1943" s="20"/>
      <x:c r="Q1943" s="20"/>
      <x:c r="R1943" s="20"/>
      <x:c r="S1943" s="20"/>
      <x:c r="T1943" s="20"/>
      <x:c r="U1943" s="20"/>
      <x:c r="V1943" s="20"/>
      <x:c r="W1943" s="20"/>
      <x:c r="X1943" s="20"/>
      <x:c r="Y1943" s="21"/>
    </x:row>
    <x:row r="1944">
      <x:c r="A1944" s="19"/>
      <x:c r="B1944" s="27"/>
      <x:c r="C1944" s="20"/>
      <x:c r="D1944" s="28"/>
      <x:c r="E1944" s="20"/>
      <x:c r="F1944" s="25"/>
      <x:c r="G1944" s="20"/>
      <x:c r="H1944" s="20"/>
      <x:c r="I1944" s="20"/>
      <x:c r="J1944" s="20"/>
      <x:c r="K1944" s="20"/>
      <x:c r="L1944" s="20"/>
      <x:c r="M1944" s="20"/>
      <x:c r="N1944" s="20"/>
      <x:c r="O1944" s="20"/>
      <x:c r="P1944" s="20"/>
      <x:c r="Q1944" s="20"/>
      <x:c r="R1944" s="20"/>
      <x:c r="S1944" s="20"/>
      <x:c r="T1944" s="20"/>
      <x:c r="U1944" s="20"/>
      <x:c r="V1944" s="20"/>
      <x:c r="W1944" s="20"/>
      <x:c r="X1944" s="20"/>
      <x:c r="Y1944" s="21"/>
    </x:row>
    <x:row r="1945">
      <x:c r="A1945" s="19"/>
      <x:c r="B1945" s="27"/>
      <x:c r="C1945" s="20"/>
      <x:c r="D1945" s="28"/>
      <x:c r="E1945" s="20"/>
      <x:c r="F1945" s="25"/>
      <x:c r="G1945" s="20"/>
      <x:c r="H1945" s="20"/>
      <x:c r="I1945" s="20"/>
      <x:c r="J1945" s="20"/>
      <x:c r="K1945" s="20"/>
      <x:c r="L1945" s="20"/>
      <x:c r="M1945" s="20"/>
      <x:c r="N1945" s="20"/>
      <x:c r="O1945" s="20"/>
      <x:c r="P1945" s="20"/>
      <x:c r="Q1945" s="20"/>
      <x:c r="R1945" s="20"/>
      <x:c r="S1945" s="20"/>
      <x:c r="T1945" s="20"/>
      <x:c r="U1945" s="20"/>
      <x:c r="V1945" s="20"/>
      <x:c r="W1945" s="20"/>
      <x:c r="X1945" s="20"/>
      <x:c r="Y1945" s="21"/>
    </x:row>
    <x:row r="1946">
      <x:c r="A1946" s="19"/>
      <x:c r="B1946" s="27"/>
      <x:c r="C1946" s="20"/>
      <x:c r="D1946" s="28"/>
      <x:c r="E1946" s="20"/>
      <x:c r="F1946" s="25"/>
      <x:c r="G1946" s="20"/>
      <x:c r="H1946" s="20"/>
      <x:c r="I1946" s="20"/>
      <x:c r="J1946" s="20"/>
      <x:c r="K1946" s="20"/>
      <x:c r="L1946" s="20"/>
      <x:c r="M1946" s="20"/>
      <x:c r="N1946" s="20"/>
      <x:c r="O1946" s="20"/>
      <x:c r="P1946" s="20"/>
      <x:c r="Q1946" s="20"/>
      <x:c r="R1946" s="20"/>
      <x:c r="S1946" s="20"/>
      <x:c r="T1946" s="20"/>
      <x:c r="U1946" s="20"/>
      <x:c r="V1946" s="20"/>
      <x:c r="W1946" s="20"/>
      <x:c r="X1946" s="20"/>
      <x:c r="Y1946" s="21"/>
    </x:row>
    <x:row r="1947">
      <x:c r="A1947" s="19"/>
      <x:c r="B1947" s="27"/>
      <x:c r="C1947" s="20"/>
      <x:c r="D1947" s="28"/>
      <x:c r="E1947" s="20"/>
      <x:c r="F1947" s="25"/>
      <x:c r="G1947" s="20"/>
      <x:c r="H1947" s="20"/>
      <x:c r="I1947" s="20"/>
      <x:c r="J1947" s="20"/>
      <x:c r="K1947" s="20"/>
      <x:c r="L1947" s="20"/>
      <x:c r="M1947" s="20"/>
      <x:c r="N1947" s="20"/>
      <x:c r="O1947" s="20"/>
      <x:c r="P1947" s="20"/>
      <x:c r="Q1947" s="20"/>
      <x:c r="R1947" s="20"/>
      <x:c r="S1947" s="20"/>
      <x:c r="T1947" s="20"/>
      <x:c r="U1947" s="20"/>
      <x:c r="V1947" s="20"/>
      <x:c r="W1947" s="20"/>
      <x:c r="X1947" s="20"/>
      <x:c r="Y1947" s="21"/>
    </x:row>
    <x:row r="1948">
      <x:c r="A1948" s="19"/>
      <x:c r="B1948" s="27"/>
      <x:c r="C1948" s="20"/>
      <x:c r="D1948" s="28"/>
      <x:c r="E1948" s="20"/>
      <x:c r="F1948" s="25"/>
      <x:c r="G1948" s="20"/>
      <x:c r="H1948" s="20"/>
      <x:c r="I1948" s="20"/>
      <x:c r="J1948" s="20"/>
      <x:c r="K1948" s="20"/>
      <x:c r="L1948" s="20"/>
      <x:c r="M1948" s="20"/>
      <x:c r="N1948" s="20"/>
      <x:c r="O1948" s="20"/>
      <x:c r="P1948" s="20"/>
      <x:c r="Q1948" s="20"/>
      <x:c r="R1948" s="20"/>
      <x:c r="S1948" s="20"/>
      <x:c r="T1948" s="20"/>
      <x:c r="U1948" s="20"/>
      <x:c r="V1948" s="20"/>
      <x:c r="W1948" s="20"/>
      <x:c r="X1948" s="20"/>
      <x:c r="Y1948" s="21"/>
    </x:row>
    <x:row r="1949">
      <x:c r="A1949" s="19"/>
      <x:c r="B1949" s="27"/>
      <x:c r="C1949" s="20"/>
      <x:c r="D1949" s="28"/>
      <x:c r="E1949" s="20"/>
      <x:c r="F1949" s="25"/>
      <x:c r="G1949" s="20"/>
      <x:c r="H1949" s="20"/>
      <x:c r="I1949" s="20"/>
      <x:c r="J1949" s="20"/>
      <x:c r="K1949" s="20"/>
      <x:c r="L1949" s="20"/>
      <x:c r="M1949" s="20"/>
      <x:c r="N1949" s="20"/>
      <x:c r="O1949" s="20"/>
      <x:c r="P1949" s="20"/>
      <x:c r="Q1949" s="20"/>
      <x:c r="R1949" s="20"/>
      <x:c r="S1949" s="20"/>
      <x:c r="T1949" s="20"/>
      <x:c r="U1949" s="20"/>
      <x:c r="V1949" s="20"/>
      <x:c r="W1949" s="20"/>
      <x:c r="X1949" s="20"/>
      <x:c r="Y1949" s="21"/>
    </x:row>
    <x:row r="1950">
      <x:c r="A1950" s="19"/>
      <x:c r="B1950" s="27"/>
      <x:c r="C1950" s="20"/>
      <x:c r="D1950" s="28"/>
      <x:c r="E1950" s="20"/>
      <x:c r="F1950" s="25"/>
      <x:c r="G1950" s="20"/>
      <x:c r="H1950" s="20"/>
      <x:c r="I1950" s="20"/>
      <x:c r="J1950" s="20"/>
      <x:c r="K1950" s="20"/>
      <x:c r="L1950" s="20"/>
      <x:c r="M1950" s="20"/>
      <x:c r="N1950" s="20"/>
      <x:c r="O1950" s="20"/>
      <x:c r="P1950" s="20"/>
      <x:c r="Q1950" s="20"/>
      <x:c r="R1950" s="20"/>
      <x:c r="S1950" s="20"/>
      <x:c r="T1950" s="20"/>
      <x:c r="U1950" s="20"/>
      <x:c r="V1950" s="20"/>
      <x:c r="W1950" s="20"/>
      <x:c r="X1950" s="20"/>
      <x:c r="Y1950" s="21"/>
    </x:row>
    <x:row r="1951">
      <x:c r="A1951" s="19"/>
      <x:c r="B1951" s="27"/>
      <x:c r="C1951" s="20"/>
      <x:c r="D1951" s="28"/>
      <x:c r="E1951" s="20"/>
      <x:c r="F1951" s="25"/>
      <x:c r="G1951" s="20"/>
      <x:c r="H1951" s="20"/>
      <x:c r="I1951" s="20"/>
      <x:c r="J1951" s="20"/>
      <x:c r="K1951" s="20"/>
      <x:c r="L1951" s="20"/>
      <x:c r="M1951" s="20"/>
      <x:c r="N1951" s="20"/>
      <x:c r="O1951" s="20"/>
      <x:c r="P1951" s="20"/>
      <x:c r="Q1951" s="20"/>
      <x:c r="R1951" s="20"/>
      <x:c r="S1951" s="20"/>
      <x:c r="T1951" s="20"/>
      <x:c r="U1951" s="20"/>
      <x:c r="V1951" s="20"/>
      <x:c r="W1951" s="20"/>
      <x:c r="X1951" s="20"/>
      <x:c r="Y1951" s="21"/>
    </x:row>
    <x:row r="1952">
      <x:c r="A1952" s="19"/>
      <x:c r="B1952" s="27"/>
      <x:c r="C1952" s="20"/>
      <x:c r="D1952" s="28"/>
      <x:c r="E1952" s="20"/>
      <x:c r="F1952" s="25"/>
      <x:c r="G1952" s="20"/>
      <x:c r="H1952" s="20"/>
      <x:c r="I1952" s="20"/>
      <x:c r="J1952" s="20"/>
      <x:c r="K1952" s="20"/>
      <x:c r="L1952" s="20"/>
      <x:c r="M1952" s="20"/>
      <x:c r="N1952" s="20"/>
      <x:c r="O1952" s="20"/>
      <x:c r="P1952" s="20"/>
      <x:c r="Q1952" s="20"/>
      <x:c r="R1952" s="20"/>
      <x:c r="S1952" s="20"/>
      <x:c r="T1952" s="20"/>
      <x:c r="U1952" s="20"/>
      <x:c r="V1952" s="20"/>
      <x:c r="W1952" s="20"/>
      <x:c r="X1952" s="20"/>
      <x:c r="Y1952" s="21"/>
    </x:row>
    <x:row r="1953">
      <x:c r="A1953" s="19"/>
      <x:c r="B1953" s="27"/>
      <x:c r="C1953" s="20"/>
      <x:c r="D1953" s="28"/>
      <x:c r="E1953" s="20"/>
      <x:c r="F1953" s="25"/>
      <x:c r="G1953" s="20"/>
      <x:c r="H1953" s="20"/>
      <x:c r="I1953" s="20"/>
      <x:c r="J1953" s="20"/>
      <x:c r="K1953" s="20"/>
      <x:c r="L1953" s="20"/>
      <x:c r="M1953" s="20"/>
      <x:c r="N1953" s="20"/>
      <x:c r="O1953" s="20"/>
      <x:c r="P1953" s="20"/>
      <x:c r="Q1953" s="20"/>
      <x:c r="R1953" s="20"/>
      <x:c r="S1953" s="20"/>
      <x:c r="T1953" s="20"/>
      <x:c r="U1953" s="20"/>
      <x:c r="V1953" s="20"/>
      <x:c r="W1953" s="20"/>
      <x:c r="X1953" s="20"/>
      <x:c r="Y1953" s="21"/>
    </x:row>
    <x:row r="1954">
      <x:c r="A1954" s="19"/>
      <x:c r="B1954" s="27"/>
      <x:c r="C1954" s="20"/>
      <x:c r="D1954" s="28"/>
      <x:c r="E1954" s="20"/>
      <x:c r="F1954" s="25"/>
      <x:c r="G1954" s="20"/>
      <x:c r="H1954" s="20"/>
      <x:c r="I1954" s="20"/>
      <x:c r="J1954" s="20"/>
      <x:c r="K1954" s="20"/>
      <x:c r="L1954" s="20"/>
      <x:c r="M1954" s="20"/>
      <x:c r="N1954" s="20"/>
      <x:c r="O1954" s="20"/>
      <x:c r="P1954" s="20"/>
      <x:c r="Q1954" s="20"/>
      <x:c r="R1954" s="20"/>
      <x:c r="S1954" s="20"/>
      <x:c r="T1954" s="20"/>
      <x:c r="U1954" s="20"/>
      <x:c r="V1954" s="20"/>
      <x:c r="W1954" s="20"/>
      <x:c r="X1954" s="20"/>
      <x:c r="Y1954" s="21"/>
    </x:row>
    <x:row r="1955">
      <x:c r="A1955" s="19"/>
      <x:c r="B1955" s="27"/>
      <x:c r="C1955" s="20"/>
      <x:c r="D1955" s="28"/>
      <x:c r="E1955" s="20"/>
      <x:c r="F1955" s="25"/>
      <x:c r="G1955" s="20"/>
      <x:c r="H1955" s="20"/>
      <x:c r="I1955" s="20"/>
      <x:c r="J1955" s="20"/>
      <x:c r="K1955" s="20"/>
      <x:c r="L1955" s="20"/>
      <x:c r="M1955" s="20"/>
      <x:c r="N1955" s="20"/>
      <x:c r="O1955" s="20"/>
      <x:c r="P1955" s="20"/>
      <x:c r="Q1955" s="20"/>
      <x:c r="R1955" s="20"/>
      <x:c r="S1955" s="20"/>
      <x:c r="T1955" s="20"/>
      <x:c r="U1955" s="20"/>
      <x:c r="V1955" s="20"/>
      <x:c r="W1955" s="20"/>
      <x:c r="X1955" s="20"/>
      <x:c r="Y1955" s="21"/>
    </x:row>
    <x:row r="1956">
      <x:c r="A1956" s="19"/>
      <x:c r="B1956" s="27"/>
      <x:c r="C1956" s="20"/>
      <x:c r="D1956" s="28"/>
      <x:c r="E1956" s="20"/>
      <x:c r="F1956" s="25"/>
      <x:c r="G1956" s="20"/>
      <x:c r="H1956" s="20"/>
      <x:c r="I1956" s="20"/>
      <x:c r="J1956" s="20"/>
      <x:c r="K1956" s="20"/>
      <x:c r="L1956" s="20"/>
      <x:c r="M1956" s="20"/>
      <x:c r="N1956" s="20"/>
      <x:c r="O1956" s="20"/>
      <x:c r="P1956" s="20"/>
      <x:c r="Q1956" s="20"/>
      <x:c r="R1956" s="20"/>
      <x:c r="S1956" s="20"/>
      <x:c r="T1956" s="20"/>
      <x:c r="U1956" s="20"/>
      <x:c r="V1956" s="20"/>
      <x:c r="W1956" s="20"/>
      <x:c r="X1956" s="20"/>
      <x:c r="Y1956" s="21"/>
    </x:row>
    <x:row r="1957">
      <x:c r="A1957" s="19"/>
      <x:c r="B1957" s="27"/>
      <x:c r="C1957" s="20"/>
      <x:c r="D1957" s="28"/>
      <x:c r="E1957" s="20"/>
      <x:c r="F1957" s="25"/>
      <x:c r="G1957" s="20"/>
      <x:c r="H1957" s="20"/>
      <x:c r="I1957" s="20"/>
      <x:c r="J1957" s="20"/>
      <x:c r="K1957" s="20"/>
      <x:c r="L1957" s="20"/>
      <x:c r="M1957" s="20"/>
      <x:c r="N1957" s="20"/>
      <x:c r="O1957" s="20"/>
      <x:c r="P1957" s="20"/>
      <x:c r="Q1957" s="20"/>
      <x:c r="R1957" s="20"/>
      <x:c r="S1957" s="20"/>
      <x:c r="T1957" s="20"/>
      <x:c r="U1957" s="20"/>
      <x:c r="V1957" s="20"/>
      <x:c r="W1957" s="20"/>
      <x:c r="X1957" s="20"/>
      <x:c r="Y1957" s="21"/>
    </x:row>
    <x:row r="1958">
      <x:c r="A1958" s="19"/>
      <x:c r="B1958" s="27"/>
      <x:c r="C1958" s="20"/>
      <x:c r="D1958" s="28"/>
      <x:c r="E1958" s="20"/>
      <x:c r="F1958" s="25"/>
      <x:c r="G1958" s="20"/>
      <x:c r="H1958" s="20"/>
      <x:c r="I1958" s="20"/>
      <x:c r="J1958" s="20"/>
      <x:c r="K1958" s="20"/>
      <x:c r="L1958" s="20"/>
      <x:c r="M1958" s="20"/>
      <x:c r="N1958" s="20"/>
      <x:c r="O1958" s="20"/>
      <x:c r="P1958" s="20"/>
      <x:c r="Q1958" s="20"/>
      <x:c r="R1958" s="20"/>
      <x:c r="S1958" s="20"/>
      <x:c r="T1958" s="20"/>
      <x:c r="U1958" s="20"/>
      <x:c r="V1958" s="20"/>
      <x:c r="W1958" s="20"/>
      <x:c r="X1958" s="20"/>
      <x:c r="Y1958" s="21"/>
    </x:row>
    <x:row r="1959">
      <x:c r="A1959" s="19"/>
      <x:c r="B1959" s="27"/>
      <x:c r="C1959" s="20"/>
      <x:c r="D1959" s="28"/>
      <x:c r="E1959" s="20"/>
      <x:c r="F1959" s="25"/>
      <x:c r="G1959" s="20"/>
      <x:c r="H1959" s="20"/>
      <x:c r="I1959" s="20"/>
      <x:c r="J1959" s="20"/>
      <x:c r="K1959" s="20"/>
      <x:c r="L1959" s="20"/>
      <x:c r="M1959" s="20"/>
      <x:c r="N1959" s="20"/>
      <x:c r="O1959" s="20"/>
      <x:c r="P1959" s="20"/>
      <x:c r="Q1959" s="20"/>
      <x:c r="R1959" s="20"/>
      <x:c r="S1959" s="20"/>
      <x:c r="T1959" s="20"/>
      <x:c r="U1959" s="20"/>
      <x:c r="V1959" s="20"/>
      <x:c r="W1959" s="20"/>
      <x:c r="X1959" s="20"/>
      <x:c r="Y1959" s="21"/>
    </x:row>
    <x:row r="1960">
      <x:c r="A1960" s="19"/>
      <x:c r="B1960" s="27"/>
      <x:c r="C1960" s="20"/>
      <x:c r="D1960" s="28"/>
      <x:c r="E1960" s="20"/>
      <x:c r="F1960" s="25"/>
      <x:c r="G1960" s="20"/>
      <x:c r="H1960" s="20"/>
      <x:c r="I1960" s="20"/>
      <x:c r="J1960" s="20"/>
      <x:c r="K1960" s="20"/>
      <x:c r="L1960" s="20"/>
      <x:c r="M1960" s="20"/>
      <x:c r="N1960" s="20"/>
      <x:c r="O1960" s="20"/>
      <x:c r="P1960" s="20"/>
      <x:c r="Q1960" s="20"/>
      <x:c r="R1960" s="20"/>
      <x:c r="S1960" s="20"/>
      <x:c r="T1960" s="20"/>
      <x:c r="U1960" s="20"/>
      <x:c r="V1960" s="20"/>
      <x:c r="W1960" s="20"/>
      <x:c r="X1960" s="20"/>
      <x:c r="Y1960" s="21"/>
    </x:row>
    <x:row r="1961">
      <x:c r="A1961" s="19"/>
      <x:c r="B1961" s="27"/>
      <x:c r="C1961" s="20"/>
      <x:c r="D1961" s="28"/>
      <x:c r="E1961" s="20"/>
      <x:c r="F1961" s="25"/>
      <x:c r="G1961" s="20"/>
      <x:c r="H1961" s="20"/>
      <x:c r="I1961" s="20"/>
      <x:c r="J1961" s="20"/>
      <x:c r="K1961" s="20"/>
      <x:c r="L1961" s="20"/>
      <x:c r="M1961" s="20"/>
      <x:c r="N1961" s="20"/>
      <x:c r="O1961" s="20"/>
      <x:c r="P1961" s="20"/>
      <x:c r="Q1961" s="20"/>
      <x:c r="R1961" s="20"/>
      <x:c r="S1961" s="20"/>
      <x:c r="T1961" s="20"/>
      <x:c r="U1961" s="20"/>
      <x:c r="V1961" s="20"/>
      <x:c r="W1961" s="20"/>
      <x:c r="X1961" s="20"/>
      <x:c r="Y1961" s="21"/>
    </x:row>
    <x:row r="1962">
      <x:c r="A1962" s="19"/>
      <x:c r="B1962" s="27"/>
      <x:c r="C1962" s="20"/>
      <x:c r="D1962" s="28"/>
      <x:c r="E1962" s="20"/>
      <x:c r="F1962" s="25"/>
      <x:c r="G1962" s="20"/>
      <x:c r="H1962" s="20"/>
      <x:c r="I1962" s="20"/>
      <x:c r="J1962" s="20"/>
      <x:c r="K1962" s="20"/>
      <x:c r="L1962" s="20"/>
      <x:c r="M1962" s="20"/>
      <x:c r="N1962" s="20"/>
      <x:c r="O1962" s="20"/>
      <x:c r="P1962" s="20"/>
      <x:c r="Q1962" s="20"/>
      <x:c r="R1962" s="20"/>
      <x:c r="S1962" s="20"/>
      <x:c r="T1962" s="20"/>
      <x:c r="U1962" s="20"/>
      <x:c r="V1962" s="20"/>
      <x:c r="W1962" s="20"/>
      <x:c r="X1962" s="20"/>
      <x:c r="Y1962" s="21"/>
    </x:row>
    <x:row r="1963">
      <x:c r="A1963" s="19"/>
      <x:c r="B1963" s="27"/>
      <x:c r="C1963" s="20"/>
      <x:c r="D1963" s="28"/>
      <x:c r="E1963" s="20"/>
      <x:c r="F1963" s="25"/>
      <x:c r="G1963" s="20"/>
      <x:c r="H1963" s="20"/>
      <x:c r="I1963" s="20"/>
      <x:c r="J1963" s="20"/>
      <x:c r="K1963" s="20"/>
      <x:c r="L1963" s="20"/>
      <x:c r="M1963" s="20"/>
      <x:c r="N1963" s="20"/>
      <x:c r="O1963" s="20"/>
      <x:c r="P1963" s="20"/>
      <x:c r="Q1963" s="20"/>
      <x:c r="R1963" s="20"/>
      <x:c r="S1963" s="20"/>
      <x:c r="T1963" s="20"/>
      <x:c r="U1963" s="20"/>
      <x:c r="V1963" s="20"/>
      <x:c r="W1963" s="20"/>
      <x:c r="X1963" s="20"/>
      <x:c r="Y1963" s="21"/>
    </x:row>
    <x:row r="1964">
      <x:c r="A1964" s="19"/>
      <x:c r="B1964" s="27"/>
      <x:c r="C1964" s="20"/>
      <x:c r="D1964" s="28"/>
      <x:c r="E1964" s="20"/>
      <x:c r="F1964" s="25"/>
      <x:c r="G1964" s="20"/>
      <x:c r="H1964" s="20"/>
      <x:c r="I1964" s="20"/>
      <x:c r="J1964" s="20"/>
      <x:c r="K1964" s="20"/>
      <x:c r="L1964" s="20"/>
      <x:c r="M1964" s="20"/>
      <x:c r="N1964" s="20"/>
      <x:c r="O1964" s="20"/>
      <x:c r="P1964" s="20"/>
      <x:c r="Q1964" s="20"/>
      <x:c r="R1964" s="20"/>
      <x:c r="S1964" s="20"/>
      <x:c r="T1964" s="20"/>
      <x:c r="U1964" s="20"/>
      <x:c r="V1964" s="20"/>
      <x:c r="W1964" s="20"/>
      <x:c r="X1964" s="20"/>
      <x:c r="Y1964" s="21"/>
    </x:row>
    <x:row r="1965">
      <x:c r="A1965" s="19"/>
      <x:c r="B1965" s="27"/>
      <x:c r="C1965" s="20"/>
      <x:c r="D1965" s="28"/>
      <x:c r="E1965" s="20"/>
      <x:c r="F1965" s="25"/>
      <x:c r="G1965" s="20"/>
      <x:c r="H1965" s="20"/>
      <x:c r="I1965" s="20"/>
      <x:c r="J1965" s="20"/>
      <x:c r="K1965" s="20"/>
      <x:c r="L1965" s="20"/>
      <x:c r="M1965" s="20"/>
      <x:c r="N1965" s="20"/>
      <x:c r="O1965" s="20"/>
      <x:c r="P1965" s="20"/>
      <x:c r="Q1965" s="20"/>
      <x:c r="R1965" s="20"/>
      <x:c r="S1965" s="20"/>
      <x:c r="T1965" s="20"/>
      <x:c r="U1965" s="20"/>
      <x:c r="V1965" s="20"/>
      <x:c r="W1965" s="20"/>
      <x:c r="X1965" s="20"/>
      <x:c r="Y1965" s="21"/>
    </x:row>
    <x:row r="1966">
      <x:c r="A1966" s="19"/>
      <x:c r="B1966" s="27"/>
      <x:c r="C1966" s="20"/>
      <x:c r="D1966" s="28"/>
      <x:c r="E1966" s="20"/>
      <x:c r="F1966" s="25"/>
      <x:c r="G1966" s="20"/>
      <x:c r="H1966" s="20"/>
      <x:c r="I1966" s="20"/>
      <x:c r="J1966" s="20"/>
      <x:c r="K1966" s="20"/>
      <x:c r="L1966" s="20"/>
      <x:c r="M1966" s="20"/>
      <x:c r="N1966" s="20"/>
      <x:c r="O1966" s="20"/>
      <x:c r="P1966" s="20"/>
      <x:c r="Q1966" s="20"/>
      <x:c r="R1966" s="20"/>
      <x:c r="S1966" s="20"/>
      <x:c r="T1966" s="20"/>
      <x:c r="U1966" s="20"/>
      <x:c r="V1966" s="20"/>
      <x:c r="W1966" s="20"/>
      <x:c r="X1966" s="20"/>
      <x:c r="Y1966" s="21"/>
    </x:row>
    <x:row r="1967">
      <x:c r="A1967" s="19"/>
      <x:c r="B1967" s="27"/>
      <x:c r="C1967" s="20"/>
      <x:c r="D1967" s="28"/>
      <x:c r="E1967" s="20"/>
      <x:c r="F1967" s="25"/>
      <x:c r="G1967" s="20"/>
      <x:c r="H1967" s="20"/>
      <x:c r="I1967" s="20"/>
      <x:c r="J1967" s="20"/>
      <x:c r="K1967" s="20"/>
      <x:c r="L1967" s="20"/>
      <x:c r="M1967" s="20"/>
      <x:c r="N1967" s="20"/>
      <x:c r="O1967" s="20"/>
      <x:c r="P1967" s="20"/>
      <x:c r="Q1967" s="20"/>
      <x:c r="R1967" s="20"/>
      <x:c r="S1967" s="20"/>
      <x:c r="T1967" s="20"/>
      <x:c r="U1967" s="20"/>
      <x:c r="V1967" s="20"/>
      <x:c r="W1967" s="20"/>
      <x:c r="X1967" s="20"/>
      <x:c r="Y1967" s="21"/>
    </x:row>
    <x:row r="1968">
      <x:c r="A1968" s="19"/>
      <x:c r="B1968" s="27"/>
      <x:c r="C1968" s="20"/>
      <x:c r="D1968" s="28"/>
      <x:c r="E1968" s="20"/>
      <x:c r="F1968" s="25"/>
      <x:c r="G1968" s="20"/>
      <x:c r="H1968" s="20"/>
      <x:c r="I1968" s="20"/>
      <x:c r="J1968" s="20"/>
      <x:c r="K1968" s="20"/>
      <x:c r="L1968" s="20"/>
      <x:c r="M1968" s="20"/>
      <x:c r="N1968" s="20"/>
      <x:c r="O1968" s="20"/>
      <x:c r="P1968" s="20"/>
      <x:c r="Q1968" s="20"/>
      <x:c r="R1968" s="20"/>
      <x:c r="S1968" s="20"/>
      <x:c r="T1968" s="20"/>
      <x:c r="U1968" s="20"/>
      <x:c r="V1968" s="20"/>
      <x:c r="W1968" s="20"/>
      <x:c r="X1968" s="20"/>
      <x:c r="Y1968" s="21"/>
    </x:row>
    <x:row r="1969">
      <x:c r="A1969" s="19"/>
      <x:c r="B1969" s="27"/>
      <x:c r="C1969" s="20"/>
      <x:c r="D1969" s="28"/>
      <x:c r="E1969" s="20"/>
      <x:c r="F1969" s="25"/>
      <x:c r="G1969" s="20"/>
      <x:c r="H1969" s="20"/>
      <x:c r="I1969" s="20"/>
      <x:c r="J1969" s="20"/>
      <x:c r="K1969" s="20"/>
      <x:c r="L1969" s="20"/>
      <x:c r="M1969" s="20"/>
      <x:c r="N1969" s="20"/>
      <x:c r="O1969" s="20"/>
      <x:c r="P1969" s="20"/>
      <x:c r="Q1969" s="20"/>
      <x:c r="R1969" s="20"/>
      <x:c r="S1969" s="20"/>
      <x:c r="T1969" s="20"/>
      <x:c r="U1969" s="20"/>
      <x:c r="V1969" s="20"/>
      <x:c r="W1969" s="20"/>
      <x:c r="X1969" s="20"/>
      <x:c r="Y1969" s="21"/>
    </x:row>
    <x:row r="1970">
      <x:c r="A1970" s="19"/>
      <x:c r="B1970" s="27"/>
      <x:c r="C1970" s="20"/>
      <x:c r="D1970" s="28"/>
      <x:c r="E1970" s="20"/>
      <x:c r="F1970" s="25"/>
      <x:c r="G1970" s="20"/>
      <x:c r="H1970" s="20"/>
      <x:c r="I1970" s="20"/>
      <x:c r="J1970" s="20"/>
      <x:c r="K1970" s="20"/>
      <x:c r="L1970" s="20"/>
      <x:c r="M1970" s="20"/>
      <x:c r="N1970" s="20"/>
      <x:c r="O1970" s="20"/>
      <x:c r="P1970" s="20"/>
      <x:c r="Q1970" s="20"/>
      <x:c r="R1970" s="20"/>
      <x:c r="S1970" s="20"/>
      <x:c r="T1970" s="20"/>
      <x:c r="U1970" s="20"/>
      <x:c r="V1970" s="20"/>
      <x:c r="W1970" s="20"/>
      <x:c r="X1970" s="20"/>
      <x:c r="Y1970" s="21"/>
    </x:row>
    <x:row r="1971">
      <x:c r="A1971" s="19"/>
      <x:c r="B1971" s="27"/>
      <x:c r="C1971" s="20"/>
      <x:c r="D1971" s="28"/>
      <x:c r="E1971" s="20"/>
      <x:c r="F1971" s="25"/>
      <x:c r="G1971" s="20"/>
      <x:c r="H1971" s="20"/>
      <x:c r="I1971" s="20"/>
      <x:c r="J1971" s="20"/>
      <x:c r="K1971" s="20"/>
      <x:c r="L1971" s="20"/>
      <x:c r="M1971" s="20"/>
      <x:c r="N1971" s="20"/>
      <x:c r="O1971" s="20"/>
      <x:c r="P1971" s="20"/>
      <x:c r="Q1971" s="20"/>
      <x:c r="R1971" s="20"/>
      <x:c r="S1971" s="20"/>
      <x:c r="T1971" s="20"/>
      <x:c r="U1971" s="20"/>
      <x:c r="V1971" s="20"/>
      <x:c r="W1971" s="20"/>
      <x:c r="X1971" s="20"/>
      <x:c r="Y1971" s="21"/>
    </x:row>
    <x:row r="1972">
      <x:c r="A1972" s="19"/>
      <x:c r="B1972" s="27"/>
      <x:c r="C1972" s="20"/>
      <x:c r="D1972" s="28"/>
      <x:c r="E1972" s="20"/>
      <x:c r="F1972" s="25"/>
      <x:c r="G1972" s="20"/>
      <x:c r="H1972" s="20"/>
      <x:c r="I1972" s="20"/>
      <x:c r="J1972" s="20"/>
      <x:c r="K1972" s="20"/>
      <x:c r="L1972" s="20"/>
      <x:c r="M1972" s="20"/>
      <x:c r="N1972" s="20"/>
      <x:c r="O1972" s="20"/>
      <x:c r="P1972" s="20"/>
      <x:c r="Q1972" s="20"/>
      <x:c r="R1972" s="20"/>
      <x:c r="S1972" s="20"/>
      <x:c r="T1972" s="20"/>
      <x:c r="U1972" s="20"/>
      <x:c r="V1972" s="20"/>
      <x:c r="W1972" s="20"/>
      <x:c r="X1972" s="20"/>
      <x:c r="Y1972" s="21"/>
    </x:row>
    <x:row r="1973">
      <x:c r="A1973" s="19"/>
      <x:c r="B1973" s="27"/>
      <x:c r="C1973" s="20"/>
      <x:c r="D1973" s="28"/>
      <x:c r="E1973" s="20"/>
      <x:c r="F1973" s="25"/>
      <x:c r="G1973" s="20"/>
      <x:c r="H1973" s="20"/>
      <x:c r="I1973" s="20"/>
      <x:c r="J1973" s="20"/>
      <x:c r="K1973" s="20"/>
      <x:c r="L1973" s="20"/>
      <x:c r="M1973" s="20"/>
      <x:c r="N1973" s="20"/>
      <x:c r="O1973" s="20"/>
      <x:c r="P1973" s="20"/>
      <x:c r="Q1973" s="20"/>
      <x:c r="R1973" s="20"/>
      <x:c r="S1973" s="20"/>
      <x:c r="T1973" s="20"/>
      <x:c r="U1973" s="20"/>
      <x:c r="V1973" s="20"/>
      <x:c r="W1973" s="20"/>
      <x:c r="X1973" s="20"/>
      <x:c r="Y1973" s="21"/>
    </x:row>
    <x:row r="1974">
      <x:c r="A1974" s="19"/>
      <x:c r="B1974" s="27"/>
      <x:c r="C1974" s="20"/>
      <x:c r="D1974" s="28"/>
      <x:c r="E1974" s="20"/>
      <x:c r="F1974" s="25"/>
      <x:c r="G1974" s="20"/>
      <x:c r="H1974" s="20"/>
      <x:c r="I1974" s="20"/>
      <x:c r="J1974" s="20"/>
      <x:c r="K1974" s="20"/>
      <x:c r="L1974" s="20"/>
      <x:c r="M1974" s="20"/>
      <x:c r="N1974" s="20"/>
      <x:c r="O1974" s="20"/>
      <x:c r="P1974" s="20"/>
      <x:c r="Q1974" s="20"/>
      <x:c r="R1974" s="20"/>
      <x:c r="S1974" s="20"/>
      <x:c r="T1974" s="20"/>
      <x:c r="U1974" s="20"/>
      <x:c r="V1974" s="20"/>
      <x:c r="W1974" s="20"/>
      <x:c r="X1974" s="20"/>
      <x:c r="Y1974" s="21"/>
    </x:row>
    <x:row r="1975">
      <x:c r="A1975" s="19"/>
      <x:c r="B1975" s="27"/>
      <x:c r="C1975" s="20"/>
      <x:c r="D1975" s="28"/>
      <x:c r="E1975" s="20"/>
      <x:c r="F1975" s="25"/>
      <x:c r="G1975" s="20"/>
      <x:c r="H1975" s="20"/>
      <x:c r="I1975" s="20"/>
      <x:c r="J1975" s="20"/>
      <x:c r="K1975" s="20"/>
      <x:c r="L1975" s="20"/>
      <x:c r="M1975" s="20"/>
      <x:c r="N1975" s="20"/>
      <x:c r="O1975" s="20"/>
      <x:c r="P1975" s="20"/>
      <x:c r="Q1975" s="20"/>
      <x:c r="R1975" s="20"/>
      <x:c r="S1975" s="20"/>
      <x:c r="T1975" s="20"/>
      <x:c r="U1975" s="20"/>
      <x:c r="V1975" s="20"/>
      <x:c r="W1975" s="20"/>
      <x:c r="X1975" s="20"/>
      <x:c r="Y1975" s="21"/>
    </x:row>
    <x:row r="1976">
      <x:c r="A1976" s="19"/>
      <x:c r="B1976" s="27"/>
      <x:c r="C1976" s="20"/>
      <x:c r="D1976" s="28"/>
      <x:c r="E1976" s="20"/>
      <x:c r="F1976" s="25"/>
      <x:c r="G1976" s="20"/>
      <x:c r="H1976" s="20"/>
      <x:c r="I1976" s="20"/>
      <x:c r="J1976" s="20"/>
      <x:c r="K1976" s="20"/>
      <x:c r="L1976" s="20"/>
      <x:c r="M1976" s="20"/>
      <x:c r="N1976" s="20"/>
      <x:c r="O1976" s="20"/>
      <x:c r="P1976" s="20"/>
      <x:c r="Q1976" s="20"/>
      <x:c r="R1976" s="20"/>
      <x:c r="S1976" s="20"/>
      <x:c r="T1976" s="20"/>
      <x:c r="U1976" s="20"/>
      <x:c r="V1976" s="20"/>
      <x:c r="W1976" s="20"/>
      <x:c r="X1976" s="20"/>
      <x:c r="Y1976" s="21"/>
    </x:row>
    <x:row r="1977">
      <x:c r="A1977" s="19"/>
      <x:c r="B1977" s="27"/>
      <x:c r="C1977" s="20"/>
      <x:c r="D1977" s="28"/>
      <x:c r="E1977" s="20"/>
      <x:c r="F1977" s="25"/>
      <x:c r="G1977" s="20"/>
      <x:c r="H1977" s="20"/>
      <x:c r="I1977" s="20"/>
      <x:c r="J1977" s="20"/>
      <x:c r="K1977" s="20"/>
      <x:c r="L1977" s="20"/>
      <x:c r="M1977" s="20"/>
      <x:c r="N1977" s="20"/>
      <x:c r="O1977" s="20"/>
      <x:c r="P1977" s="20"/>
      <x:c r="Q1977" s="20"/>
      <x:c r="R1977" s="20"/>
      <x:c r="S1977" s="20"/>
      <x:c r="T1977" s="20"/>
      <x:c r="U1977" s="20"/>
      <x:c r="V1977" s="20"/>
      <x:c r="W1977" s="20"/>
      <x:c r="X1977" s="20"/>
      <x:c r="Y1977" s="21"/>
    </x:row>
    <x:row r="1978">
      <x:c r="A1978" s="19"/>
      <x:c r="B1978" s="27"/>
      <x:c r="C1978" s="20"/>
      <x:c r="D1978" s="28"/>
      <x:c r="E1978" s="20"/>
      <x:c r="F1978" s="25"/>
      <x:c r="G1978" s="20"/>
      <x:c r="H1978" s="20"/>
      <x:c r="I1978" s="20"/>
      <x:c r="J1978" s="20"/>
      <x:c r="K1978" s="20"/>
      <x:c r="L1978" s="20"/>
      <x:c r="M1978" s="20"/>
      <x:c r="N1978" s="20"/>
      <x:c r="O1978" s="20"/>
      <x:c r="P1978" s="20"/>
      <x:c r="Q1978" s="20"/>
      <x:c r="R1978" s="20"/>
      <x:c r="S1978" s="20"/>
      <x:c r="T1978" s="20"/>
      <x:c r="U1978" s="20"/>
      <x:c r="V1978" s="20"/>
      <x:c r="W1978" s="20"/>
      <x:c r="X1978" s="20"/>
      <x:c r="Y1978" s="21"/>
    </x:row>
    <x:row r="1979">
      <x:c r="A1979" s="19"/>
      <x:c r="B1979" s="27"/>
      <x:c r="C1979" s="20"/>
      <x:c r="D1979" s="28"/>
      <x:c r="E1979" s="20"/>
      <x:c r="F1979" s="25"/>
      <x:c r="G1979" s="20"/>
      <x:c r="H1979" s="20"/>
      <x:c r="I1979" s="20"/>
      <x:c r="J1979" s="20"/>
      <x:c r="K1979" s="20"/>
      <x:c r="L1979" s="20"/>
      <x:c r="M1979" s="20"/>
      <x:c r="N1979" s="20"/>
      <x:c r="O1979" s="20"/>
      <x:c r="P1979" s="20"/>
      <x:c r="Q1979" s="20"/>
      <x:c r="R1979" s="20"/>
      <x:c r="S1979" s="20"/>
      <x:c r="T1979" s="20"/>
      <x:c r="U1979" s="20"/>
      <x:c r="V1979" s="20"/>
      <x:c r="W1979" s="20"/>
      <x:c r="X1979" s="20"/>
      <x:c r="Y1979" s="21"/>
    </x:row>
    <x:row r="1980">
      <x:c r="A1980" s="19"/>
      <x:c r="B1980" s="27"/>
      <x:c r="C1980" s="20"/>
      <x:c r="D1980" s="28"/>
      <x:c r="E1980" s="20"/>
      <x:c r="F1980" s="25"/>
      <x:c r="G1980" s="20"/>
      <x:c r="H1980" s="20"/>
      <x:c r="I1980" s="20"/>
      <x:c r="J1980" s="20"/>
      <x:c r="K1980" s="20"/>
      <x:c r="L1980" s="20"/>
      <x:c r="M1980" s="20"/>
      <x:c r="N1980" s="20"/>
      <x:c r="O1980" s="20"/>
      <x:c r="P1980" s="20"/>
      <x:c r="Q1980" s="20"/>
      <x:c r="R1980" s="20"/>
      <x:c r="S1980" s="20"/>
      <x:c r="T1980" s="20"/>
      <x:c r="U1980" s="20"/>
      <x:c r="V1980" s="20"/>
      <x:c r="W1980" s="20"/>
      <x:c r="X1980" s="20"/>
      <x:c r="Y1980" s="21"/>
    </x:row>
    <x:row r="1981">
      <x:c r="A1981" s="19"/>
      <x:c r="B1981" s="27"/>
      <x:c r="C1981" s="20"/>
      <x:c r="D1981" s="28"/>
      <x:c r="E1981" s="20"/>
      <x:c r="F1981" s="25"/>
      <x:c r="G1981" s="20"/>
      <x:c r="H1981" s="20"/>
      <x:c r="I1981" s="20"/>
      <x:c r="J1981" s="20"/>
      <x:c r="K1981" s="20"/>
      <x:c r="L1981" s="20"/>
      <x:c r="M1981" s="20"/>
      <x:c r="N1981" s="20"/>
      <x:c r="O1981" s="20"/>
      <x:c r="P1981" s="20"/>
      <x:c r="Q1981" s="20"/>
      <x:c r="R1981" s="20"/>
      <x:c r="S1981" s="20"/>
      <x:c r="T1981" s="20"/>
      <x:c r="U1981" s="20"/>
      <x:c r="V1981" s="20"/>
      <x:c r="W1981" s="20"/>
      <x:c r="X1981" s="20"/>
      <x:c r="Y1981" s="21"/>
    </x:row>
    <x:row r="1982">
      <x:c r="A1982" s="19"/>
      <x:c r="B1982" s="27"/>
      <x:c r="C1982" s="20"/>
      <x:c r="D1982" s="28"/>
      <x:c r="E1982" s="20"/>
      <x:c r="F1982" s="25"/>
      <x:c r="G1982" s="20"/>
      <x:c r="H1982" s="20"/>
      <x:c r="I1982" s="20"/>
      <x:c r="J1982" s="20"/>
      <x:c r="K1982" s="20"/>
      <x:c r="L1982" s="20"/>
      <x:c r="M1982" s="20"/>
      <x:c r="N1982" s="20"/>
      <x:c r="O1982" s="20"/>
      <x:c r="P1982" s="20"/>
      <x:c r="Q1982" s="20"/>
      <x:c r="R1982" s="20"/>
      <x:c r="S1982" s="20"/>
      <x:c r="T1982" s="20"/>
      <x:c r="U1982" s="20"/>
      <x:c r="V1982" s="20"/>
      <x:c r="W1982" s="20"/>
      <x:c r="X1982" s="20"/>
      <x:c r="Y1982" s="21"/>
    </x:row>
    <x:row r="1983">
      <x:c r="A1983" s="19"/>
      <x:c r="B1983" s="27"/>
      <x:c r="C1983" s="20"/>
      <x:c r="D1983" s="28"/>
      <x:c r="E1983" s="20"/>
      <x:c r="F1983" s="25"/>
      <x:c r="G1983" s="20"/>
      <x:c r="H1983" s="20"/>
      <x:c r="I1983" s="20"/>
      <x:c r="J1983" s="20"/>
      <x:c r="K1983" s="20"/>
      <x:c r="L1983" s="20"/>
      <x:c r="M1983" s="20"/>
      <x:c r="N1983" s="20"/>
      <x:c r="O1983" s="20"/>
      <x:c r="P1983" s="20"/>
      <x:c r="Q1983" s="20"/>
      <x:c r="R1983" s="20"/>
      <x:c r="S1983" s="20"/>
      <x:c r="T1983" s="20"/>
      <x:c r="U1983" s="20"/>
      <x:c r="V1983" s="20"/>
      <x:c r="W1983" s="20"/>
      <x:c r="X1983" s="20"/>
      <x:c r="Y1983" s="21"/>
    </x:row>
    <x:row r="1984">
      <x:c r="A1984" s="19"/>
      <x:c r="B1984" s="27"/>
      <x:c r="C1984" s="20"/>
      <x:c r="D1984" s="28"/>
      <x:c r="E1984" s="20"/>
      <x:c r="F1984" s="25"/>
      <x:c r="G1984" s="20"/>
      <x:c r="H1984" s="20"/>
      <x:c r="I1984" s="20"/>
      <x:c r="J1984" s="20"/>
      <x:c r="K1984" s="20"/>
      <x:c r="L1984" s="20"/>
      <x:c r="M1984" s="20"/>
      <x:c r="N1984" s="20"/>
      <x:c r="O1984" s="20"/>
      <x:c r="P1984" s="20"/>
      <x:c r="Q1984" s="20"/>
      <x:c r="R1984" s="20"/>
      <x:c r="S1984" s="20"/>
      <x:c r="T1984" s="20"/>
      <x:c r="U1984" s="20"/>
      <x:c r="V1984" s="20"/>
      <x:c r="W1984" s="20"/>
      <x:c r="X1984" s="20"/>
      <x:c r="Y1984" s="21"/>
    </x:row>
    <x:row r="1985">
      <x:c r="A1985" s="19"/>
      <x:c r="B1985" s="27"/>
      <x:c r="C1985" s="20"/>
      <x:c r="D1985" s="28"/>
      <x:c r="E1985" s="20"/>
      <x:c r="F1985" s="25"/>
      <x:c r="G1985" s="20"/>
      <x:c r="H1985" s="20"/>
      <x:c r="I1985" s="20"/>
      <x:c r="J1985" s="20"/>
      <x:c r="K1985" s="20"/>
      <x:c r="L1985" s="20"/>
      <x:c r="M1985" s="20"/>
      <x:c r="N1985" s="20"/>
      <x:c r="O1985" s="20"/>
      <x:c r="P1985" s="20"/>
      <x:c r="Q1985" s="20"/>
      <x:c r="R1985" s="20"/>
      <x:c r="S1985" s="20"/>
      <x:c r="T1985" s="20"/>
      <x:c r="U1985" s="20"/>
      <x:c r="V1985" s="20"/>
      <x:c r="W1985" s="20"/>
      <x:c r="X1985" s="20"/>
      <x:c r="Y1985" s="21"/>
    </x:row>
    <x:row r="1986">
      <x:c r="A1986" s="19"/>
      <x:c r="B1986" s="27"/>
      <x:c r="C1986" s="20"/>
      <x:c r="D1986" s="28"/>
      <x:c r="E1986" s="20"/>
      <x:c r="F1986" s="25"/>
      <x:c r="G1986" s="20"/>
      <x:c r="H1986" s="20"/>
      <x:c r="I1986" s="20"/>
      <x:c r="J1986" s="20"/>
      <x:c r="K1986" s="20"/>
      <x:c r="L1986" s="20"/>
      <x:c r="M1986" s="20"/>
      <x:c r="N1986" s="20"/>
      <x:c r="O1986" s="20"/>
      <x:c r="P1986" s="20"/>
      <x:c r="Q1986" s="20"/>
      <x:c r="R1986" s="20"/>
      <x:c r="S1986" s="20"/>
      <x:c r="T1986" s="20"/>
      <x:c r="U1986" s="20"/>
      <x:c r="V1986" s="20"/>
      <x:c r="W1986" s="20"/>
      <x:c r="X1986" s="20"/>
      <x:c r="Y1986" s="21"/>
    </x:row>
    <x:row r="1987">
      <x:c r="A1987" s="19"/>
      <x:c r="B1987" s="27"/>
      <x:c r="C1987" s="20"/>
      <x:c r="D1987" s="28"/>
      <x:c r="E1987" s="20"/>
      <x:c r="F1987" s="25"/>
      <x:c r="G1987" s="20"/>
      <x:c r="H1987" s="20"/>
      <x:c r="I1987" s="20"/>
      <x:c r="J1987" s="20"/>
      <x:c r="K1987" s="20"/>
      <x:c r="L1987" s="20"/>
      <x:c r="M1987" s="20"/>
      <x:c r="N1987" s="20"/>
      <x:c r="O1987" s="20"/>
      <x:c r="P1987" s="20"/>
      <x:c r="Q1987" s="20"/>
      <x:c r="R1987" s="20"/>
      <x:c r="S1987" s="20"/>
      <x:c r="T1987" s="20"/>
      <x:c r="U1987" s="20"/>
      <x:c r="V1987" s="20"/>
      <x:c r="W1987" s="20"/>
      <x:c r="X1987" s="20"/>
      <x:c r="Y1987" s="21"/>
    </x:row>
    <x:row r="1988">
      <x:c r="A1988" s="19"/>
      <x:c r="B1988" s="27"/>
      <x:c r="C1988" s="20"/>
      <x:c r="D1988" s="28"/>
      <x:c r="E1988" s="20"/>
      <x:c r="F1988" s="25"/>
      <x:c r="G1988" s="20"/>
      <x:c r="H1988" s="20"/>
      <x:c r="I1988" s="20"/>
      <x:c r="J1988" s="20"/>
      <x:c r="K1988" s="20"/>
      <x:c r="L1988" s="20"/>
      <x:c r="M1988" s="20"/>
      <x:c r="N1988" s="20"/>
      <x:c r="O1988" s="20"/>
      <x:c r="P1988" s="20"/>
      <x:c r="Q1988" s="20"/>
      <x:c r="R1988" s="20"/>
      <x:c r="S1988" s="20"/>
      <x:c r="T1988" s="20"/>
      <x:c r="U1988" s="20"/>
      <x:c r="V1988" s="20"/>
      <x:c r="W1988" s="20"/>
      <x:c r="X1988" s="20"/>
      <x:c r="Y1988" s="21"/>
    </x:row>
    <x:row r="1989">
      <x:c r="A1989" s="19"/>
      <x:c r="B1989" s="27"/>
      <x:c r="C1989" s="20"/>
      <x:c r="D1989" s="28"/>
      <x:c r="E1989" s="20"/>
      <x:c r="F1989" s="25"/>
      <x:c r="G1989" s="20"/>
      <x:c r="H1989" s="20"/>
      <x:c r="I1989" s="20"/>
      <x:c r="J1989" s="20"/>
      <x:c r="K1989" s="20"/>
      <x:c r="L1989" s="20"/>
      <x:c r="M1989" s="20"/>
      <x:c r="N1989" s="20"/>
      <x:c r="O1989" s="20"/>
      <x:c r="P1989" s="20"/>
      <x:c r="Q1989" s="20"/>
      <x:c r="R1989" s="20"/>
      <x:c r="S1989" s="20"/>
      <x:c r="T1989" s="20"/>
      <x:c r="U1989" s="20"/>
      <x:c r="V1989" s="20"/>
      <x:c r="W1989" s="20"/>
      <x:c r="X1989" s="20"/>
      <x:c r="Y1989" s="21"/>
    </x:row>
    <x:row r="1990">
      <x:c r="A1990" s="19"/>
      <x:c r="B1990" s="27"/>
      <x:c r="C1990" s="20"/>
      <x:c r="D1990" s="28"/>
      <x:c r="E1990" s="20"/>
      <x:c r="F1990" s="25"/>
      <x:c r="G1990" s="20"/>
      <x:c r="H1990" s="20"/>
      <x:c r="I1990" s="20"/>
      <x:c r="J1990" s="20"/>
      <x:c r="K1990" s="20"/>
      <x:c r="L1990" s="20"/>
      <x:c r="M1990" s="20"/>
      <x:c r="N1990" s="20"/>
      <x:c r="O1990" s="20"/>
      <x:c r="P1990" s="20"/>
      <x:c r="Q1990" s="20"/>
      <x:c r="R1990" s="20"/>
      <x:c r="S1990" s="20"/>
      <x:c r="T1990" s="20"/>
      <x:c r="U1990" s="20"/>
      <x:c r="V1990" s="20"/>
      <x:c r="W1990" s="20"/>
      <x:c r="X1990" s="20"/>
      <x:c r="Y1990" s="21"/>
    </x:row>
    <x:row r="1991">
      <x:c r="A1991" s="19"/>
      <x:c r="B1991" s="27"/>
      <x:c r="C1991" s="20"/>
      <x:c r="D1991" s="28"/>
      <x:c r="E1991" s="20"/>
      <x:c r="F1991" s="25"/>
      <x:c r="G1991" s="20"/>
      <x:c r="H1991" s="20"/>
      <x:c r="I1991" s="20"/>
      <x:c r="J1991" s="20"/>
      <x:c r="K1991" s="20"/>
      <x:c r="L1991" s="20"/>
      <x:c r="M1991" s="20"/>
      <x:c r="N1991" s="20"/>
      <x:c r="O1991" s="20"/>
      <x:c r="P1991" s="20"/>
      <x:c r="Q1991" s="20"/>
      <x:c r="R1991" s="20"/>
      <x:c r="S1991" s="20"/>
      <x:c r="T1991" s="20"/>
      <x:c r="U1991" s="20"/>
      <x:c r="V1991" s="20"/>
      <x:c r="W1991" s="20"/>
      <x:c r="X1991" s="20"/>
      <x:c r="Y1991" s="21"/>
    </x:row>
    <x:row r="1992">
      <x:c r="A1992" s="19"/>
      <x:c r="B1992" s="27"/>
      <x:c r="C1992" s="20"/>
      <x:c r="D1992" s="28"/>
      <x:c r="E1992" s="20"/>
      <x:c r="F1992" s="25"/>
      <x:c r="G1992" s="20"/>
      <x:c r="H1992" s="20"/>
      <x:c r="I1992" s="20"/>
      <x:c r="J1992" s="20"/>
      <x:c r="K1992" s="20"/>
      <x:c r="L1992" s="20"/>
      <x:c r="M1992" s="20"/>
      <x:c r="N1992" s="20"/>
      <x:c r="O1992" s="20"/>
      <x:c r="P1992" s="20"/>
      <x:c r="Q1992" s="20"/>
      <x:c r="R1992" s="20"/>
      <x:c r="S1992" s="20"/>
      <x:c r="T1992" s="20"/>
      <x:c r="U1992" s="20"/>
      <x:c r="V1992" s="20"/>
      <x:c r="W1992" s="20"/>
      <x:c r="X1992" s="20"/>
      <x:c r="Y1992" s="21"/>
    </x:row>
    <x:row r="1993">
      <x:c r="A1993" s="19"/>
      <x:c r="B1993" s="27"/>
      <x:c r="C1993" s="20"/>
      <x:c r="D1993" s="28"/>
      <x:c r="E1993" s="20"/>
      <x:c r="F1993" s="25"/>
      <x:c r="G1993" s="20"/>
      <x:c r="H1993" s="20"/>
      <x:c r="I1993" s="20"/>
      <x:c r="J1993" s="20"/>
      <x:c r="K1993" s="20"/>
      <x:c r="L1993" s="20"/>
      <x:c r="M1993" s="20"/>
      <x:c r="N1993" s="20"/>
      <x:c r="O1993" s="20"/>
      <x:c r="P1993" s="20"/>
      <x:c r="Q1993" s="20"/>
      <x:c r="R1993" s="20"/>
      <x:c r="S1993" s="20"/>
      <x:c r="T1993" s="20"/>
      <x:c r="U1993" s="20"/>
      <x:c r="V1993" s="20"/>
      <x:c r="W1993" s="20"/>
      <x:c r="X1993" s="20"/>
      <x:c r="Y1993" s="21"/>
    </x:row>
    <x:row r="1994">
      <x:c r="A1994" s="19"/>
      <x:c r="B1994" s="27"/>
      <x:c r="C1994" s="20"/>
      <x:c r="D1994" s="28"/>
      <x:c r="E1994" s="20"/>
      <x:c r="F1994" s="25"/>
      <x:c r="G1994" s="20"/>
      <x:c r="H1994" s="20"/>
      <x:c r="I1994" s="20"/>
      <x:c r="J1994" s="20"/>
      <x:c r="K1994" s="20"/>
      <x:c r="L1994" s="20"/>
      <x:c r="M1994" s="20"/>
      <x:c r="N1994" s="20"/>
      <x:c r="O1994" s="20"/>
      <x:c r="P1994" s="20"/>
      <x:c r="Q1994" s="20"/>
      <x:c r="R1994" s="20"/>
      <x:c r="S1994" s="20"/>
      <x:c r="T1994" s="20"/>
      <x:c r="U1994" s="20"/>
      <x:c r="V1994" s="20"/>
      <x:c r="W1994" s="20"/>
      <x:c r="X1994" s="20"/>
      <x:c r="Y1994" s="21"/>
    </x:row>
    <x:row r="1995">
      <x:c r="A1995" s="19"/>
      <x:c r="B1995" s="27"/>
      <x:c r="C1995" s="20"/>
      <x:c r="D1995" s="28"/>
      <x:c r="E1995" s="20"/>
      <x:c r="F1995" s="25"/>
      <x:c r="G1995" s="20"/>
      <x:c r="H1995" s="20"/>
      <x:c r="I1995" s="20"/>
      <x:c r="J1995" s="20"/>
      <x:c r="K1995" s="20"/>
      <x:c r="L1995" s="20"/>
      <x:c r="M1995" s="20"/>
      <x:c r="N1995" s="20"/>
      <x:c r="O1995" s="20"/>
      <x:c r="P1995" s="20"/>
      <x:c r="Q1995" s="20"/>
      <x:c r="R1995" s="20"/>
      <x:c r="S1995" s="20"/>
      <x:c r="T1995" s="20"/>
      <x:c r="U1995" s="20"/>
      <x:c r="V1995" s="20"/>
      <x:c r="W1995" s="20"/>
      <x:c r="X1995" s="20"/>
      <x:c r="Y1995" s="21"/>
    </x:row>
    <x:row r="1996">
      <x:c r="A1996" s="19"/>
      <x:c r="B1996" s="27"/>
      <x:c r="C1996" s="20"/>
      <x:c r="D1996" s="28"/>
      <x:c r="E1996" s="20"/>
      <x:c r="F1996" s="25"/>
      <x:c r="G1996" s="20"/>
      <x:c r="H1996" s="20"/>
      <x:c r="I1996" s="20"/>
      <x:c r="J1996" s="20"/>
      <x:c r="K1996" s="20"/>
      <x:c r="L1996" s="20"/>
      <x:c r="M1996" s="20"/>
      <x:c r="N1996" s="20"/>
      <x:c r="O1996" s="20"/>
      <x:c r="P1996" s="20"/>
      <x:c r="Q1996" s="20"/>
      <x:c r="R1996" s="20"/>
      <x:c r="S1996" s="20"/>
      <x:c r="T1996" s="20"/>
      <x:c r="U1996" s="20"/>
      <x:c r="V1996" s="20"/>
      <x:c r="W1996" s="20"/>
      <x:c r="X1996" s="20"/>
      <x:c r="Y1996" s="21"/>
    </x:row>
    <x:row r="1997">
      <x:c r="A1997" s="19"/>
      <x:c r="B1997" s="27"/>
      <x:c r="C1997" s="20"/>
      <x:c r="D1997" s="28"/>
      <x:c r="E1997" s="20"/>
      <x:c r="F1997" s="25"/>
      <x:c r="G1997" s="20"/>
      <x:c r="H1997" s="20"/>
      <x:c r="I1997" s="20"/>
      <x:c r="J1997" s="20"/>
      <x:c r="K1997" s="20"/>
      <x:c r="L1997" s="20"/>
      <x:c r="M1997" s="20"/>
      <x:c r="N1997" s="20"/>
      <x:c r="O1997" s="20"/>
      <x:c r="P1997" s="20"/>
      <x:c r="Q1997" s="20"/>
      <x:c r="R1997" s="20"/>
      <x:c r="S1997" s="20"/>
      <x:c r="T1997" s="20"/>
      <x:c r="U1997" s="20"/>
      <x:c r="V1997" s="20"/>
      <x:c r="W1997" s="20"/>
      <x:c r="X1997" s="20"/>
      <x:c r="Y1997" s="21"/>
    </x:row>
    <x:row r="1998">
      <x:c r="A1998" s="19"/>
      <x:c r="B1998" s="27"/>
      <x:c r="C1998" s="20"/>
      <x:c r="D1998" s="28"/>
      <x:c r="E1998" s="20"/>
      <x:c r="F1998" s="25"/>
      <x:c r="G1998" s="20"/>
      <x:c r="H1998" s="20"/>
      <x:c r="I1998" s="20"/>
      <x:c r="J1998" s="20"/>
      <x:c r="K1998" s="20"/>
      <x:c r="L1998" s="20"/>
      <x:c r="M1998" s="20"/>
      <x:c r="N1998" s="20"/>
      <x:c r="O1998" s="20"/>
      <x:c r="P1998" s="20"/>
      <x:c r="Q1998" s="20"/>
      <x:c r="R1998" s="20"/>
      <x:c r="S1998" s="20"/>
      <x:c r="T1998" s="20"/>
      <x:c r="U1998" s="20"/>
      <x:c r="V1998" s="20"/>
      <x:c r="W1998" s="20"/>
      <x:c r="X1998" s="20"/>
      <x:c r="Y1998" s="21"/>
    </x:row>
    <x:row r="1999">
      <x:c r="A1999" s="19"/>
      <x:c r="B1999" s="27"/>
      <x:c r="C1999" s="20"/>
      <x:c r="D1999" s="28"/>
      <x:c r="E1999" s="20"/>
      <x:c r="F1999" s="25"/>
      <x:c r="G1999" s="20"/>
      <x:c r="H1999" s="20"/>
      <x:c r="I1999" s="20"/>
      <x:c r="J1999" s="20"/>
      <x:c r="K1999" s="20"/>
      <x:c r="L1999" s="20"/>
      <x:c r="M1999" s="20"/>
      <x:c r="N1999" s="20"/>
      <x:c r="O1999" s="20"/>
      <x:c r="P1999" s="20"/>
      <x:c r="Q1999" s="20"/>
      <x:c r="R1999" s="20"/>
      <x:c r="S1999" s="20"/>
      <x:c r="T1999" s="20"/>
      <x:c r="U1999" s="20"/>
      <x:c r="V1999" s="20"/>
      <x:c r="W1999" s="20"/>
      <x:c r="X1999" s="20"/>
      <x:c r="Y1999" s="21"/>
    </x:row>
    <x:row r="2000">
      <x:c r="A2000" s="19"/>
      <x:c r="B2000" s="27"/>
      <x:c r="C2000" s="20"/>
      <x:c r="D2000" s="28"/>
      <x:c r="E2000" s="20"/>
      <x:c r="F2000" s="25"/>
      <x:c r="G2000" s="20"/>
      <x:c r="H2000" s="20"/>
      <x:c r="I2000" s="20"/>
      <x:c r="J2000" s="20"/>
      <x:c r="K2000" s="20"/>
      <x:c r="L2000" s="20"/>
      <x:c r="M2000" s="20"/>
      <x:c r="N2000" s="20"/>
      <x:c r="O2000" s="20"/>
      <x:c r="P2000" s="20"/>
      <x:c r="Q2000" s="20"/>
      <x:c r="R2000" s="20"/>
      <x:c r="S2000" s="20"/>
      <x:c r="T2000" s="20"/>
      <x:c r="U2000" s="20"/>
      <x:c r="V2000" s="20"/>
      <x:c r="W2000" s="20"/>
      <x:c r="X2000" s="20"/>
      <x:c r="Y2000" s="21"/>
    </x:row>
    <x:row r="2001">
      <x:c r="A2001" s="19"/>
      <x:c r="B2001" s="27"/>
      <x:c r="C2001" s="20"/>
      <x:c r="D2001" s="28"/>
      <x:c r="E2001" s="20"/>
      <x:c r="F2001" s="25"/>
      <x:c r="G2001" s="20"/>
      <x:c r="H2001" s="20"/>
      <x:c r="I2001" s="20"/>
      <x:c r="J2001" s="20"/>
      <x:c r="K2001" s="20"/>
      <x:c r="L2001" s="20"/>
      <x:c r="M2001" s="20"/>
      <x:c r="N2001" s="20"/>
      <x:c r="O2001" s="20"/>
      <x:c r="P2001" s="20"/>
      <x:c r="Q2001" s="20"/>
      <x:c r="R2001" s="20"/>
      <x:c r="S2001" s="20"/>
      <x:c r="T2001" s="20"/>
      <x:c r="U2001" s="20"/>
      <x:c r="V2001" s="20"/>
      <x:c r="W2001" s="20"/>
      <x:c r="X2001" s="20"/>
      <x:c r="Y2001" s="21"/>
    </x:row>
    <x:row r="2002">
      <x:c r="A2002" s="19"/>
      <x:c r="B2002" s="27"/>
      <x:c r="C2002" s="20"/>
      <x:c r="D2002" s="28"/>
      <x:c r="E2002" s="20"/>
      <x:c r="F2002" s="25"/>
      <x:c r="G2002" s="20"/>
      <x:c r="H2002" s="20"/>
      <x:c r="I2002" s="20"/>
      <x:c r="J2002" s="20"/>
      <x:c r="K2002" s="20"/>
      <x:c r="L2002" s="20"/>
      <x:c r="M2002" s="20"/>
      <x:c r="N2002" s="20"/>
      <x:c r="O2002" s="20"/>
      <x:c r="P2002" s="20"/>
      <x:c r="Q2002" s="20"/>
      <x:c r="R2002" s="20"/>
      <x:c r="S2002" s="20"/>
      <x:c r="T2002" s="20"/>
      <x:c r="U2002" s="20"/>
      <x:c r="V2002" s="20"/>
      <x:c r="W2002" s="20"/>
      <x:c r="X2002" s="20"/>
      <x:c r="Y2002" s="21"/>
    </x:row>
    <x:row r="2003">
      <x:c r="A2003" s="22"/>
      <x:c r="B2003" s="29"/>
      <x:c r="C2003" s="23"/>
      <x:c r="D2003" s="30"/>
      <x:c r="E2003" s="23"/>
      <x:c r="F2003" s="26"/>
      <x:c r="G2003" s="23"/>
      <x:c r="H2003" s="23"/>
      <x:c r="I2003" s="23"/>
      <x:c r="J2003" s="23"/>
      <x:c r="K2003" s="23"/>
      <x:c r="L2003" s="23"/>
      <x:c r="M2003" s="23"/>
      <x:c r="N2003" s="23"/>
      <x:c r="O2003" s="23"/>
      <x:c r="P2003" s="23"/>
      <x:c r="Q2003" s="23"/>
      <x:c r="R2003" s="23"/>
      <x:c r="S2003" s="23"/>
      <x:c r="T2003" s="23"/>
      <x:c r="U2003" s="23"/>
      <x:c r="V2003" s="23"/>
      <x:c r="W2003" s="23"/>
      <x:c r="X2003" s="23"/>
      <x:c r="Y2003" s="24"/>
    </x:row>
  </x:sheetData>
  <x:mergeCells>
    <x:mergeCell ref="A1:Y1"/>
  </x:mergeCells>
  <x:dataValidations count="4">
    <x:dataValidation type="list" sqref="M4:M2003">
      <x:formula1>"Sociétaire,Aspirant,Compagnon"</x:formula1>
    </x:dataValidation>
    <x:dataValidation type="list" sqref="N4:N2003">
      <x:formula1>"Paris,Autre"</x:formula1>
    </x:dataValidation>
    <x:dataValidation type="list" sqref="O4:O2003">
      <x:formula1>"Présent,Absent excusé"</x:formula1>
    </x:dataValidation>
    <x:dataValidation type="list" sqref="R4:R2003">
      <x:formula1>"Oui,Non"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5.5600004196167" hidden="0" customWidth="1"/>
    <x:col min="3" max="3" width="13.329999923706055" hidden="0" customWidth="1"/>
    <x:col min="4" max="4" width="11.109999656677246" hidden="0" customWidth="1"/>
    <x:col min="5" max="5" width="21.110000610351562" hidden="0" customWidth="1"/>
    <x:col min="6" max="6" width="10" hidden="0" customWidth="1"/>
    <x:col min="7" max="7" width="13.890000343322754" hidden="0" customWidth="1"/>
    <x:col min="8" max="8" width="12.779999732971191" hidden="0" customWidth="1"/>
    <x:col min="9" max="9" width="12.779999732971191" hidden="0" customWidth="1"/>
    <x:col min="10" max="10" width="10" hidden="0" customWidth="1"/>
    <x:col min="11" max="11" width="16.670000076293945" hidden="0" customWidth="1"/>
  </x:cols>
  <x:sheetData>
    <x:row r="1">
      <x:c r="A1" s="4" t="str">
        <x:v>Suivi annuel par personne</x:v>
      </x:c>
      <x:c r="B1" s="4" t="str">
        <x:v>Suivi annuel par personne</x:v>
      </x:c>
      <x:c r="C1" s="4" t="str">
        <x:v>Suivi annuel par personne</x:v>
      </x:c>
      <x:c r="D1" s="4" t="str">
        <x:v>Suivi annuel par personne</x:v>
      </x:c>
      <x:c r="E1" s="4" t="str">
        <x:v>Suivi annuel par personne</x:v>
      </x:c>
      <x:c r="F1" s="4" t="str">
        <x:v>Suivi annuel par personne</x:v>
      </x:c>
      <x:c r="G1" s="4" t="str">
        <x:v>Suivi annuel par personne</x:v>
      </x:c>
      <x:c r="H1" s="4" t="str">
        <x:v>Suivi annuel par personne</x:v>
      </x:c>
      <x:c r="I1" s="4" t="str">
        <x:v>Suivi annuel par personne</x:v>
      </x:c>
      <x:c r="J1" s="4" t="str">
        <x:v>Suivi annuel par personne</x:v>
      </x:c>
      <x:c r="K1" s="4" t="str">
        <x:v>Suivi annuel par personne</x:v>
      </x:c>
    </x:row>
    <x:row r="3">
      <x:c r="A3" s="16" t="str">
        <x:v>Nom</x:v>
      </x:c>
      <x:c r="B3" s="17" t="str">
        <x:v>Prénom</x:v>
      </x:c>
      <x:c r="C3" s="17" t="str">
        <x:v>Statut</x:v>
      </x:c>
      <x:c r="D3" s="17" t="str">
        <x:v>Cayenne</x:v>
      </x:c>
      <x:c r="E3" s="17" t="str">
        <x:v>Clé personne</x:v>
      </x:c>
      <x:c r="F3" s="17" t="str">
        <x:v>Présences</x:v>
      </x:c>
      <x:c r="G3" s="17" t="str">
        <x:v>Absences excusées</x:v>
      </x:c>
      <x:c r="H3" s="17" t="str">
        <x:v>Sans réponse</x:v>
      </x:c>
      <x:c r="I3" s="17" t="str">
        <x:v>Aides proposées</x:v>
      </x:c>
      <x:c r="J3" s="17" t="str">
        <x:v>Taux présence</x:v>
      </x:c>
      <x:c r="K3" s="18" t="str">
        <x:v>Dernière réponse</x:v>
      </x:c>
    </x:row>
    <x:row r="4">
      <x:c r="A4" s="19" t="str">
        <x:f>IF('MEMBRES'!A4="","",'MEMBRES'!A4)</x:f>
      </x:c>
      <x:c r="B4" s="20" t="str">
        <x:f>IF('MEMBRES'!B4="","",'MEMBRES'!B4)</x:f>
      </x:c>
      <x:c r="C4" s="20" t="str">
        <x:f>IF('MEMBRES'!C4="","",'MEMBRES'!C4)</x:f>
      </x:c>
      <x:c r="D4" s="20" t="str">
        <x:f>IF('MEMBRES'!D4="","",'MEMBRES'!D4)</x:f>
      </x:c>
      <x:c r="E4" s="20" t="str">
        <x:f>IF(A4="","",UPPER(TRIM(A4&amp;" "&amp;B4)))</x:f>
      </x:c>
      <x:c r="F4" s="28" t="str">
        <x:f>IF(E4="","",COUNTIFS('REPONSES'!$V$4:$V$2003,E4,'REPONSES'!$D$4:$D$2003,'PARAMETRES'!$B$4,'REPONSES'!$O$4:$O$2003,"Présent"))</x:f>
      </x:c>
      <x:c r="G4" s="28" t="str">
        <x:f>IF(E4="","",COUNTIFS('REPONSES'!$V$4:$V$2003,E4,'REPONSES'!$D$4:$D$2003,'PARAMETRES'!$B$4,'REPONSES'!$O$4:$O$2003,"Absent excusé"))</x:f>
      </x:c>
      <x:c r="H4" s="28" t="str">
        <x:f>IF(E4="","",MAX(0,COUNTIFS('CALENDRIER'!$B$4:$B$503,'PARAMETRES'!$B$4,'CALENDRIER'!$K$4:$K$503,"Oui")-F4-G4))</x:f>
      </x:c>
      <x:c r="I4" s="28" t="str">
        <x:f>IF(E4="","",COUNTIFS('REPONSES'!$V$4:$V$2003,E4,'REPONSES'!$D$4:$D$2003,'PARAMETRES'!$B$4,'REPONSES'!$R$4:$R$2003,"Oui"))</x:f>
      </x:c>
      <x:c r="J4" s="31" t="str">
        <x:f>IF(E4="","",IFERROR(F4/(F4+G4+H4),0))</x:f>
      </x:c>
      <x:c r="K4" s="32" t="str">
        <x:f>IF(E4="","",IFERROR(MAXIFS('REPONSES'!$B$4:$B$2003,'REPONSES'!$V$4:$V$2003,E4,'REPONSES'!$D$4:$D$2003,'PARAMETRES'!$B$4),""))</x:f>
      </x:c>
    </x:row>
    <x:row r="5">
      <x:c r="A5" s="19" t="str">
        <x:f>IF('MEMBRES'!A5="","",'MEMBRES'!A5)</x:f>
      </x:c>
      <x:c r="B5" s="20" t="str">
        <x:f>IF('MEMBRES'!B5="","",'MEMBRES'!B5)</x:f>
      </x:c>
      <x:c r="C5" s="20" t="str">
        <x:f>IF('MEMBRES'!C5="","",'MEMBRES'!C5)</x:f>
      </x:c>
      <x:c r="D5" s="20" t="str">
        <x:f>IF('MEMBRES'!D5="","",'MEMBRES'!D5)</x:f>
      </x:c>
      <x:c r="E5" s="20" t="str">
        <x:f>IF(A5="","",UPPER(TRIM(A5&amp;" "&amp;B5)))</x:f>
      </x:c>
      <x:c r="F5" s="28" t="str">
        <x:f>IF(E5="","",COUNTIFS('REPONSES'!$V$4:$V$2003,E5,'REPONSES'!$D$4:$D$2003,'PARAMETRES'!$B$4,'REPONSES'!$O$4:$O$2003,"Présent"))</x:f>
      </x:c>
      <x:c r="G5" s="28" t="str">
        <x:f>IF(E5="","",COUNTIFS('REPONSES'!$V$4:$V$2003,E5,'REPONSES'!$D$4:$D$2003,'PARAMETRES'!$B$4,'REPONSES'!$O$4:$O$2003,"Absent excusé"))</x:f>
      </x:c>
      <x:c r="H5" s="28" t="str">
        <x:f>IF(E5="","",MAX(0,COUNTIFS('CALENDRIER'!$B$4:$B$503,'PARAMETRES'!$B$4,'CALENDRIER'!$K$4:$K$503,"Oui")-F5-G5))</x:f>
      </x:c>
      <x:c r="I5" s="28" t="str">
        <x:f>IF(E5="","",COUNTIFS('REPONSES'!$V$4:$V$2003,E5,'REPONSES'!$D$4:$D$2003,'PARAMETRES'!$B$4,'REPONSES'!$R$4:$R$2003,"Oui"))</x:f>
      </x:c>
      <x:c r="J5" s="31" t="str">
        <x:f>IF(E5="","",IFERROR(F5/(F5+G5+H5),0))</x:f>
      </x:c>
      <x:c r="K5" s="32" t="str">
        <x:f>IF(E5="","",IFERROR(MAXIFS('REPONSES'!$B$4:$B$2003,'REPONSES'!$V$4:$V$2003,E5,'REPONSES'!$D$4:$D$2003,'PARAMETRES'!$B$4),""))</x:f>
      </x:c>
    </x:row>
    <x:row r="6">
      <x:c r="A6" s="19" t="str">
        <x:f>IF('MEMBRES'!A6="","",'MEMBRES'!A6)</x:f>
      </x:c>
      <x:c r="B6" s="20" t="str">
        <x:f>IF('MEMBRES'!B6="","",'MEMBRES'!B6)</x:f>
      </x:c>
      <x:c r="C6" s="20" t="str">
        <x:f>IF('MEMBRES'!C6="","",'MEMBRES'!C6)</x:f>
      </x:c>
      <x:c r="D6" s="20" t="str">
        <x:f>IF('MEMBRES'!D6="","",'MEMBRES'!D6)</x:f>
      </x:c>
      <x:c r="E6" s="20" t="str">
        <x:f>IF(A6="","",UPPER(TRIM(A6&amp;" "&amp;B6)))</x:f>
      </x:c>
      <x:c r="F6" s="28" t="str">
        <x:f>IF(E6="","",COUNTIFS('REPONSES'!$V$4:$V$2003,E6,'REPONSES'!$D$4:$D$2003,'PARAMETRES'!$B$4,'REPONSES'!$O$4:$O$2003,"Présent"))</x:f>
      </x:c>
      <x:c r="G6" s="28" t="str">
        <x:f>IF(E6="","",COUNTIFS('REPONSES'!$V$4:$V$2003,E6,'REPONSES'!$D$4:$D$2003,'PARAMETRES'!$B$4,'REPONSES'!$O$4:$O$2003,"Absent excusé"))</x:f>
      </x:c>
      <x:c r="H6" s="28" t="str">
        <x:f>IF(E6="","",MAX(0,COUNTIFS('CALENDRIER'!$B$4:$B$503,'PARAMETRES'!$B$4,'CALENDRIER'!$K$4:$K$503,"Oui")-F6-G6))</x:f>
      </x:c>
      <x:c r="I6" s="28" t="str">
        <x:f>IF(E6="","",COUNTIFS('REPONSES'!$V$4:$V$2003,E6,'REPONSES'!$D$4:$D$2003,'PARAMETRES'!$B$4,'REPONSES'!$R$4:$R$2003,"Oui"))</x:f>
      </x:c>
      <x:c r="J6" s="31" t="str">
        <x:f>IF(E6="","",IFERROR(F6/(F6+G6+H6),0))</x:f>
      </x:c>
      <x:c r="K6" s="32" t="str">
        <x:f>IF(E6="","",IFERROR(MAXIFS('REPONSES'!$B$4:$B$2003,'REPONSES'!$V$4:$V$2003,E6,'REPONSES'!$D$4:$D$2003,'PARAMETRES'!$B$4),""))</x:f>
      </x:c>
    </x:row>
    <x:row r="7">
      <x:c r="A7" s="19" t="str">
        <x:f>IF('MEMBRES'!A7="","",'MEMBRES'!A7)</x:f>
      </x:c>
      <x:c r="B7" s="20" t="str">
        <x:f>IF('MEMBRES'!B7="","",'MEMBRES'!B7)</x:f>
      </x:c>
      <x:c r="C7" s="20" t="str">
        <x:f>IF('MEMBRES'!C7="","",'MEMBRES'!C7)</x:f>
      </x:c>
      <x:c r="D7" s="20" t="str">
        <x:f>IF('MEMBRES'!D7="","",'MEMBRES'!D7)</x:f>
      </x:c>
      <x:c r="E7" s="20" t="str">
        <x:f>IF(A7="","",UPPER(TRIM(A7&amp;" "&amp;B7)))</x:f>
      </x:c>
      <x:c r="F7" s="28" t="str">
        <x:f>IF(E7="","",COUNTIFS('REPONSES'!$V$4:$V$2003,E7,'REPONSES'!$D$4:$D$2003,'PARAMETRES'!$B$4,'REPONSES'!$O$4:$O$2003,"Présent"))</x:f>
      </x:c>
      <x:c r="G7" s="28" t="str">
        <x:f>IF(E7="","",COUNTIFS('REPONSES'!$V$4:$V$2003,E7,'REPONSES'!$D$4:$D$2003,'PARAMETRES'!$B$4,'REPONSES'!$O$4:$O$2003,"Absent excusé"))</x:f>
      </x:c>
      <x:c r="H7" s="28" t="str">
        <x:f>IF(E7="","",MAX(0,COUNTIFS('CALENDRIER'!$B$4:$B$503,'PARAMETRES'!$B$4,'CALENDRIER'!$K$4:$K$503,"Oui")-F7-G7))</x:f>
      </x:c>
      <x:c r="I7" s="28" t="str">
        <x:f>IF(E7="","",COUNTIFS('REPONSES'!$V$4:$V$2003,E7,'REPONSES'!$D$4:$D$2003,'PARAMETRES'!$B$4,'REPONSES'!$R$4:$R$2003,"Oui"))</x:f>
      </x:c>
      <x:c r="J7" s="31" t="str">
        <x:f>IF(E7="","",IFERROR(F7/(F7+G7+H7),0))</x:f>
      </x:c>
      <x:c r="K7" s="32" t="str">
        <x:f>IF(E7="","",IFERROR(MAXIFS('REPONSES'!$B$4:$B$2003,'REPONSES'!$V$4:$V$2003,E7,'REPONSES'!$D$4:$D$2003,'PARAMETRES'!$B$4),""))</x:f>
      </x:c>
    </x:row>
    <x:row r="8">
      <x:c r="A8" s="19" t="str">
        <x:f>IF('MEMBRES'!A8="","",'MEMBRES'!A8)</x:f>
      </x:c>
      <x:c r="B8" s="20" t="str">
        <x:f>IF('MEMBRES'!B8="","",'MEMBRES'!B8)</x:f>
      </x:c>
      <x:c r="C8" s="20" t="str">
        <x:f>IF('MEMBRES'!C8="","",'MEMBRES'!C8)</x:f>
      </x:c>
      <x:c r="D8" s="20" t="str">
        <x:f>IF('MEMBRES'!D8="","",'MEMBRES'!D8)</x:f>
      </x:c>
      <x:c r="E8" s="20" t="str">
        <x:f>IF(A8="","",UPPER(TRIM(A8&amp;" "&amp;B8)))</x:f>
      </x:c>
      <x:c r="F8" s="28" t="str">
        <x:f>IF(E8="","",COUNTIFS('REPONSES'!$V$4:$V$2003,E8,'REPONSES'!$D$4:$D$2003,'PARAMETRES'!$B$4,'REPONSES'!$O$4:$O$2003,"Présent"))</x:f>
      </x:c>
      <x:c r="G8" s="28" t="str">
        <x:f>IF(E8="","",COUNTIFS('REPONSES'!$V$4:$V$2003,E8,'REPONSES'!$D$4:$D$2003,'PARAMETRES'!$B$4,'REPONSES'!$O$4:$O$2003,"Absent excusé"))</x:f>
      </x:c>
      <x:c r="H8" s="28" t="str">
        <x:f>IF(E8="","",MAX(0,COUNTIFS('CALENDRIER'!$B$4:$B$503,'PARAMETRES'!$B$4,'CALENDRIER'!$K$4:$K$503,"Oui")-F8-G8))</x:f>
      </x:c>
      <x:c r="I8" s="28" t="str">
        <x:f>IF(E8="","",COUNTIFS('REPONSES'!$V$4:$V$2003,E8,'REPONSES'!$D$4:$D$2003,'PARAMETRES'!$B$4,'REPONSES'!$R$4:$R$2003,"Oui"))</x:f>
      </x:c>
      <x:c r="J8" s="31" t="str">
        <x:f>IF(E8="","",IFERROR(F8/(F8+G8+H8),0))</x:f>
      </x:c>
      <x:c r="K8" s="32" t="str">
        <x:f>IF(E8="","",IFERROR(MAXIFS('REPONSES'!$B$4:$B$2003,'REPONSES'!$V$4:$V$2003,E8,'REPONSES'!$D$4:$D$2003,'PARAMETRES'!$B$4),""))</x:f>
      </x:c>
    </x:row>
    <x:row r="9">
      <x:c r="A9" s="19" t="str">
        <x:f>IF('MEMBRES'!A9="","",'MEMBRES'!A9)</x:f>
      </x:c>
      <x:c r="B9" s="20" t="str">
        <x:f>IF('MEMBRES'!B9="","",'MEMBRES'!B9)</x:f>
      </x:c>
      <x:c r="C9" s="20" t="str">
        <x:f>IF('MEMBRES'!C9="","",'MEMBRES'!C9)</x:f>
      </x:c>
      <x:c r="D9" s="20" t="str">
        <x:f>IF('MEMBRES'!D9="","",'MEMBRES'!D9)</x:f>
      </x:c>
      <x:c r="E9" s="20" t="str">
        <x:f>IF(A9="","",UPPER(TRIM(A9&amp;" "&amp;B9)))</x:f>
      </x:c>
      <x:c r="F9" s="28" t="str">
        <x:f>IF(E9="","",COUNTIFS('REPONSES'!$V$4:$V$2003,E9,'REPONSES'!$D$4:$D$2003,'PARAMETRES'!$B$4,'REPONSES'!$O$4:$O$2003,"Présent"))</x:f>
      </x:c>
      <x:c r="G9" s="28" t="str">
        <x:f>IF(E9="","",COUNTIFS('REPONSES'!$V$4:$V$2003,E9,'REPONSES'!$D$4:$D$2003,'PARAMETRES'!$B$4,'REPONSES'!$O$4:$O$2003,"Absent excusé"))</x:f>
      </x:c>
      <x:c r="H9" s="28" t="str">
        <x:f>IF(E9="","",MAX(0,COUNTIFS('CALENDRIER'!$B$4:$B$503,'PARAMETRES'!$B$4,'CALENDRIER'!$K$4:$K$503,"Oui")-F9-G9))</x:f>
      </x:c>
      <x:c r="I9" s="28" t="str">
        <x:f>IF(E9="","",COUNTIFS('REPONSES'!$V$4:$V$2003,E9,'REPONSES'!$D$4:$D$2003,'PARAMETRES'!$B$4,'REPONSES'!$R$4:$R$2003,"Oui"))</x:f>
      </x:c>
      <x:c r="J9" s="31" t="str">
        <x:f>IF(E9="","",IFERROR(F9/(F9+G9+H9),0))</x:f>
      </x:c>
      <x:c r="K9" s="32" t="str">
        <x:f>IF(E9="","",IFERROR(MAXIFS('REPONSES'!$B$4:$B$2003,'REPONSES'!$V$4:$V$2003,E9,'REPONSES'!$D$4:$D$2003,'PARAMETRES'!$B$4),""))</x:f>
      </x:c>
    </x:row>
    <x:row r="10">
      <x:c r="A10" s="19" t="str">
        <x:f>IF('MEMBRES'!A10="","",'MEMBRES'!A10)</x:f>
      </x:c>
      <x:c r="B10" s="20" t="str">
        <x:f>IF('MEMBRES'!B10="","",'MEMBRES'!B10)</x:f>
      </x:c>
      <x:c r="C10" s="20" t="str">
        <x:f>IF('MEMBRES'!C10="","",'MEMBRES'!C10)</x:f>
      </x:c>
      <x:c r="D10" s="20" t="str">
        <x:f>IF('MEMBRES'!D10="","",'MEMBRES'!D10)</x:f>
      </x:c>
      <x:c r="E10" s="20" t="str">
        <x:f>IF(A10="","",UPPER(TRIM(A10&amp;" "&amp;B10)))</x:f>
      </x:c>
      <x:c r="F10" s="28" t="str">
        <x:f>IF(E10="","",COUNTIFS('REPONSES'!$V$4:$V$2003,E10,'REPONSES'!$D$4:$D$2003,'PARAMETRES'!$B$4,'REPONSES'!$O$4:$O$2003,"Présent"))</x:f>
      </x:c>
      <x:c r="G10" s="28" t="str">
        <x:f>IF(E10="","",COUNTIFS('REPONSES'!$V$4:$V$2003,E10,'REPONSES'!$D$4:$D$2003,'PARAMETRES'!$B$4,'REPONSES'!$O$4:$O$2003,"Absent excusé"))</x:f>
      </x:c>
      <x:c r="H10" s="28" t="str">
        <x:f>IF(E10="","",MAX(0,COUNTIFS('CALENDRIER'!$B$4:$B$503,'PARAMETRES'!$B$4,'CALENDRIER'!$K$4:$K$503,"Oui")-F10-G10))</x:f>
      </x:c>
      <x:c r="I10" s="28" t="str">
        <x:f>IF(E10="","",COUNTIFS('REPONSES'!$V$4:$V$2003,E10,'REPONSES'!$D$4:$D$2003,'PARAMETRES'!$B$4,'REPONSES'!$R$4:$R$2003,"Oui"))</x:f>
      </x:c>
      <x:c r="J10" s="31" t="str">
        <x:f>IF(E10="","",IFERROR(F10/(F10+G10+H10),0))</x:f>
      </x:c>
      <x:c r="K10" s="32" t="str">
        <x:f>IF(E10="","",IFERROR(MAXIFS('REPONSES'!$B$4:$B$2003,'REPONSES'!$V$4:$V$2003,E10,'REPONSES'!$D$4:$D$2003,'PARAMETRES'!$B$4),""))</x:f>
      </x:c>
    </x:row>
    <x:row r="11">
      <x:c r="A11" s="19" t="str">
        <x:f>IF('MEMBRES'!A11="","",'MEMBRES'!A11)</x:f>
      </x:c>
      <x:c r="B11" s="20" t="str">
        <x:f>IF('MEMBRES'!B11="","",'MEMBRES'!B11)</x:f>
      </x:c>
      <x:c r="C11" s="20" t="str">
        <x:f>IF('MEMBRES'!C11="","",'MEMBRES'!C11)</x:f>
      </x:c>
      <x:c r="D11" s="20" t="str">
        <x:f>IF('MEMBRES'!D11="","",'MEMBRES'!D11)</x:f>
      </x:c>
      <x:c r="E11" s="20" t="str">
        <x:f>IF(A11="","",UPPER(TRIM(A11&amp;" "&amp;B11)))</x:f>
      </x:c>
      <x:c r="F11" s="28" t="str">
        <x:f>IF(E11="","",COUNTIFS('REPONSES'!$V$4:$V$2003,E11,'REPONSES'!$D$4:$D$2003,'PARAMETRES'!$B$4,'REPONSES'!$O$4:$O$2003,"Présent"))</x:f>
      </x:c>
      <x:c r="G11" s="28" t="str">
        <x:f>IF(E11="","",COUNTIFS('REPONSES'!$V$4:$V$2003,E11,'REPONSES'!$D$4:$D$2003,'PARAMETRES'!$B$4,'REPONSES'!$O$4:$O$2003,"Absent excusé"))</x:f>
      </x:c>
      <x:c r="H11" s="28" t="str">
        <x:f>IF(E11="","",MAX(0,COUNTIFS('CALENDRIER'!$B$4:$B$503,'PARAMETRES'!$B$4,'CALENDRIER'!$K$4:$K$503,"Oui")-F11-G11))</x:f>
      </x:c>
      <x:c r="I11" s="28" t="str">
        <x:f>IF(E11="","",COUNTIFS('REPONSES'!$V$4:$V$2003,E11,'REPONSES'!$D$4:$D$2003,'PARAMETRES'!$B$4,'REPONSES'!$R$4:$R$2003,"Oui"))</x:f>
      </x:c>
      <x:c r="J11" s="31" t="str">
        <x:f>IF(E11="","",IFERROR(F11/(F11+G11+H11),0))</x:f>
      </x:c>
      <x:c r="K11" s="32" t="str">
        <x:f>IF(E11="","",IFERROR(MAXIFS('REPONSES'!$B$4:$B$2003,'REPONSES'!$V$4:$V$2003,E11,'REPONSES'!$D$4:$D$2003,'PARAMETRES'!$B$4),""))</x:f>
      </x:c>
    </x:row>
    <x:row r="12">
      <x:c r="A12" s="19" t="str">
        <x:f>IF('MEMBRES'!A12="","",'MEMBRES'!A12)</x:f>
      </x:c>
      <x:c r="B12" s="20" t="str">
        <x:f>IF('MEMBRES'!B12="","",'MEMBRES'!B12)</x:f>
      </x:c>
      <x:c r="C12" s="20" t="str">
        <x:f>IF('MEMBRES'!C12="","",'MEMBRES'!C12)</x:f>
      </x:c>
      <x:c r="D12" s="20" t="str">
        <x:f>IF('MEMBRES'!D12="","",'MEMBRES'!D12)</x:f>
      </x:c>
      <x:c r="E12" s="20" t="str">
        <x:f>IF(A12="","",UPPER(TRIM(A12&amp;" "&amp;B12)))</x:f>
      </x:c>
      <x:c r="F12" s="28" t="str">
        <x:f>IF(E12="","",COUNTIFS('REPONSES'!$V$4:$V$2003,E12,'REPONSES'!$D$4:$D$2003,'PARAMETRES'!$B$4,'REPONSES'!$O$4:$O$2003,"Présent"))</x:f>
      </x:c>
      <x:c r="G12" s="28" t="str">
        <x:f>IF(E12="","",COUNTIFS('REPONSES'!$V$4:$V$2003,E12,'REPONSES'!$D$4:$D$2003,'PARAMETRES'!$B$4,'REPONSES'!$O$4:$O$2003,"Absent excusé"))</x:f>
      </x:c>
      <x:c r="H12" s="28" t="str">
        <x:f>IF(E12="","",MAX(0,COUNTIFS('CALENDRIER'!$B$4:$B$503,'PARAMETRES'!$B$4,'CALENDRIER'!$K$4:$K$503,"Oui")-F12-G12))</x:f>
      </x:c>
      <x:c r="I12" s="28" t="str">
        <x:f>IF(E12="","",COUNTIFS('REPONSES'!$V$4:$V$2003,E12,'REPONSES'!$D$4:$D$2003,'PARAMETRES'!$B$4,'REPONSES'!$R$4:$R$2003,"Oui"))</x:f>
      </x:c>
      <x:c r="J12" s="31" t="str">
        <x:f>IF(E12="","",IFERROR(F12/(F12+G12+H12),0))</x:f>
      </x:c>
      <x:c r="K12" s="32" t="str">
        <x:f>IF(E12="","",IFERROR(MAXIFS('REPONSES'!$B$4:$B$2003,'REPONSES'!$V$4:$V$2003,E12,'REPONSES'!$D$4:$D$2003,'PARAMETRES'!$B$4),""))</x:f>
      </x:c>
    </x:row>
    <x:row r="13">
      <x:c r="A13" s="19" t="str">
        <x:f>IF('MEMBRES'!A13="","",'MEMBRES'!A13)</x:f>
      </x:c>
      <x:c r="B13" s="20" t="str">
        <x:f>IF('MEMBRES'!B13="","",'MEMBRES'!B13)</x:f>
      </x:c>
      <x:c r="C13" s="20" t="str">
        <x:f>IF('MEMBRES'!C13="","",'MEMBRES'!C13)</x:f>
      </x:c>
      <x:c r="D13" s="20" t="str">
        <x:f>IF('MEMBRES'!D13="","",'MEMBRES'!D13)</x:f>
      </x:c>
      <x:c r="E13" s="20" t="str">
        <x:f>IF(A13="","",UPPER(TRIM(A13&amp;" "&amp;B13)))</x:f>
      </x:c>
      <x:c r="F13" s="28" t="str">
        <x:f>IF(E13="","",COUNTIFS('REPONSES'!$V$4:$V$2003,E13,'REPONSES'!$D$4:$D$2003,'PARAMETRES'!$B$4,'REPONSES'!$O$4:$O$2003,"Présent"))</x:f>
      </x:c>
      <x:c r="G13" s="28" t="str">
        <x:f>IF(E13="","",COUNTIFS('REPONSES'!$V$4:$V$2003,E13,'REPONSES'!$D$4:$D$2003,'PARAMETRES'!$B$4,'REPONSES'!$O$4:$O$2003,"Absent excusé"))</x:f>
      </x:c>
      <x:c r="H13" s="28" t="str">
        <x:f>IF(E13="","",MAX(0,COUNTIFS('CALENDRIER'!$B$4:$B$503,'PARAMETRES'!$B$4,'CALENDRIER'!$K$4:$K$503,"Oui")-F13-G13))</x:f>
      </x:c>
      <x:c r="I13" s="28" t="str">
        <x:f>IF(E13="","",COUNTIFS('REPONSES'!$V$4:$V$2003,E13,'REPONSES'!$D$4:$D$2003,'PARAMETRES'!$B$4,'REPONSES'!$R$4:$R$2003,"Oui"))</x:f>
      </x:c>
      <x:c r="J13" s="31" t="str">
        <x:f>IF(E13="","",IFERROR(F13/(F13+G13+H13),0))</x:f>
      </x:c>
      <x:c r="K13" s="32" t="str">
        <x:f>IF(E13="","",IFERROR(MAXIFS('REPONSES'!$B$4:$B$2003,'REPONSES'!$V$4:$V$2003,E13,'REPONSES'!$D$4:$D$2003,'PARAMETRES'!$B$4),""))</x:f>
      </x:c>
    </x:row>
    <x:row r="14">
      <x:c r="A14" s="19" t="str">
        <x:f>IF('MEMBRES'!A14="","",'MEMBRES'!A14)</x:f>
      </x:c>
      <x:c r="B14" s="20" t="str">
        <x:f>IF('MEMBRES'!B14="","",'MEMBRES'!B14)</x:f>
      </x:c>
      <x:c r="C14" s="20" t="str">
        <x:f>IF('MEMBRES'!C14="","",'MEMBRES'!C14)</x:f>
      </x:c>
      <x:c r="D14" s="20" t="str">
        <x:f>IF('MEMBRES'!D14="","",'MEMBRES'!D14)</x:f>
      </x:c>
      <x:c r="E14" s="20" t="str">
        <x:f>IF(A14="","",UPPER(TRIM(A14&amp;" "&amp;B14)))</x:f>
      </x:c>
      <x:c r="F14" s="28" t="str">
        <x:f>IF(E14="","",COUNTIFS('REPONSES'!$V$4:$V$2003,E14,'REPONSES'!$D$4:$D$2003,'PARAMETRES'!$B$4,'REPONSES'!$O$4:$O$2003,"Présent"))</x:f>
      </x:c>
      <x:c r="G14" s="28" t="str">
        <x:f>IF(E14="","",COUNTIFS('REPONSES'!$V$4:$V$2003,E14,'REPONSES'!$D$4:$D$2003,'PARAMETRES'!$B$4,'REPONSES'!$O$4:$O$2003,"Absent excusé"))</x:f>
      </x:c>
      <x:c r="H14" s="28" t="str">
        <x:f>IF(E14="","",MAX(0,COUNTIFS('CALENDRIER'!$B$4:$B$503,'PARAMETRES'!$B$4,'CALENDRIER'!$K$4:$K$503,"Oui")-F14-G14))</x:f>
      </x:c>
      <x:c r="I14" s="28" t="str">
        <x:f>IF(E14="","",COUNTIFS('REPONSES'!$V$4:$V$2003,E14,'REPONSES'!$D$4:$D$2003,'PARAMETRES'!$B$4,'REPONSES'!$R$4:$R$2003,"Oui"))</x:f>
      </x:c>
      <x:c r="J14" s="31" t="str">
        <x:f>IF(E14="","",IFERROR(F14/(F14+G14+H14),0))</x:f>
      </x:c>
      <x:c r="K14" s="32" t="str">
        <x:f>IF(E14="","",IFERROR(MAXIFS('REPONSES'!$B$4:$B$2003,'REPONSES'!$V$4:$V$2003,E14,'REPONSES'!$D$4:$D$2003,'PARAMETRES'!$B$4),""))</x:f>
      </x:c>
    </x:row>
    <x:row r="15">
      <x:c r="A15" s="19" t="str">
        <x:f>IF('MEMBRES'!A15="","",'MEMBRES'!A15)</x:f>
      </x:c>
      <x:c r="B15" s="20" t="str">
        <x:f>IF('MEMBRES'!B15="","",'MEMBRES'!B15)</x:f>
      </x:c>
      <x:c r="C15" s="20" t="str">
        <x:f>IF('MEMBRES'!C15="","",'MEMBRES'!C15)</x:f>
      </x:c>
      <x:c r="D15" s="20" t="str">
        <x:f>IF('MEMBRES'!D15="","",'MEMBRES'!D15)</x:f>
      </x:c>
      <x:c r="E15" s="20" t="str">
        <x:f>IF(A15="","",UPPER(TRIM(A15&amp;" "&amp;B15)))</x:f>
      </x:c>
      <x:c r="F15" s="28" t="str">
        <x:f>IF(E15="","",COUNTIFS('REPONSES'!$V$4:$V$2003,E15,'REPONSES'!$D$4:$D$2003,'PARAMETRES'!$B$4,'REPONSES'!$O$4:$O$2003,"Présent"))</x:f>
      </x:c>
      <x:c r="G15" s="28" t="str">
        <x:f>IF(E15="","",COUNTIFS('REPONSES'!$V$4:$V$2003,E15,'REPONSES'!$D$4:$D$2003,'PARAMETRES'!$B$4,'REPONSES'!$O$4:$O$2003,"Absent excusé"))</x:f>
      </x:c>
      <x:c r="H15" s="28" t="str">
        <x:f>IF(E15="","",MAX(0,COUNTIFS('CALENDRIER'!$B$4:$B$503,'PARAMETRES'!$B$4,'CALENDRIER'!$K$4:$K$503,"Oui")-F15-G15))</x:f>
      </x:c>
      <x:c r="I15" s="28" t="str">
        <x:f>IF(E15="","",COUNTIFS('REPONSES'!$V$4:$V$2003,E15,'REPONSES'!$D$4:$D$2003,'PARAMETRES'!$B$4,'REPONSES'!$R$4:$R$2003,"Oui"))</x:f>
      </x:c>
      <x:c r="J15" s="31" t="str">
        <x:f>IF(E15="","",IFERROR(F15/(F15+G15+H15),0))</x:f>
      </x:c>
      <x:c r="K15" s="32" t="str">
        <x:f>IF(E15="","",IFERROR(MAXIFS('REPONSES'!$B$4:$B$2003,'REPONSES'!$V$4:$V$2003,E15,'REPONSES'!$D$4:$D$2003,'PARAMETRES'!$B$4),""))</x:f>
      </x:c>
    </x:row>
    <x:row r="16">
      <x:c r="A16" s="19" t="str">
        <x:f>IF('MEMBRES'!A16="","",'MEMBRES'!A16)</x:f>
      </x:c>
      <x:c r="B16" s="20" t="str">
        <x:f>IF('MEMBRES'!B16="","",'MEMBRES'!B16)</x:f>
      </x:c>
      <x:c r="C16" s="20" t="str">
        <x:f>IF('MEMBRES'!C16="","",'MEMBRES'!C16)</x:f>
      </x:c>
      <x:c r="D16" s="20" t="str">
        <x:f>IF('MEMBRES'!D16="","",'MEMBRES'!D16)</x:f>
      </x:c>
      <x:c r="E16" s="20" t="str">
        <x:f>IF(A16="","",UPPER(TRIM(A16&amp;" "&amp;B16)))</x:f>
      </x:c>
      <x:c r="F16" s="28" t="str">
        <x:f>IF(E16="","",COUNTIFS('REPONSES'!$V$4:$V$2003,E16,'REPONSES'!$D$4:$D$2003,'PARAMETRES'!$B$4,'REPONSES'!$O$4:$O$2003,"Présent"))</x:f>
      </x:c>
      <x:c r="G16" s="28" t="str">
        <x:f>IF(E16="","",COUNTIFS('REPONSES'!$V$4:$V$2003,E16,'REPONSES'!$D$4:$D$2003,'PARAMETRES'!$B$4,'REPONSES'!$O$4:$O$2003,"Absent excusé"))</x:f>
      </x:c>
      <x:c r="H16" s="28" t="str">
        <x:f>IF(E16="","",MAX(0,COUNTIFS('CALENDRIER'!$B$4:$B$503,'PARAMETRES'!$B$4,'CALENDRIER'!$K$4:$K$503,"Oui")-F16-G16))</x:f>
      </x:c>
      <x:c r="I16" s="28" t="str">
        <x:f>IF(E16="","",COUNTIFS('REPONSES'!$V$4:$V$2003,E16,'REPONSES'!$D$4:$D$2003,'PARAMETRES'!$B$4,'REPONSES'!$R$4:$R$2003,"Oui"))</x:f>
      </x:c>
      <x:c r="J16" s="31" t="str">
        <x:f>IF(E16="","",IFERROR(F16/(F16+G16+H16),0))</x:f>
      </x:c>
      <x:c r="K16" s="32" t="str">
        <x:f>IF(E16="","",IFERROR(MAXIFS('REPONSES'!$B$4:$B$2003,'REPONSES'!$V$4:$V$2003,E16,'REPONSES'!$D$4:$D$2003,'PARAMETRES'!$B$4),""))</x:f>
      </x:c>
    </x:row>
    <x:row r="17">
      <x:c r="A17" s="19" t="str">
        <x:f>IF('MEMBRES'!A17="","",'MEMBRES'!A17)</x:f>
      </x:c>
      <x:c r="B17" s="20" t="str">
        <x:f>IF('MEMBRES'!B17="","",'MEMBRES'!B17)</x:f>
      </x:c>
      <x:c r="C17" s="20" t="str">
        <x:f>IF('MEMBRES'!C17="","",'MEMBRES'!C17)</x:f>
      </x:c>
      <x:c r="D17" s="20" t="str">
        <x:f>IF('MEMBRES'!D17="","",'MEMBRES'!D17)</x:f>
      </x:c>
      <x:c r="E17" s="20" t="str">
        <x:f>IF(A17="","",UPPER(TRIM(A17&amp;" "&amp;B17)))</x:f>
      </x:c>
      <x:c r="F17" s="28" t="str">
        <x:f>IF(E17="","",COUNTIFS('REPONSES'!$V$4:$V$2003,E17,'REPONSES'!$D$4:$D$2003,'PARAMETRES'!$B$4,'REPONSES'!$O$4:$O$2003,"Présent"))</x:f>
      </x:c>
      <x:c r="G17" s="28" t="str">
        <x:f>IF(E17="","",COUNTIFS('REPONSES'!$V$4:$V$2003,E17,'REPONSES'!$D$4:$D$2003,'PARAMETRES'!$B$4,'REPONSES'!$O$4:$O$2003,"Absent excusé"))</x:f>
      </x:c>
      <x:c r="H17" s="28" t="str">
        <x:f>IF(E17="","",MAX(0,COUNTIFS('CALENDRIER'!$B$4:$B$503,'PARAMETRES'!$B$4,'CALENDRIER'!$K$4:$K$503,"Oui")-F17-G17))</x:f>
      </x:c>
      <x:c r="I17" s="28" t="str">
        <x:f>IF(E17="","",COUNTIFS('REPONSES'!$V$4:$V$2003,E17,'REPONSES'!$D$4:$D$2003,'PARAMETRES'!$B$4,'REPONSES'!$R$4:$R$2003,"Oui"))</x:f>
      </x:c>
      <x:c r="J17" s="31" t="str">
        <x:f>IF(E17="","",IFERROR(F17/(F17+G17+H17),0))</x:f>
      </x:c>
      <x:c r="K17" s="32" t="str">
        <x:f>IF(E17="","",IFERROR(MAXIFS('REPONSES'!$B$4:$B$2003,'REPONSES'!$V$4:$V$2003,E17,'REPONSES'!$D$4:$D$2003,'PARAMETRES'!$B$4),""))</x:f>
      </x:c>
    </x:row>
    <x:row r="18">
      <x:c r="A18" s="19" t="str">
        <x:f>IF('MEMBRES'!A18="","",'MEMBRES'!A18)</x:f>
      </x:c>
      <x:c r="B18" s="20" t="str">
        <x:f>IF('MEMBRES'!B18="","",'MEMBRES'!B18)</x:f>
      </x:c>
      <x:c r="C18" s="20" t="str">
        <x:f>IF('MEMBRES'!C18="","",'MEMBRES'!C18)</x:f>
      </x:c>
      <x:c r="D18" s="20" t="str">
        <x:f>IF('MEMBRES'!D18="","",'MEMBRES'!D18)</x:f>
      </x:c>
      <x:c r="E18" s="20" t="str">
        <x:f>IF(A18="","",UPPER(TRIM(A18&amp;" "&amp;B18)))</x:f>
      </x:c>
      <x:c r="F18" s="28" t="str">
        <x:f>IF(E18="","",COUNTIFS('REPONSES'!$V$4:$V$2003,E18,'REPONSES'!$D$4:$D$2003,'PARAMETRES'!$B$4,'REPONSES'!$O$4:$O$2003,"Présent"))</x:f>
      </x:c>
      <x:c r="G18" s="28" t="str">
        <x:f>IF(E18="","",COUNTIFS('REPONSES'!$V$4:$V$2003,E18,'REPONSES'!$D$4:$D$2003,'PARAMETRES'!$B$4,'REPONSES'!$O$4:$O$2003,"Absent excusé"))</x:f>
      </x:c>
      <x:c r="H18" s="28" t="str">
        <x:f>IF(E18="","",MAX(0,COUNTIFS('CALENDRIER'!$B$4:$B$503,'PARAMETRES'!$B$4,'CALENDRIER'!$K$4:$K$503,"Oui")-F18-G18))</x:f>
      </x:c>
      <x:c r="I18" s="28" t="str">
        <x:f>IF(E18="","",COUNTIFS('REPONSES'!$V$4:$V$2003,E18,'REPONSES'!$D$4:$D$2003,'PARAMETRES'!$B$4,'REPONSES'!$R$4:$R$2003,"Oui"))</x:f>
      </x:c>
      <x:c r="J18" s="31" t="str">
        <x:f>IF(E18="","",IFERROR(F18/(F18+G18+H18),0))</x:f>
      </x:c>
      <x:c r="K18" s="32" t="str">
        <x:f>IF(E18="","",IFERROR(MAXIFS('REPONSES'!$B$4:$B$2003,'REPONSES'!$V$4:$V$2003,E18,'REPONSES'!$D$4:$D$2003,'PARAMETRES'!$B$4),""))</x:f>
      </x:c>
    </x:row>
    <x:row r="19">
      <x:c r="A19" s="19" t="str">
        <x:f>IF('MEMBRES'!A19="","",'MEMBRES'!A19)</x:f>
      </x:c>
      <x:c r="B19" s="20" t="str">
        <x:f>IF('MEMBRES'!B19="","",'MEMBRES'!B19)</x:f>
      </x:c>
      <x:c r="C19" s="20" t="str">
        <x:f>IF('MEMBRES'!C19="","",'MEMBRES'!C19)</x:f>
      </x:c>
      <x:c r="D19" s="20" t="str">
        <x:f>IF('MEMBRES'!D19="","",'MEMBRES'!D19)</x:f>
      </x:c>
      <x:c r="E19" s="20" t="str">
        <x:f>IF(A19="","",UPPER(TRIM(A19&amp;" "&amp;B19)))</x:f>
      </x:c>
      <x:c r="F19" s="28" t="str">
        <x:f>IF(E19="","",COUNTIFS('REPONSES'!$V$4:$V$2003,E19,'REPONSES'!$D$4:$D$2003,'PARAMETRES'!$B$4,'REPONSES'!$O$4:$O$2003,"Présent"))</x:f>
      </x:c>
      <x:c r="G19" s="28" t="str">
        <x:f>IF(E19="","",COUNTIFS('REPONSES'!$V$4:$V$2003,E19,'REPONSES'!$D$4:$D$2003,'PARAMETRES'!$B$4,'REPONSES'!$O$4:$O$2003,"Absent excusé"))</x:f>
      </x:c>
      <x:c r="H19" s="28" t="str">
        <x:f>IF(E19="","",MAX(0,COUNTIFS('CALENDRIER'!$B$4:$B$503,'PARAMETRES'!$B$4,'CALENDRIER'!$K$4:$K$503,"Oui")-F19-G19))</x:f>
      </x:c>
      <x:c r="I19" s="28" t="str">
        <x:f>IF(E19="","",COUNTIFS('REPONSES'!$V$4:$V$2003,E19,'REPONSES'!$D$4:$D$2003,'PARAMETRES'!$B$4,'REPONSES'!$R$4:$R$2003,"Oui"))</x:f>
      </x:c>
      <x:c r="J19" s="31" t="str">
        <x:f>IF(E19="","",IFERROR(F19/(F19+G19+H19),0))</x:f>
      </x:c>
      <x:c r="K19" s="32" t="str">
        <x:f>IF(E19="","",IFERROR(MAXIFS('REPONSES'!$B$4:$B$2003,'REPONSES'!$V$4:$V$2003,E19,'REPONSES'!$D$4:$D$2003,'PARAMETRES'!$B$4),""))</x:f>
      </x:c>
    </x:row>
    <x:row r="20">
      <x:c r="A20" s="19" t="str">
        <x:f>IF('MEMBRES'!A20="","",'MEMBRES'!A20)</x:f>
      </x:c>
      <x:c r="B20" s="20" t="str">
        <x:f>IF('MEMBRES'!B20="","",'MEMBRES'!B20)</x:f>
      </x:c>
      <x:c r="C20" s="20" t="str">
        <x:f>IF('MEMBRES'!C20="","",'MEMBRES'!C20)</x:f>
      </x:c>
      <x:c r="D20" s="20" t="str">
        <x:f>IF('MEMBRES'!D20="","",'MEMBRES'!D20)</x:f>
      </x:c>
      <x:c r="E20" s="20" t="str">
        <x:f>IF(A20="","",UPPER(TRIM(A20&amp;" "&amp;B20)))</x:f>
      </x:c>
      <x:c r="F20" s="28" t="str">
        <x:f>IF(E20="","",COUNTIFS('REPONSES'!$V$4:$V$2003,E20,'REPONSES'!$D$4:$D$2003,'PARAMETRES'!$B$4,'REPONSES'!$O$4:$O$2003,"Présent"))</x:f>
      </x:c>
      <x:c r="G20" s="28" t="str">
        <x:f>IF(E20="","",COUNTIFS('REPONSES'!$V$4:$V$2003,E20,'REPONSES'!$D$4:$D$2003,'PARAMETRES'!$B$4,'REPONSES'!$O$4:$O$2003,"Absent excusé"))</x:f>
      </x:c>
      <x:c r="H20" s="28" t="str">
        <x:f>IF(E20="","",MAX(0,COUNTIFS('CALENDRIER'!$B$4:$B$503,'PARAMETRES'!$B$4,'CALENDRIER'!$K$4:$K$503,"Oui")-F20-G20))</x:f>
      </x:c>
      <x:c r="I20" s="28" t="str">
        <x:f>IF(E20="","",COUNTIFS('REPONSES'!$V$4:$V$2003,E20,'REPONSES'!$D$4:$D$2003,'PARAMETRES'!$B$4,'REPONSES'!$R$4:$R$2003,"Oui"))</x:f>
      </x:c>
      <x:c r="J20" s="31" t="str">
        <x:f>IF(E20="","",IFERROR(F20/(F20+G20+H20),0))</x:f>
      </x:c>
      <x:c r="K20" s="32" t="str">
        <x:f>IF(E20="","",IFERROR(MAXIFS('REPONSES'!$B$4:$B$2003,'REPONSES'!$V$4:$V$2003,E20,'REPONSES'!$D$4:$D$2003,'PARAMETRES'!$B$4),""))</x:f>
      </x:c>
    </x:row>
    <x:row r="21">
      <x:c r="A21" s="19" t="str">
        <x:f>IF('MEMBRES'!A21="","",'MEMBRES'!A21)</x:f>
      </x:c>
      <x:c r="B21" s="20" t="str">
        <x:f>IF('MEMBRES'!B21="","",'MEMBRES'!B21)</x:f>
      </x:c>
      <x:c r="C21" s="20" t="str">
        <x:f>IF('MEMBRES'!C21="","",'MEMBRES'!C21)</x:f>
      </x:c>
      <x:c r="D21" s="20" t="str">
        <x:f>IF('MEMBRES'!D21="","",'MEMBRES'!D21)</x:f>
      </x:c>
      <x:c r="E21" s="20" t="str">
        <x:f>IF(A21="","",UPPER(TRIM(A21&amp;" "&amp;B21)))</x:f>
      </x:c>
      <x:c r="F21" s="28" t="str">
        <x:f>IF(E21="","",COUNTIFS('REPONSES'!$V$4:$V$2003,E21,'REPONSES'!$D$4:$D$2003,'PARAMETRES'!$B$4,'REPONSES'!$O$4:$O$2003,"Présent"))</x:f>
      </x:c>
      <x:c r="G21" s="28" t="str">
        <x:f>IF(E21="","",COUNTIFS('REPONSES'!$V$4:$V$2003,E21,'REPONSES'!$D$4:$D$2003,'PARAMETRES'!$B$4,'REPONSES'!$O$4:$O$2003,"Absent excusé"))</x:f>
      </x:c>
      <x:c r="H21" s="28" t="str">
        <x:f>IF(E21="","",MAX(0,COUNTIFS('CALENDRIER'!$B$4:$B$503,'PARAMETRES'!$B$4,'CALENDRIER'!$K$4:$K$503,"Oui")-F21-G21))</x:f>
      </x:c>
      <x:c r="I21" s="28" t="str">
        <x:f>IF(E21="","",COUNTIFS('REPONSES'!$V$4:$V$2003,E21,'REPONSES'!$D$4:$D$2003,'PARAMETRES'!$B$4,'REPONSES'!$R$4:$R$2003,"Oui"))</x:f>
      </x:c>
      <x:c r="J21" s="31" t="str">
        <x:f>IF(E21="","",IFERROR(F21/(F21+G21+H21),0))</x:f>
      </x:c>
      <x:c r="K21" s="32" t="str">
        <x:f>IF(E21="","",IFERROR(MAXIFS('REPONSES'!$B$4:$B$2003,'REPONSES'!$V$4:$V$2003,E21,'REPONSES'!$D$4:$D$2003,'PARAMETRES'!$B$4),""))</x:f>
      </x:c>
    </x:row>
    <x:row r="22">
      <x:c r="A22" s="19" t="str">
        <x:f>IF('MEMBRES'!A22="","",'MEMBRES'!A22)</x:f>
      </x:c>
      <x:c r="B22" s="20" t="str">
        <x:f>IF('MEMBRES'!B22="","",'MEMBRES'!B22)</x:f>
      </x:c>
      <x:c r="C22" s="20" t="str">
        <x:f>IF('MEMBRES'!C22="","",'MEMBRES'!C22)</x:f>
      </x:c>
      <x:c r="D22" s="20" t="str">
        <x:f>IF('MEMBRES'!D22="","",'MEMBRES'!D22)</x:f>
      </x:c>
      <x:c r="E22" s="20" t="str">
        <x:f>IF(A22="","",UPPER(TRIM(A22&amp;" "&amp;B22)))</x:f>
      </x:c>
      <x:c r="F22" s="28" t="str">
        <x:f>IF(E22="","",COUNTIFS('REPONSES'!$V$4:$V$2003,E22,'REPONSES'!$D$4:$D$2003,'PARAMETRES'!$B$4,'REPONSES'!$O$4:$O$2003,"Présent"))</x:f>
      </x:c>
      <x:c r="G22" s="28" t="str">
        <x:f>IF(E22="","",COUNTIFS('REPONSES'!$V$4:$V$2003,E22,'REPONSES'!$D$4:$D$2003,'PARAMETRES'!$B$4,'REPONSES'!$O$4:$O$2003,"Absent excusé"))</x:f>
      </x:c>
      <x:c r="H22" s="28" t="str">
        <x:f>IF(E22="","",MAX(0,COUNTIFS('CALENDRIER'!$B$4:$B$503,'PARAMETRES'!$B$4,'CALENDRIER'!$K$4:$K$503,"Oui")-F22-G22))</x:f>
      </x:c>
      <x:c r="I22" s="28" t="str">
        <x:f>IF(E22="","",COUNTIFS('REPONSES'!$V$4:$V$2003,E22,'REPONSES'!$D$4:$D$2003,'PARAMETRES'!$B$4,'REPONSES'!$R$4:$R$2003,"Oui"))</x:f>
      </x:c>
      <x:c r="J22" s="31" t="str">
        <x:f>IF(E22="","",IFERROR(F22/(F22+G22+H22),0))</x:f>
      </x:c>
      <x:c r="K22" s="32" t="str">
        <x:f>IF(E22="","",IFERROR(MAXIFS('REPONSES'!$B$4:$B$2003,'REPONSES'!$V$4:$V$2003,E22,'REPONSES'!$D$4:$D$2003,'PARAMETRES'!$B$4),""))</x:f>
      </x:c>
    </x:row>
    <x:row r="23">
      <x:c r="A23" s="19" t="str">
        <x:f>IF('MEMBRES'!A23="","",'MEMBRES'!A23)</x:f>
      </x:c>
      <x:c r="B23" s="20" t="str">
        <x:f>IF('MEMBRES'!B23="","",'MEMBRES'!B23)</x:f>
      </x:c>
      <x:c r="C23" s="20" t="str">
        <x:f>IF('MEMBRES'!C23="","",'MEMBRES'!C23)</x:f>
      </x:c>
      <x:c r="D23" s="20" t="str">
        <x:f>IF('MEMBRES'!D23="","",'MEMBRES'!D23)</x:f>
      </x:c>
      <x:c r="E23" s="20" t="str">
        <x:f>IF(A23="","",UPPER(TRIM(A23&amp;" "&amp;B23)))</x:f>
      </x:c>
      <x:c r="F23" s="28" t="str">
        <x:f>IF(E23="","",COUNTIFS('REPONSES'!$V$4:$V$2003,E23,'REPONSES'!$D$4:$D$2003,'PARAMETRES'!$B$4,'REPONSES'!$O$4:$O$2003,"Présent"))</x:f>
      </x:c>
      <x:c r="G23" s="28" t="str">
        <x:f>IF(E23="","",COUNTIFS('REPONSES'!$V$4:$V$2003,E23,'REPONSES'!$D$4:$D$2003,'PARAMETRES'!$B$4,'REPONSES'!$O$4:$O$2003,"Absent excusé"))</x:f>
      </x:c>
      <x:c r="H23" s="28" t="str">
        <x:f>IF(E23="","",MAX(0,COUNTIFS('CALENDRIER'!$B$4:$B$503,'PARAMETRES'!$B$4,'CALENDRIER'!$K$4:$K$503,"Oui")-F23-G23))</x:f>
      </x:c>
      <x:c r="I23" s="28" t="str">
        <x:f>IF(E23="","",COUNTIFS('REPONSES'!$V$4:$V$2003,E23,'REPONSES'!$D$4:$D$2003,'PARAMETRES'!$B$4,'REPONSES'!$R$4:$R$2003,"Oui"))</x:f>
      </x:c>
      <x:c r="J23" s="31" t="str">
        <x:f>IF(E23="","",IFERROR(F23/(F23+G23+H23),0))</x:f>
      </x:c>
      <x:c r="K23" s="32" t="str">
        <x:f>IF(E23="","",IFERROR(MAXIFS('REPONSES'!$B$4:$B$2003,'REPONSES'!$V$4:$V$2003,E23,'REPONSES'!$D$4:$D$2003,'PARAMETRES'!$B$4),""))</x:f>
      </x:c>
    </x:row>
    <x:row r="24">
      <x:c r="A24" s="19" t="str">
        <x:f>IF('MEMBRES'!A24="","",'MEMBRES'!A24)</x:f>
      </x:c>
      <x:c r="B24" s="20" t="str">
        <x:f>IF('MEMBRES'!B24="","",'MEMBRES'!B24)</x:f>
      </x:c>
      <x:c r="C24" s="20" t="str">
        <x:f>IF('MEMBRES'!C24="","",'MEMBRES'!C24)</x:f>
      </x:c>
      <x:c r="D24" s="20" t="str">
        <x:f>IF('MEMBRES'!D24="","",'MEMBRES'!D24)</x:f>
      </x:c>
      <x:c r="E24" s="20" t="str">
        <x:f>IF(A24="","",UPPER(TRIM(A24&amp;" "&amp;B24)))</x:f>
      </x:c>
      <x:c r="F24" s="28" t="str">
        <x:f>IF(E24="","",COUNTIFS('REPONSES'!$V$4:$V$2003,E24,'REPONSES'!$D$4:$D$2003,'PARAMETRES'!$B$4,'REPONSES'!$O$4:$O$2003,"Présent"))</x:f>
      </x:c>
      <x:c r="G24" s="28" t="str">
        <x:f>IF(E24="","",COUNTIFS('REPONSES'!$V$4:$V$2003,E24,'REPONSES'!$D$4:$D$2003,'PARAMETRES'!$B$4,'REPONSES'!$O$4:$O$2003,"Absent excusé"))</x:f>
      </x:c>
      <x:c r="H24" s="28" t="str">
        <x:f>IF(E24="","",MAX(0,COUNTIFS('CALENDRIER'!$B$4:$B$503,'PARAMETRES'!$B$4,'CALENDRIER'!$K$4:$K$503,"Oui")-F24-G24))</x:f>
      </x:c>
      <x:c r="I24" s="28" t="str">
        <x:f>IF(E24="","",COUNTIFS('REPONSES'!$V$4:$V$2003,E24,'REPONSES'!$D$4:$D$2003,'PARAMETRES'!$B$4,'REPONSES'!$R$4:$R$2003,"Oui"))</x:f>
      </x:c>
      <x:c r="J24" s="31" t="str">
        <x:f>IF(E24="","",IFERROR(F24/(F24+G24+H24),0))</x:f>
      </x:c>
      <x:c r="K24" s="32" t="str">
        <x:f>IF(E24="","",IFERROR(MAXIFS('REPONSES'!$B$4:$B$2003,'REPONSES'!$V$4:$V$2003,E24,'REPONSES'!$D$4:$D$2003,'PARAMETRES'!$B$4),""))</x:f>
      </x:c>
    </x:row>
    <x:row r="25">
      <x:c r="A25" s="19" t="str">
        <x:f>IF('MEMBRES'!A25="","",'MEMBRES'!A25)</x:f>
      </x:c>
      <x:c r="B25" s="20" t="str">
        <x:f>IF('MEMBRES'!B25="","",'MEMBRES'!B25)</x:f>
      </x:c>
      <x:c r="C25" s="20" t="str">
        <x:f>IF('MEMBRES'!C25="","",'MEMBRES'!C25)</x:f>
      </x:c>
      <x:c r="D25" s="20" t="str">
        <x:f>IF('MEMBRES'!D25="","",'MEMBRES'!D25)</x:f>
      </x:c>
      <x:c r="E25" s="20" t="str">
        <x:f>IF(A25="","",UPPER(TRIM(A25&amp;" "&amp;B25)))</x:f>
      </x:c>
      <x:c r="F25" s="28" t="str">
        <x:f>IF(E25="","",COUNTIFS('REPONSES'!$V$4:$V$2003,E25,'REPONSES'!$D$4:$D$2003,'PARAMETRES'!$B$4,'REPONSES'!$O$4:$O$2003,"Présent"))</x:f>
      </x:c>
      <x:c r="G25" s="28" t="str">
        <x:f>IF(E25="","",COUNTIFS('REPONSES'!$V$4:$V$2003,E25,'REPONSES'!$D$4:$D$2003,'PARAMETRES'!$B$4,'REPONSES'!$O$4:$O$2003,"Absent excusé"))</x:f>
      </x:c>
      <x:c r="H25" s="28" t="str">
        <x:f>IF(E25="","",MAX(0,COUNTIFS('CALENDRIER'!$B$4:$B$503,'PARAMETRES'!$B$4,'CALENDRIER'!$K$4:$K$503,"Oui")-F25-G25))</x:f>
      </x:c>
      <x:c r="I25" s="28" t="str">
        <x:f>IF(E25="","",COUNTIFS('REPONSES'!$V$4:$V$2003,E25,'REPONSES'!$D$4:$D$2003,'PARAMETRES'!$B$4,'REPONSES'!$R$4:$R$2003,"Oui"))</x:f>
      </x:c>
      <x:c r="J25" s="31" t="str">
        <x:f>IF(E25="","",IFERROR(F25/(F25+G25+H25),0))</x:f>
      </x:c>
      <x:c r="K25" s="32" t="str">
        <x:f>IF(E25="","",IFERROR(MAXIFS('REPONSES'!$B$4:$B$2003,'REPONSES'!$V$4:$V$2003,E25,'REPONSES'!$D$4:$D$2003,'PARAMETRES'!$B$4),""))</x:f>
      </x:c>
    </x:row>
    <x:row r="26">
      <x:c r="A26" s="19" t="str">
        <x:f>IF('MEMBRES'!A26="","",'MEMBRES'!A26)</x:f>
      </x:c>
      <x:c r="B26" s="20" t="str">
        <x:f>IF('MEMBRES'!B26="","",'MEMBRES'!B26)</x:f>
      </x:c>
      <x:c r="C26" s="20" t="str">
        <x:f>IF('MEMBRES'!C26="","",'MEMBRES'!C26)</x:f>
      </x:c>
      <x:c r="D26" s="20" t="str">
        <x:f>IF('MEMBRES'!D26="","",'MEMBRES'!D26)</x:f>
      </x:c>
      <x:c r="E26" s="20" t="str">
        <x:f>IF(A26="","",UPPER(TRIM(A26&amp;" "&amp;B26)))</x:f>
      </x:c>
      <x:c r="F26" s="28" t="str">
        <x:f>IF(E26="","",COUNTIFS('REPONSES'!$V$4:$V$2003,E26,'REPONSES'!$D$4:$D$2003,'PARAMETRES'!$B$4,'REPONSES'!$O$4:$O$2003,"Présent"))</x:f>
      </x:c>
      <x:c r="G26" s="28" t="str">
        <x:f>IF(E26="","",COUNTIFS('REPONSES'!$V$4:$V$2003,E26,'REPONSES'!$D$4:$D$2003,'PARAMETRES'!$B$4,'REPONSES'!$O$4:$O$2003,"Absent excusé"))</x:f>
      </x:c>
      <x:c r="H26" s="28" t="str">
        <x:f>IF(E26="","",MAX(0,COUNTIFS('CALENDRIER'!$B$4:$B$503,'PARAMETRES'!$B$4,'CALENDRIER'!$K$4:$K$503,"Oui")-F26-G26))</x:f>
      </x:c>
      <x:c r="I26" s="28" t="str">
        <x:f>IF(E26="","",COUNTIFS('REPONSES'!$V$4:$V$2003,E26,'REPONSES'!$D$4:$D$2003,'PARAMETRES'!$B$4,'REPONSES'!$R$4:$R$2003,"Oui"))</x:f>
      </x:c>
      <x:c r="J26" s="31" t="str">
        <x:f>IF(E26="","",IFERROR(F26/(F26+G26+H26),0))</x:f>
      </x:c>
      <x:c r="K26" s="32" t="str">
        <x:f>IF(E26="","",IFERROR(MAXIFS('REPONSES'!$B$4:$B$2003,'REPONSES'!$V$4:$V$2003,E26,'REPONSES'!$D$4:$D$2003,'PARAMETRES'!$B$4),""))</x:f>
      </x:c>
    </x:row>
    <x:row r="27">
      <x:c r="A27" s="19" t="str">
        <x:f>IF('MEMBRES'!A27="","",'MEMBRES'!A27)</x:f>
      </x:c>
      <x:c r="B27" s="20" t="str">
        <x:f>IF('MEMBRES'!B27="","",'MEMBRES'!B27)</x:f>
      </x:c>
      <x:c r="C27" s="20" t="str">
        <x:f>IF('MEMBRES'!C27="","",'MEMBRES'!C27)</x:f>
      </x:c>
      <x:c r="D27" s="20" t="str">
        <x:f>IF('MEMBRES'!D27="","",'MEMBRES'!D27)</x:f>
      </x:c>
      <x:c r="E27" s="20" t="str">
        <x:f>IF(A27="","",UPPER(TRIM(A27&amp;" "&amp;B27)))</x:f>
      </x:c>
      <x:c r="F27" s="28" t="str">
        <x:f>IF(E27="","",COUNTIFS('REPONSES'!$V$4:$V$2003,E27,'REPONSES'!$D$4:$D$2003,'PARAMETRES'!$B$4,'REPONSES'!$O$4:$O$2003,"Présent"))</x:f>
      </x:c>
      <x:c r="G27" s="28" t="str">
        <x:f>IF(E27="","",COUNTIFS('REPONSES'!$V$4:$V$2003,E27,'REPONSES'!$D$4:$D$2003,'PARAMETRES'!$B$4,'REPONSES'!$O$4:$O$2003,"Absent excusé"))</x:f>
      </x:c>
      <x:c r="H27" s="28" t="str">
        <x:f>IF(E27="","",MAX(0,COUNTIFS('CALENDRIER'!$B$4:$B$503,'PARAMETRES'!$B$4,'CALENDRIER'!$K$4:$K$503,"Oui")-F27-G27))</x:f>
      </x:c>
      <x:c r="I27" s="28" t="str">
        <x:f>IF(E27="","",COUNTIFS('REPONSES'!$V$4:$V$2003,E27,'REPONSES'!$D$4:$D$2003,'PARAMETRES'!$B$4,'REPONSES'!$R$4:$R$2003,"Oui"))</x:f>
      </x:c>
      <x:c r="J27" s="31" t="str">
        <x:f>IF(E27="","",IFERROR(F27/(F27+G27+H27),0))</x:f>
      </x:c>
      <x:c r="K27" s="32" t="str">
        <x:f>IF(E27="","",IFERROR(MAXIFS('REPONSES'!$B$4:$B$2003,'REPONSES'!$V$4:$V$2003,E27,'REPONSES'!$D$4:$D$2003,'PARAMETRES'!$B$4),""))</x:f>
      </x:c>
    </x:row>
    <x:row r="28">
      <x:c r="A28" s="19" t="str">
        <x:f>IF('MEMBRES'!A28="","",'MEMBRES'!A28)</x:f>
      </x:c>
      <x:c r="B28" s="20" t="str">
        <x:f>IF('MEMBRES'!B28="","",'MEMBRES'!B28)</x:f>
      </x:c>
      <x:c r="C28" s="20" t="str">
        <x:f>IF('MEMBRES'!C28="","",'MEMBRES'!C28)</x:f>
      </x:c>
      <x:c r="D28" s="20" t="str">
        <x:f>IF('MEMBRES'!D28="","",'MEMBRES'!D28)</x:f>
      </x:c>
      <x:c r="E28" s="20" t="str">
        <x:f>IF(A28="","",UPPER(TRIM(A28&amp;" "&amp;B28)))</x:f>
      </x:c>
      <x:c r="F28" s="28" t="str">
        <x:f>IF(E28="","",COUNTIFS('REPONSES'!$V$4:$V$2003,E28,'REPONSES'!$D$4:$D$2003,'PARAMETRES'!$B$4,'REPONSES'!$O$4:$O$2003,"Présent"))</x:f>
      </x:c>
      <x:c r="G28" s="28" t="str">
        <x:f>IF(E28="","",COUNTIFS('REPONSES'!$V$4:$V$2003,E28,'REPONSES'!$D$4:$D$2003,'PARAMETRES'!$B$4,'REPONSES'!$O$4:$O$2003,"Absent excusé"))</x:f>
      </x:c>
      <x:c r="H28" s="28" t="str">
        <x:f>IF(E28="","",MAX(0,COUNTIFS('CALENDRIER'!$B$4:$B$503,'PARAMETRES'!$B$4,'CALENDRIER'!$K$4:$K$503,"Oui")-F28-G28))</x:f>
      </x:c>
      <x:c r="I28" s="28" t="str">
        <x:f>IF(E28="","",COUNTIFS('REPONSES'!$V$4:$V$2003,E28,'REPONSES'!$D$4:$D$2003,'PARAMETRES'!$B$4,'REPONSES'!$R$4:$R$2003,"Oui"))</x:f>
      </x:c>
      <x:c r="J28" s="31" t="str">
        <x:f>IF(E28="","",IFERROR(F28/(F28+G28+H28),0))</x:f>
      </x:c>
      <x:c r="K28" s="32" t="str">
        <x:f>IF(E28="","",IFERROR(MAXIFS('REPONSES'!$B$4:$B$2003,'REPONSES'!$V$4:$V$2003,E28,'REPONSES'!$D$4:$D$2003,'PARAMETRES'!$B$4),""))</x:f>
      </x:c>
    </x:row>
    <x:row r="29">
      <x:c r="A29" s="19" t="str">
        <x:f>IF('MEMBRES'!A29="","",'MEMBRES'!A29)</x:f>
      </x:c>
      <x:c r="B29" s="20" t="str">
        <x:f>IF('MEMBRES'!B29="","",'MEMBRES'!B29)</x:f>
      </x:c>
      <x:c r="C29" s="20" t="str">
        <x:f>IF('MEMBRES'!C29="","",'MEMBRES'!C29)</x:f>
      </x:c>
      <x:c r="D29" s="20" t="str">
        <x:f>IF('MEMBRES'!D29="","",'MEMBRES'!D29)</x:f>
      </x:c>
      <x:c r="E29" s="20" t="str">
        <x:f>IF(A29="","",UPPER(TRIM(A29&amp;" "&amp;B29)))</x:f>
      </x:c>
      <x:c r="F29" s="28" t="str">
        <x:f>IF(E29="","",COUNTIFS('REPONSES'!$V$4:$V$2003,E29,'REPONSES'!$D$4:$D$2003,'PARAMETRES'!$B$4,'REPONSES'!$O$4:$O$2003,"Présent"))</x:f>
      </x:c>
      <x:c r="G29" s="28" t="str">
        <x:f>IF(E29="","",COUNTIFS('REPONSES'!$V$4:$V$2003,E29,'REPONSES'!$D$4:$D$2003,'PARAMETRES'!$B$4,'REPONSES'!$O$4:$O$2003,"Absent excusé"))</x:f>
      </x:c>
      <x:c r="H29" s="28" t="str">
        <x:f>IF(E29="","",MAX(0,COUNTIFS('CALENDRIER'!$B$4:$B$503,'PARAMETRES'!$B$4,'CALENDRIER'!$K$4:$K$503,"Oui")-F29-G29))</x:f>
      </x:c>
      <x:c r="I29" s="28" t="str">
        <x:f>IF(E29="","",COUNTIFS('REPONSES'!$V$4:$V$2003,E29,'REPONSES'!$D$4:$D$2003,'PARAMETRES'!$B$4,'REPONSES'!$R$4:$R$2003,"Oui"))</x:f>
      </x:c>
      <x:c r="J29" s="31" t="str">
        <x:f>IF(E29="","",IFERROR(F29/(F29+G29+H29),0))</x:f>
      </x:c>
      <x:c r="K29" s="32" t="str">
        <x:f>IF(E29="","",IFERROR(MAXIFS('REPONSES'!$B$4:$B$2003,'REPONSES'!$V$4:$V$2003,E29,'REPONSES'!$D$4:$D$2003,'PARAMETRES'!$B$4),""))</x:f>
      </x:c>
    </x:row>
    <x:row r="30">
      <x:c r="A30" s="19" t="str">
        <x:f>IF('MEMBRES'!A30="","",'MEMBRES'!A30)</x:f>
      </x:c>
      <x:c r="B30" s="20" t="str">
        <x:f>IF('MEMBRES'!B30="","",'MEMBRES'!B30)</x:f>
      </x:c>
      <x:c r="C30" s="20" t="str">
        <x:f>IF('MEMBRES'!C30="","",'MEMBRES'!C30)</x:f>
      </x:c>
      <x:c r="D30" s="20" t="str">
        <x:f>IF('MEMBRES'!D30="","",'MEMBRES'!D30)</x:f>
      </x:c>
      <x:c r="E30" s="20" t="str">
        <x:f>IF(A30="","",UPPER(TRIM(A30&amp;" "&amp;B30)))</x:f>
      </x:c>
      <x:c r="F30" s="28" t="str">
        <x:f>IF(E30="","",COUNTIFS('REPONSES'!$V$4:$V$2003,E30,'REPONSES'!$D$4:$D$2003,'PARAMETRES'!$B$4,'REPONSES'!$O$4:$O$2003,"Présent"))</x:f>
      </x:c>
      <x:c r="G30" s="28" t="str">
        <x:f>IF(E30="","",COUNTIFS('REPONSES'!$V$4:$V$2003,E30,'REPONSES'!$D$4:$D$2003,'PARAMETRES'!$B$4,'REPONSES'!$O$4:$O$2003,"Absent excusé"))</x:f>
      </x:c>
      <x:c r="H30" s="28" t="str">
        <x:f>IF(E30="","",MAX(0,COUNTIFS('CALENDRIER'!$B$4:$B$503,'PARAMETRES'!$B$4,'CALENDRIER'!$K$4:$K$503,"Oui")-F30-G30))</x:f>
      </x:c>
      <x:c r="I30" s="28" t="str">
        <x:f>IF(E30="","",COUNTIFS('REPONSES'!$V$4:$V$2003,E30,'REPONSES'!$D$4:$D$2003,'PARAMETRES'!$B$4,'REPONSES'!$R$4:$R$2003,"Oui"))</x:f>
      </x:c>
      <x:c r="J30" s="31" t="str">
        <x:f>IF(E30="","",IFERROR(F30/(F30+G30+H30),0))</x:f>
      </x:c>
      <x:c r="K30" s="32" t="str">
        <x:f>IF(E30="","",IFERROR(MAXIFS('REPONSES'!$B$4:$B$2003,'REPONSES'!$V$4:$V$2003,E30,'REPONSES'!$D$4:$D$2003,'PARAMETRES'!$B$4),""))</x:f>
      </x:c>
    </x:row>
    <x:row r="31">
      <x:c r="A31" s="19" t="str">
        <x:f>IF('MEMBRES'!A31="","",'MEMBRES'!A31)</x:f>
      </x:c>
      <x:c r="B31" s="20" t="str">
        <x:f>IF('MEMBRES'!B31="","",'MEMBRES'!B31)</x:f>
      </x:c>
      <x:c r="C31" s="20" t="str">
        <x:f>IF('MEMBRES'!C31="","",'MEMBRES'!C31)</x:f>
      </x:c>
      <x:c r="D31" s="20" t="str">
        <x:f>IF('MEMBRES'!D31="","",'MEMBRES'!D31)</x:f>
      </x:c>
      <x:c r="E31" s="20" t="str">
        <x:f>IF(A31="","",UPPER(TRIM(A31&amp;" "&amp;B31)))</x:f>
      </x:c>
      <x:c r="F31" s="28" t="str">
        <x:f>IF(E31="","",COUNTIFS('REPONSES'!$V$4:$V$2003,E31,'REPONSES'!$D$4:$D$2003,'PARAMETRES'!$B$4,'REPONSES'!$O$4:$O$2003,"Présent"))</x:f>
      </x:c>
      <x:c r="G31" s="28" t="str">
        <x:f>IF(E31="","",COUNTIFS('REPONSES'!$V$4:$V$2003,E31,'REPONSES'!$D$4:$D$2003,'PARAMETRES'!$B$4,'REPONSES'!$O$4:$O$2003,"Absent excusé"))</x:f>
      </x:c>
      <x:c r="H31" s="28" t="str">
        <x:f>IF(E31="","",MAX(0,COUNTIFS('CALENDRIER'!$B$4:$B$503,'PARAMETRES'!$B$4,'CALENDRIER'!$K$4:$K$503,"Oui")-F31-G31))</x:f>
      </x:c>
      <x:c r="I31" s="28" t="str">
        <x:f>IF(E31="","",COUNTIFS('REPONSES'!$V$4:$V$2003,E31,'REPONSES'!$D$4:$D$2003,'PARAMETRES'!$B$4,'REPONSES'!$R$4:$R$2003,"Oui"))</x:f>
      </x:c>
      <x:c r="J31" s="31" t="str">
        <x:f>IF(E31="","",IFERROR(F31/(F31+G31+H31),0))</x:f>
      </x:c>
      <x:c r="K31" s="32" t="str">
        <x:f>IF(E31="","",IFERROR(MAXIFS('REPONSES'!$B$4:$B$2003,'REPONSES'!$V$4:$V$2003,E31,'REPONSES'!$D$4:$D$2003,'PARAMETRES'!$B$4),""))</x:f>
      </x:c>
    </x:row>
    <x:row r="32">
      <x:c r="A32" s="19" t="str">
        <x:f>IF('MEMBRES'!A32="","",'MEMBRES'!A32)</x:f>
      </x:c>
      <x:c r="B32" s="20" t="str">
        <x:f>IF('MEMBRES'!B32="","",'MEMBRES'!B32)</x:f>
      </x:c>
      <x:c r="C32" s="20" t="str">
        <x:f>IF('MEMBRES'!C32="","",'MEMBRES'!C32)</x:f>
      </x:c>
      <x:c r="D32" s="20" t="str">
        <x:f>IF('MEMBRES'!D32="","",'MEMBRES'!D32)</x:f>
      </x:c>
      <x:c r="E32" s="20" t="str">
        <x:f>IF(A32="","",UPPER(TRIM(A32&amp;" "&amp;B32)))</x:f>
      </x:c>
      <x:c r="F32" s="28" t="str">
        <x:f>IF(E32="","",COUNTIFS('REPONSES'!$V$4:$V$2003,E32,'REPONSES'!$D$4:$D$2003,'PARAMETRES'!$B$4,'REPONSES'!$O$4:$O$2003,"Présent"))</x:f>
      </x:c>
      <x:c r="G32" s="28" t="str">
        <x:f>IF(E32="","",COUNTIFS('REPONSES'!$V$4:$V$2003,E32,'REPONSES'!$D$4:$D$2003,'PARAMETRES'!$B$4,'REPONSES'!$O$4:$O$2003,"Absent excusé"))</x:f>
      </x:c>
      <x:c r="H32" s="28" t="str">
        <x:f>IF(E32="","",MAX(0,COUNTIFS('CALENDRIER'!$B$4:$B$503,'PARAMETRES'!$B$4,'CALENDRIER'!$K$4:$K$503,"Oui")-F32-G32))</x:f>
      </x:c>
      <x:c r="I32" s="28" t="str">
        <x:f>IF(E32="","",COUNTIFS('REPONSES'!$V$4:$V$2003,E32,'REPONSES'!$D$4:$D$2003,'PARAMETRES'!$B$4,'REPONSES'!$R$4:$R$2003,"Oui"))</x:f>
      </x:c>
      <x:c r="J32" s="31" t="str">
        <x:f>IF(E32="","",IFERROR(F32/(F32+G32+H32),0))</x:f>
      </x:c>
      <x:c r="K32" s="32" t="str">
        <x:f>IF(E32="","",IFERROR(MAXIFS('REPONSES'!$B$4:$B$2003,'REPONSES'!$V$4:$V$2003,E32,'REPONSES'!$D$4:$D$2003,'PARAMETRES'!$B$4),""))</x:f>
      </x:c>
    </x:row>
    <x:row r="33">
      <x:c r="A33" s="19" t="str">
        <x:f>IF('MEMBRES'!A33="","",'MEMBRES'!A33)</x:f>
      </x:c>
      <x:c r="B33" s="20" t="str">
        <x:f>IF('MEMBRES'!B33="","",'MEMBRES'!B33)</x:f>
      </x:c>
      <x:c r="C33" s="20" t="str">
        <x:f>IF('MEMBRES'!C33="","",'MEMBRES'!C33)</x:f>
      </x:c>
      <x:c r="D33" s="20" t="str">
        <x:f>IF('MEMBRES'!D33="","",'MEMBRES'!D33)</x:f>
      </x:c>
      <x:c r="E33" s="20" t="str">
        <x:f>IF(A33="","",UPPER(TRIM(A33&amp;" "&amp;B33)))</x:f>
      </x:c>
      <x:c r="F33" s="28" t="str">
        <x:f>IF(E33="","",COUNTIFS('REPONSES'!$V$4:$V$2003,E33,'REPONSES'!$D$4:$D$2003,'PARAMETRES'!$B$4,'REPONSES'!$O$4:$O$2003,"Présent"))</x:f>
      </x:c>
      <x:c r="G33" s="28" t="str">
        <x:f>IF(E33="","",COUNTIFS('REPONSES'!$V$4:$V$2003,E33,'REPONSES'!$D$4:$D$2003,'PARAMETRES'!$B$4,'REPONSES'!$O$4:$O$2003,"Absent excusé"))</x:f>
      </x:c>
      <x:c r="H33" s="28" t="str">
        <x:f>IF(E33="","",MAX(0,COUNTIFS('CALENDRIER'!$B$4:$B$503,'PARAMETRES'!$B$4,'CALENDRIER'!$K$4:$K$503,"Oui")-F33-G33))</x:f>
      </x:c>
      <x:c r="I33" s="28" t="str">
        <x:f>IF(E33="","",COUNTIFS('REPONSES'!$V$4:$V$2003,E33,'REPONSES'!$D$4:$D$2003,'PARAMETRES'!$B$4,'REPONSES'!$R$4:$R$2003,"Oui"))</x:f>
      </x:c>
      <x:c r="J33" s="31" t="str">
        <x:f>IF(E33="","",IFERROR(F33/(F33+G33+H33),0))</x:f>
      </x:c>
      <x:c r="K33" s="32" t="str">
        <x:f>IF(E33="","",IFERROR(MAXIFS('REPONSES'!$B$4:$B$2003,'REPONSES'!$V$4:$V$2003,E33,'REPONSES'!$D$4:$D$2003,'PARAMETRES'!$B$4),""))</x:f>
      </x:c>
    </x:row>
    <x:row r="34">
      <x:c r="A34" s="19" t="str">
        <x:f>IF('MEMBRES'!A34="","",'MEMBRES'!A34)</x:f>
      </x:c>
      <x:c r="B34" s="20" t="str">
        <x:f>IF('MEMBRES'!B34="","",'MEMBRES'!B34)</x:f>
      </x:c>
      <x:c r="C34" s="20" t="str">
        <x:f>IF('MEMBRES'!C34="","",'MEMBRES'!C34)</x:f>
      </x:c>
      <x:c r="D34" s="20" t="str">
        <x:f>IF('MEMBRES'!D34="","",'MEMBRES'!D34)</x:f>
      </x:c>
      <x:c r="E34" s="20" t="str">
        <x:f>IF(A34="","",UPPER(TRIM(A34&amp;" "&amp;B34)))</x:f>
      </x:c>
      <x:c r="F34" s="28" t="str">
        <x:f>IF(E34="","",COUNTIFS('REPONSES'!$V$4:$V$2003,E34,'REPONSES'!$D$4:$D$2003,'PARAMETRES'!$B$4,'REPONSES'!$O$4:$O$2003,"Présent"))</x:f>
      </x:c>
      <x:c r="G34" s="28" t="str">
        <x:f>IF(E34="","",COUNTIFS('REPONSES'!$V$4:$V$2003,E34,'REPONSES'!$D$4:$D$2003,'PARAMETRES'!$B$4,'REPONSES'!$O$4:$O$2003,"Absent excusé"))</x:f>
      </x:c>
      <x:c r="H34" s="28" t="str">
        <x:f>IF(E34="","",MAX(0,COUNTIFS('CALENDRIER'!$B$4:$B$503,'PARAMETRES'!$B$4,'CALENDRIER'!$K$4:$K$503,"Oui")-F34-G34))</x:f>
      </x:c>
      <x:c r="I34" s="28" t="str">
        <x:f>IF(E34="","",COUNTIFS('REPONSES'!$V$4:$V$2003,E34,'REPONSES'!$D$4:$D$2003,'PARAMETRES'!$B$4,'REPONSES'!$R$4:$R$2003,"Oui"))</x:f>
      </x:c>
      <x:c r="J34" s="31" t="str">
        <x:f>IF(E34="","",IFERROR(F34/(F34+G34+H34),0))</x:f>
      </x:c>
      <x:c r="K34" s="32" t="str">
        <x:f>IF(E34="","",IFERROR(MAXIFS('REPONSES'!$B$4:$B$2003,'REPONSES'!$V$4:$V$2003,E34,'REPONSES'!$D$4:$D$2003,'PARAMETRES'!$B$4),""))</x:f>
      </x:c>
    </x:row>
    <x:row r="35">
      <x:c r="A35" s="19" t="str">
        <x:f>IF('MEMBRES'!A35="","",'MEMBRES'!A35)</x:f>
      </x:c>
      <x:c r="B35" s="20" t="str">
        <x:f>IF('MEMBRES'!B35="","",'MEMBRES'!B35)</x:f>
      </x:c>
      <x:c r="C35" s="20" t="str">
        <x:f>IF('MEMBRES'!C35="","",'MEMBRES'!C35)</x:f>
      </x:c>
      <x:c r="D35" s="20" t="str">
        <x:f>IF('MEMBRES'!D35="","",'MEMBRES'!D35)</x:f>
      </x:c>
      <x:c r="E35" s="20" t="str">
        <x:f>IF(A35="","",UPPER(TRIM(A35&amp;" "&amp;B35)))</x:f>
      </x:c>
      <x:c r="F35" s="28" t="str">
        <x:f>IF(E35="","",COUNTIFS('REPONSES'!$V$4:$V$2003,E35,'REPONSES'!$D$4:$D$2003,'PARAMETRES'!$B$4,'REPONSES'!$O$4:$O$2003,"Présent"))</x:f>
      </x:c>
      <x:c r="G35" s="28" t="str">
        <x:f>IF(E35="","",COUNTIFS('REPONSES'!$V$4:$V$2003,E35,'REPONSES'!$D$4:$D$2003,'PARAMETRES'!$B$4,'REPONSES'!$O$4:$O$2003,"Absent excusé"))</x:f>
      </x:c>
      <x:c r="H35" s="28" t="str">
        <x:f>IF(E35="","",MAX(0,COUNTIFS('CALENDRIER'!$B$4:$B$503,'PARAMETRES'!$B$4,'CALENDRIER'!$K$4:$K$503,"Oui")-F35-G35))</x:f>
      </x:c>
      <x:c r="I35" s="28" t="str">
        <x:f>IF(E35="","",COUNTIFS('REPONSES'!$V$4:$V$2003,E35,'REPONSES'!$D$4:$D$2003,'PARAMETRES'!$B$4,'REPONSES'!$R$4:$R$2003,"Oui"))</x:f>
      </x:c>
      <x:c r="J35" s="31" t="str">
        <x:f>IF(E35="","",IFERROR(F35/(F35+G35+H35),0))</x:f>
      </x:c>
      <x:c r="K35" s="32" t="str">
        <x:f>IF(E35="","",IFERROR(MAXIFS('REPONSES'!$B$4:$B$2003,'REPONSES'!$V$4:$V$2003,E35,'REPONSES'!$D$4:$D$2003,'PARAMETRES'!$B$4),""))</x:f>
      </x:c>
    </x:row>
    <x:row r="36">
      <x:c r="A36" s="19" t="str">
        <x:f>IF('MEMBRES'!A36="","",'MEMBRES'!A36)</x:f>
      </x:c>
      <x:c r="B36" s="20" t="str">
        <x:f>IF('MEMBRES'!B36="","",'MEMBRES'!B36)</x:f>
      </x:c>
      <x:c r="C36" s="20" t="str">
        <x:f>IF('MEMBRES'!C36="","",'MEMBRES'!C36)</x:f>
      </x:c>
      <x:c r="D36" s="20" t="str">
        <x:f>IF('MEMBRES'!D36="","",'MEMBRES'!D36)</x:f>
      </x:c>
      <x:c r="E36" s="20" t="str">
        <x:f>IF(A36="","",UPPER(TRIM(A36&amp;" "&amp;B36)))</x:f>
      </x:c>
      <x:c r="F36" s="28" t="str">
        <x:f>IF(E36="","",COUNTIFS('REPONSES'!$V$4:$V$2003,E36,'REPONSES'!$D$4:$D$2003,'PARAMETRES'!$B$4,'REPONSES'!$O$4:$O$2003,"Présent"))</x:f>
      </x:c>
      <x:c r="G36" s="28" t="str">
        <x:f>IF(E36="","",COUNTIFS('REPONSES'!$V$4:$V$2003,E36,'REPONSES'!$D$4:$D$2003,'PARAMETRES'!$B$4,'REPONSES'!$O$4:$O$2003,"Absent excusé"))</x:f>
      </x:c>
      <x:c r="H36" s="28" t="str">
        <x:f>IF(E36="","",MAX(0,COUNTIFS('CALENDRIER'!$B$4:$B$503,'PARAMETRES'!$B$4,'CALENDRIER'!$K$4:$K$503,"Oui")-F36-G36))</x:f>
      </x:c>
      <x:c r="I36" s="28" t="str">
        <x:f>IF(E36="","",COUNTIFS('REPONSES'!$V$4:$V$2003,E36,'REPONSES'!$D$4:$D$2003,'PARAMETRES'!$B$4,'REPONSES'!$R$4:$R$2003,"Oui"))</x:f>
      </x:c>
      <x:c r="J36" s="31" t="str">
        <x:f>IF(E36="","",IFERROR(F36/(F36+G36+H36),0))</x:f>
      </x:c>
      <x:c r="K36" s="32" t="str">
        <x:f>IF(E36="","",IFERROR(MAXIFS('REPONSES'!$B$4:$B$2003,'REPONSES'!$V$4:$V$2003,E36,'REPONSES'!$D$4:$D$2003,'PARAMETRES'!$B$4),""))</x:f>
      </x:c>
    </x:row>
    <x:row r="37">
      <x:c r="A37" s="19" t="str">
        <x:f>IF('MEMBRES'!A37="","",'MEMBRES'!A37)</x:f>
      </x:c>
      <x:c r="B37" s="20" t="str">
        <x:f>IF('MEMBRES'!B37="","",'MEMBRES'!B37)</x:f>
      </x:c>
      <x:c r="C37" s="20" t="str">
        <x:f>IF('MEMBRES'!C37="","",'MEMBRES'!C37)</x:f>
      </x:c>
      <x:c r="D37" s="20" t="str">
        <x:f>IF('MEMBRES'!D37="","",'MEMBRES'!D37)</x:f>
      </x:c>
      <x:c r="E37" s="20" t="str">
        <x:f>IF(A37="","",UPPER(TRIM(A37&amp;" "&amp;B37)))</x:f>
      </x:c>
      <x:c r="F37" s="28" t="str">
        <x:f>IF(E37="","",COUNTIFS('REPONSES'!$V$4:$V$2003,E37,'REPONSES'!$D$4:$D$2003,'PARAMETRES'!$B$4,'REPONSES'!$O$4:$O$2003,"Présent"))</x:f>
      </x:c>
      <x:c r="G37" s="28" t="str">
        <x:f>IF(E37="","",COUNTIFS('REPONSES'!$V$4:$V$2003,E37,'REPONSES'!$D$4:$D$2003,'PARAMETRES'!$B$4,'REPONSES'!$O$4:$O$2003,"Absent excusé"))</x:f>
      </x:c>
      <x:c r="H37" s="28" t="str">
        <x:f>IF(E37="","",MAX(0,COUNTIFS('CALENDRIER'!$B$4:$B$503,'PARAMETRES'!$B$4,'CALENDRIER'!$K$4:$K$503,"Oui")-F37-G37))</x:f>
      </x:c>
      <x:c r="I37" s="28" t="str">
        <x:f>IF(E37="","",COUNTIFS('REPONSES'!$V$4:$V$2003,E37,'REPONSES'!$D$4:$D$2003,'PARAMETRES'!$B$4,'REPONSES'!$R$4:$R$2003,"Oui"))</x:f>
      </x:c>
      <x:c r="J37" s="31" t="str">
        <x:f>IF(E37="","",IFERROR(F37/(F37+G37+H37),0))</x:f>
      </x:c>
      <x:c r="K37" s="32" t="str">
        <x:f>IF(E37="","",IFERROR(MAXIFS('REPONSES'!$B$4:$B$2003,'REPONSES'!$V$4:$V$2003,E37,'REPONSES'!$D$4:$D$2003,'PARAMETRES'!$B$4),""))</x:f>
      </x:c>
    </x:row>
    <x:row r="38">
      <x:c r="A38" s="19" t="str">
        <x:f>IF('MEMBRES'!A38="","",'MEMBRES'!A38)</x:f>
      </x:c>
      <x:c r="B38" s="20" t="str">
        <x:f>IF('MEMBRES'!B38="","",'MEMBRES'!B38)</x:f>
      </x:c>
      <x:c r="C38" s="20" t="str">
        <x:f>IF('MEMBRES'!C38="","",'MEMBRES'!C38)</x:f>
      </x:c>
      <x:c r="D38" s="20" t="str">
        <x:f>IF('MEMBRES'!D38="","",'MEMBRES'!D38)</x:f>
      </x:c>
      <x:c r="E38" s="20" t="str">
        <x:f>IF(A38="","",UPPER(TRIM(A38&amp;" "&amp;B38)))</x:f>
      </x:c>
      <x:c r="F38" s="28" t="str">
        <x:f>IF(E38="","",COUNTIFS('REPONSES'!$V$4:$V$2003,E38,'REPONSES'!$D$4:$D$2003,'PARAMETRES'!$B$4,'REPONSES'!$O$4:$O$2003,"Présent"))</x:f>
      </x:c>
      <x:c r="G38" s="28" t="str">
        <x:f>IF(E38="","",COUNTIFS('REPONSES'!$V$4:$V$2003,E38,'REPONSES'!$D$4:$D$2003,'PARAMETRES'!$B$4,'REPONSES'!$O$4:$O$2003,"Absent excusé"))</x:f>
      </x:c>
      <x:c r="H38" s="28" t="str">
        <x:f>IF(E38="","",MAX(0,COUNTIFS('CALENDRIER'!$B$4:$B$503,'PARAMETRES'!$B$4,'CALENDRIER'!$K$4:$K$503,"Oui")-F38-G38))</x:f>
      </x:c>
      <x:c r="I38" s="28" t="str">
        <x:f>IF(E38="","",COUNTIFS('REPONSES'!$V$4:$V$2003,E38,'REPONSES'!$D$4:$D$2003,'PARAMETRES'!$B$4,'REPONSES'!$R$4:$R$2003,"Oui"))</x:f>
      </x:c>
      <x:c r="J38" s="31" t="str">
        <x:f>IF(E38="","",IFERROR(F38/(F38+G38+H38),0))</x:f>
      </x:c>
      <x:c r="K38" s="32" t="str">
        <x:f>IF(E38="","",IFERROR(MAXIFS('REPONSES'!$B$4:$B$2003,'REPONSES'!$V$4:$V$2003,E38,'REPONSES'!$D$4:$D$2003,'PARAMETRES'!$B$4),""))</x:f>
      </x:c>
    </x:row>
    <x:row r="39">
      <x:c r="A39" s="19" t="str">
        <x:f>IF('MEMBRES'!A39="","",'MEMBRES'!A39)</x:f>
      </x:c>
      <x:c r="B39" s="20" t="str">
        <x:f>IF('MEMBRES'!B39="","",'MEMBRES'!B39)</x:f>
      </x:c>
      <x:c r="C39" s="20" t="str">
        <x:f>IF('MEMBRES'!C39="","",'MEMBRES'!C39)</x:f>
      </x:c>
      <x:c r="D39" s="20" t="str">
        <x:f>IF('MEMBRES'!D39="","",'MEMBRES'!D39)</x:f>
      </x:c>
      <x:c r="E39" s="20" t="str">
        <x:f>IF(A39="","",UPPER(TRIM(A39&amp;" "&amp;B39)))</x:f>
      </x:c>
      <x:c r="F39" s="28" t="str">
        <x:f>IF(E39="","",COUNTIFS('REPONSES'!$V$4:$V$2003,E39,'REPONSES'!$D$4:$D$2003,'PARAMETRES'!$B$4,'REPONSES'!$O$4:$O$2003,"Présent"))</x:f>
      </x:c>
      <x:c r="G39" s="28" t="str">
        <x:f>IF(E39="","",COUNTIFS('REPONSES'!$V$4:$V$2003,E39,'REPONSES'!$D$4:$D$2003,'PARAMETRES'!$B$4,'REPONSES'!$O$4:$O$2003,"Absent excusé"))</x:f>
      </x:c>
      <x:c r="H39" s="28" t="str">
        <x:f>IF(E39="","",MAX(0,COUNTIFS('CALENDRIER'!$B$4:$B$503,'PARAMETRES'!$B$4,'CALENDRIER'!$K$4:$K$503,"Oui")-F39-G39))</x:f>
      </x:c>
      <x:c r="I39" s="28" t="str">
        <x:f>IF(E39="","",COUNTIFS('REPONSES'!$V$4:$V$2003,E39,'REPONSES'!$D$4:$D$2003,'PARAMETRES'!$B$4,'REPONSES'!$R$4:$R$2003,"Oui"))</x:f>
      </x:c>
      <x:c r="J39" s="31" t="str">
        <x:f>IF(E39="","",IFERROR(F39/(F39+G39+H39),0))</x:f>
      </x:c>
      <x:c r="K39" s="32" t="str">
        <x:f>IF(E39="","",IFERROR(MAXIFS('REPONSES'!$B$4:$B$2003,'REPONSES'!$V$4:$V$2003,E39,'REPONSES'!$D$4:$D$2003,'PARAMETRES'!$B$4),""))</x:f>
      </x:c>
    </x:row>
    <x:row r="40">
      <x:c r="A40" s="19" t="str">
        <x:f>IF('MEMBRES'!A40="","",'MEMBRES'!A40)</x:f>
      </x:c>
      <x:c r="B40" s="20" t="str">
        <x:f>IF('MEMBRES'!B40="","",'MEMBRES'!B40)</x:f>
      </x:c>
      <x:c r="C40" s="20" t="str">
        <x:f>IF('MEMBRES'!C40="","",'MEMBRES'!C40)</x:f>
      </x:c>
      <x:c r="D40" s="20" t="str">
        <x:f>IF('MEMBRES'!D40="","",'MEMBRES'!D40)</x:f>
      </x:c>
      <x:c r="E40" s="20" t="str">
        <x:f>IF(A40="","",UPPER(TRIM(A40&amp;" "&amp;B40)))</x:f>
      </x:c>
      <x:c r="F40" s="28" t="str">
        <x:f>IF(E40="","",COUNTIFS('REPONSES'!$V$4:$V$2003,E40,'REPONSES'!$D$4:$D$2003,'PARAMETRES'!$B$4,'REPONSES'!$O$4:$O$2003,"Présent"))</x:f>
      </x:c>
      <x:c r="G40" s="28" t="str">
        <x:f>IF(E40="","",COUNTIFS('REPONSES'!$V$4:$V$2003,E40,'REPONSES'!$D$4:$D$2003,'PARAMETRES'!$B$4,'REPONSES'!$O$4:$O$2003,"Absent excusé"))</x:f>
      </x:c>
      <x:c r="H40" s="28" t="str">
        <x:f>IF(E40="","",MAX(0,COUNTIFS('CALENDRIER'!$B$4:$B$503,'PARAMETRES'!$B$4,'CALENDRIER'!$K$4:$K$503,"Oui")-F40-G40))</x:f>
      </x:c>
      <x:c r="I40" s="28" t="str">
        <x:f>IF(E40="","",COUNTIFS('REPONSES'!$V$4:$V$2003,E40,'REPONSES'!$D$4:$D$2003,'PARAMETRES'!$B$4,'REPONSES'!$R$4:$R$2003,"Oui"))</x:f>
      </x:c>
      <x:c r="J40" s="31" t="str">
        <x:f>IF(E40="","",IFERROR(F40/(F40+G40+H40),0))</x:f>
      </x:c>
      <x:c r="K40" s="32" t="str">
        <x:f>IF(E40="","",IFERROR(MAXIFS('REPONSES'!$B$4:$B$2003,'REPONSES'!$V$4:$V$2003,E40,'REPONSES'!$D$4:$D$2003,'PARAMETRES'!$B$4),""))</x:f>
      </x:c>
    </x:row>
    <x:row r="41">
      <x:c r="A41" s="19" t="str">
        <x:f>IF('MEMBRES'!A41="","",'MEMBRES'!A41)</x:f>
      </x:c>
      <x:c r="B41" s="20" t="str">
        <x:f>IF('MEMBRES'!B41="","",'MEMBRES'!B41)</x:f>
      </x:c>
      <x:c r="C41" s="20" t="str">
        <x:f>IF('MEMBRES'!C41="","",'MEMBRES'!C41)</x:f>
      </x:c>
      <x:c r="D41" s="20" t="str">
        <x:f>IF('MEMBRES'!D41="","",'MEMBRES'!D41)</x:f>
      </x:c>
      <x:c r="E41" s="20" t="str">
        <x:f>IF(A41="","",UPPER(TRIM(A41&amp;" "&amp;B41)))</x:f>
      </x:c>
      <x:c r="F41" s="28" t="str">
        <x:f>IF(E41="","",COUNTIFS('REPONSES'!$V$4:$V$2003,E41,'REPONSES'!$D$4:$D$2003,'PARAMETRES'!$B$4,'REPONSES'!$O$4:$O$2003,"Présent"))</x:f>
      </x:c>
      <x:c r="G41" s="28" t="str">
        <x:f>IF(E41="","",COUNTIFS('REPONSES'!$V$4:$V$2003,E41,'REPONSES'!$D$4:$D$2003,'PARAMETRES'!$B$4,'REPONSES'!$O$4:$O$2003,"Absent excusé"))</x:f>
      </x:c>
      <x:c r="H41" s="28" t="str">
        <x:f>IF(E41="","",MAX(0,COUNTIFS('CALENDRIER'!$B$4:$B$503,'PARAMETRES'!$B$4,'CALENDRIER'!$K$4:$K$503,"Oui")-F41-G41))</x:f>
      </x:c>
      <x:c r="I41" s="28" t="str">
        <x:f>IF(E41="","",COUNTIFS('REPONSES'!$V$4:$V$2003,E41,'REPONSES'!$D$4:$D$2003,'PARAMETRES'!$B$4,'REPONSES'!$R$4:$R$2003,"Oui"))</x:f>
      </x:c>
      <x:c r="J41" s="31" t="str">
        <x:f>IF(E41="","",IFERROR(F41/(F41+G41+H41),0))</x:f>
      </x:c>
      <x:c r="K41" s="32" t="str">
        <x:f>IF(E41="","",IFERROR(MAXIFS('REPONSES'!$B$4:$B$2003,'REPONSES'!$V$4:$V$2003,E41,'REPONSES'!$D$4:$D$2003,'PARAMETRES'!$B$4),""))</x:f>
      </x:c>
    </x:row>
    <x:row r="42">
      <x:c r="A42" s="19" t="str">
        <x:f>IF('MEMBRES'!A42="","",'MEMBRES'!A42)</x:f>
      </x:c>
      <x:c r="B42" s="20" t="str">
        <x:f>IF('MEMBRES'!B42="","",'MEMBRES'!B42)</x:f>
      </x:c>
      <x:c r="C42" s="20" t="str">
        <x:f>IF('MEMBRES'!C42="","",'MEMBRES'!C42)</x:f>
      </x:c>
      <x:c r="D42" s="20" t="str">
        <x:f>IF('MEMBRES'!D42="","",'MEMBRES'!D42)</x:f>
      </x:c>
      <x:c r="E42" s="20" t="str">
        <x:f>IF(A42="","",UPPER(TRIM(A42&amp;" "&amp;B42)))</x:f>
      </x:c>
      <x:c r="F42" s="28" t="str">
        <x:f>IF(E42="","",COUNTIFS('REPONSES'!$V$4:$V$2003,E42,'REPONSES'!$D$4:$D$2003,'PARAMETRES'!$B$4,'REPONSES'!$O$4:$O$2003,"Présent"))</x:f>
      </x:c>
      <x:c r="G42" s="28" t="str">
        <x:f>IF(E42="","",COUNTIFS('REPONSES'!$V$4:$V$2003,E42,'REPONSES'!$D$4:$D$2003,'PARAMETRES'!$B$4,'REPONSES'!$O$4:$O$2003,"Absent excusé"))</x:f>
      </x:c>
      <x:c r="H42" s="28" t="str">
        <x:f>IF(E42="","",MAX(0,COUNTIFS('CALENDRIER'!$B$4:$B$503,'PARAMETRES'!$B$4,'CALENDRIER'!$K$4:$K$503,"Oui")-F42-G42))</x:f>
      </x:c>
      <x:c r="I42" s="28" t="str">
        <x:f>IF(E42="","",COUNTIFS('REPONSES'!$V$4:$V$2003,E42,'REPONSES'!$D$4:$D$2003,'PARAMETRES'!$B$4,'REPONSES'!$R$4:$R$2003,"Oui"))</x:f>
      </x:c>
      <x:c r="J42" s="31" t="str">
        <x:f>IF(E42="","",IFERROR(F42/(F42+G42+H42),0))</x:f>
      </x:c>
      <x:c r="K42" s="32" t="str">
        <x:f>IF(E42="","",IFERROR(MAXIFS('REPONSES'!$B$4:$B$2003,'REPONSES'!$V$4:$V$2003,E42,'REPONSES'!$D$4:$D$2003,'PARAMETRES'!$B$4),""))</x:f>
      </x:c>
    </x:row>
    <x:row r="43">
      <x:c r="A43" s="19" t="str">
        <x:f>IF('MEMBRES'!A43="","",'MEMBRES'!A43)</x:f>
      </x:c>
      <x:c r="B43" s="20" t="str">
        <x:f>IF('MEMBRES'!B43="","",'MEMBRES'!B43)</x:f>
      </x:c>
      <x:c r="C43" s="20" t="str">
        <x:f>IF('MEMBRES'!C43="","",'MEMBRES'!C43)</x:f>
      </x:c>
      <x:c r="D43" s="20" t="str">
        <x:f>IF('MEMBRES'!D43="","",'MEMBRES'!D43)</x:f>
      </x:c>
      <x:c r="E43" s="20" t="str">
        <x:f>IF(A43="","",UPPER(TRIM(A43&amp;" "&amp;B43)))</x:f>
      </x:c>
      <x:c r="F43" s="28" t="str">
        <x:f>IF(E43="","",COUNTIFS('REPONSES'!$V$4:$V$2003,E43,'REPONSES'!$D$4:$D$2003,'PARAMETRES'!$B$4,'REPONSES'!$O$4:$O$2003,"Présent"))</x:f>
      </x:c>
      <x:c r="G43" s="28" t="str">
        <x:f>IF(E43="","",COUNTIFS('REPONSES'!$V$4:$V$2003,E43,'REPONSES'!$D$4:$D$2003,'PARAMETRES'!$B$4,'REPONSES'!$O$4:$O$2003,"Absent excusé"))</x:f>
      </x:c>
      <x:c r="H43" s="28" t="str">
        <x:f>IF(E43="","",MAX(0,COUNTIFS('CALENDRIER'!$B$4:$B$503,'PARAMETRES'!$B$4,'CALENDRIER'!$K$4:$K$503,"Oui")-F43-G43))</x:f>
      </x:c>
      <x:c r="I43" s="28" t="str">
        <x:f>IF(E43="","",COUNTIFS('REPONSES'!$V$4:$V$2003,E43,'REPONSES'!$D$4:$D$2003,'PARAMETRES'!$B$4,'REPONSES'!$R$4:$R$2003,"Oui"))</x:f>
      </x:c>
      <x:c r="J43" s="31" t="str">
        <x:f>IF(E43="","",IFERROR(F43/(F43+G43+H43),0))</x:f>
      </x:c>
      <x:c r="K43" s="32" t="str">
        <x:f>IF(E43="","",IFERROR(MAXIFS('REPONSES'!$B$4:$B$2003,'REPONSES'!$V$4:$V$2003,E43,'REPONSES'!$D$4:$D$2003,'PARAMETRES'!$B$4),""))</x:f>
      </x:c>
    </x:row>
    <x:row r="44">
      <x:c r="A44" s="19" t="str">
        <x:f>IF('MEMBRES'!A44="","",'MEMBRES'!A44)</x:f>
      </x:c>
      <x:c r="B44" s="20" t="str">
        <x:f>IF('MEMBRES'!B44="","",'MEMBRES'!B44)</x:f>
      </x:c>
      <x:c r="C44" s="20" t="str">
        <x:f>IF('MEMBRES'!C44="","",'MEMBRES'!C44)</x:f>
      </x:c>
      <x:c r="D44" s="20" t="str">
        <x:f>IF('MEMBRES'!D44="","",'MEMBRES'!D44)</x:f>
      </x:c>
      <x:c r="E44" s="20" t="str">
        <x:f>IF(A44="","",UPPER(TRIM(A44&amp;" "&amp;B44)))</x:f>
      </x:c>
      <x:c r="F44" s="28" t="str">
        <x:f>IF(E44="","",COUNTIFS('REPONSES'!$V$4:$V$2003,E44,'REPONSES'!$D$4:$D$2003,'PARAMETRES'!$B$4,'REPONSES'!$O$4:$O$2003,"Présent"))</x:f>
      </x:c>
      <x:c r="G44" s="28" t="str">
        <x:f>IF(E44="","",COUNTIFS('REPONSES'!$V$4:$V$2003,E44,'REPONSES'!$D$4:$D$2003,'PARAMETRES'!$B$4,'REPONSES'!$O$4:$O$2003,"Absent excusé"))</x:f>
      </x:c>
      <x:c r="H44" s="28" t="str">
        <x:f>IF(E44="","",MAX(0,COUNTIFS('CALENDRIER'!$B$4:$B$503,'PARAMETRES'!$B$4,'CALENDRIER'!$K$4:$K$503,"Oui")-F44-G44))</x:f>
      </x:c>
      <x:c r="I44" s="28" t="str">
        <x:f>IF(E44="","",COUNTIFS('REPONSES'!$V$4:$V$2003,E44,'REPONSES'!$D$4:$D$2003,'PARAMETRES'!$B$4,'REPONSES'!$R$4:$R$2003,"Oui"))</x:f>
      </x:c>
      <x:c r="J44" s="31" t="str">
        <x:f>IF(E44="","",IFERROR(F44/(F44+G44+H44),0))</x:f>
      </x:c>
      <x:c r="K44" s="32" t="str">
        <x:f>IF(E44="","",IFERROR(MAXIFS('REPONSES'!$B$4:$B$2003,'REPONSES'!$V$4:$V$2003,E44,'REPONSES'!$D$4:$D$2003,'PARAMETRES'!$B$4),""))</x:f>
      </x:c>
    </x:row>
    <x:row r="45">
      <x:c r="A45" s="19" t="str">
        <x:f>IF('MEMBRES'!A45="","",'MEMBRES'!A45)</x:f>
      </x:c>
      <x:c r="B45" s="20" t="str">
        <x:f>IF('MEMBRES'!B45="","",'MEMBRES'!B45)</x:f>
      </x:c>
      <x:c r="C45" s="20" t="str">
        <x:f>IF('MEMBRES'!C45="","",'MEMBRES'!C45)</x:f>
      </x:c>
      <x:c r="D45" s="20" t="str">
        <x:f>IF('MEMBRES'!D45="","",'MEMBRES'!D45)</x:f>
      </x:c>
      <x:c r="E45" s="20" t="str">
        <x:f>IF(A45="","",UPPER(TRIM(A45&amp;" "&amp;B45)))</x:f>
      </x:c>
      <x:c r="F45" s="28" t="str">
        <x:f>IF(E45="","",COUNTIFS('REPONSES'!$V$4:$V$2003,E45,'REPONSES'!$D$4:$D$2003,'PARAMETRES'!$B$4,'REPONSES'!$O$4:$O$2003,"Présent"))</x:f>
      </x:c>
      <x:c r="G45" s="28" t="str">
        <x:f>IF(E45="","",COUNTIFS('REPONSES'!$V$4:$V$2003,E45,'REPONSES'!$D$4:$D$2003,'PARAMETRES'!$B$4,'REPONSES'!$O$4:$O$2003,"Absent excusé"))</x:f>
      </x:c>
      <x:c r="H45" s="28" t="str">
        <x:f>IF(E45="","",MAX(0,COUNTIFS('CALENDRIER'!$B$4:$B$503,'PARAMETRES'!$B$4,'CALENDRIER'!$K$4:$K$503,"Oui")-F45-G45))</x:f>
      </x:c>
      <x:c r="I45" s="28" t="str">
        <x:f>IF(E45="","",COUNTIFS('REPONSES'!$V$4:$V$2003,E45,'REPONSES'!$D$4:$D$2003,'PARAMETRES'!$B$4,'REPONSES'!$R$4:$R$2003,"Oui"))</x:f>
      </x:c>
      <x:c r="J45" s="31" t="str">
        <x:f>IF(E45="","",IFERROR(F45/(F45+G45+H45),0))</x:f>
      </x:c>
      <x:c r="K45" s="32" t="str">
        <x:f>IF(E45="","",IFERROR(MAXIFS('REPONSES'!$B$4:$B$2003,'REPONSES'!$V$4:$V$2003,E45,'REPONSES'!$D$4:$D$2003,'PARAMETRES'!$B$4),""))</x:f>
      </x:c>
    </x:row>
    <x:row r="46">
      <x:c r="A46" s="19" t="str">
        <x:f>IF('MEMBRES'!A46="","",'MEMBRES'!A46)</x:f>
      </x:c>
      <x:c r="B46" s="20" t="str">
        <x:f>IF('MEMBRES'!B46="","",'MEMBRES'!B46)</x:f>
      </x:c>
      <x:c r="C46" s="20" t="str">
        <x:f>IF('MEMBRES'!C46="","",'MEMBRES'!C46)</x:f>
      </x:c>
      <x:c r="D46" s="20" t="str">
        <x:f>IF('MEMBRES'!D46="","",'MEMBRES'!D46)</x:f>
      </x:c>
      <x:c r="E46" s="20" t="str">
        <x:f>IF(A46="","",UPPER(TRIM(A46&amp;" "&amp;B46)))</x:f>
      </x:c>
      <x:c r="F46" s="28" t="str">
        <x:f>IF(E46="","",COUNTIFS('REPONSES'!$V$4:$V$2003,E46,'REPONSES'!$D$4:$D$2003,'PARAMETRES'!$B$4,'REPONSES'!$O$4:$O$2003,"Présent"))</x:f>
      </x:c>
      <x:c r="G46" s="28" t="str">
        <x:f>IF(E46="","",COUNTIFS('REPONSES'!$V$4:$V$2003,E46,'REPONSES'!$D$4:$D$2003,'PARAMETRES'!$B$4,'REPONSES'!$O$4:$O$2003,"Absent excusé"))</x:f>
      </x:c>
      <x:c r="H46" s="28" t="str">
        <x:f>IF(E46="","",MAX(0,COUNTIFS('CALENDRIER'!$B$4:$B$503,'PARAMETRES'!$B$4,'CALENDRIER'!$K$4:$K$503,"Oui")-F46-G46))</x:f>
      </x:c>
      <x:c r="I46" s="28" t="str">
        <x:f>IF(E46="","",COUNTIFS('REPONSES'!$V$4:$V$2003,E46,'REPONSES'!$D$4:$D$2003,'PARAMETRES'!$B$4,'REPONSES'!$R$4:$R$2003,"Oui"))</x:f>
      </x:c>
      <x:c r="J46" s="31" t="str">
        <x:f>IF(E46="","",IFERROR(F46/(F46+G46+H46),0))</x:f>
      </x:c>
      <x:c r="K46" s="32" t="str">
        <x:f>IF(E46="","",IFERROR(MAXIFS('REPONSES'!$B$4:$B$2003,'REPONSES'!$V$4:$V$2003,E46,'REPONSES'!$D$4:$D$2003,'PARAMETRES'!$B$4),""))</x:f>
      </x:c>
    </x:row>
    <x:row r="47">
      <x:c r="A47" s="19" t="str">
        <x:f>IF('MEMBRES'!A47="","",'MEMBRES'!A47)</x:f>
      </x:c>
      <x:c r="B47" s="20" t="str">
        <x:f>IF('MEMBRES'!B47="","",'MEMBRES'!B47)</x:f>
      </x:c>
      <x:c r="C47" s="20" t="str">
        <x:f>IF('MEMBRES'!C47="","",'MEMBRES'!C47)</x:f>
      </x:c>
      <x:c r="D47" s="20" t="str">
        <x:f>IF('MEMBRES'!D47="","",'MEMBRES'!D47)</x:f>
      </x:c>
      <x:c r="E47" s="20" t="str">
        <x:f>IF(A47="","",UPPER(TRIM(A47&amp;" "&amp;B47)))</x:f>
      </x:c>
      <x:c r="F47" s="28" t="str">
        <x:f>IF(E47="","",COUNTIFS('REPONSES'!$V$4:$V$2003,E47,'REPONSES'!$D$4:$D$2003,'PARAMETRES'!$B$4,'REPONSES'!$O$4:$O$2003,"Présent"))</x:f>
      </x:c>
      <x:c r="G47" s="28" t="str">
        <x:f>IF(E47="","",COUNTIFS('REPONSES'!$V$4:$V$2003,E47,'REPONSES'!$D$4:$D$2003,'PARAMETRES'!$B$4,'REPONSES'!$O$4:$O$2003,"Absent excusé"))</x:f>
      </x:c>
      <x:c r="H47" s="28" t="str">
        <x:f>IF(E47="","",MAX(0,COUNTIFS('CALENDRIER'!$B$4:$B$503,'PARAMETRES'!$B$4,'CALENDRIER'!$K$4:$K$503,"Oui")-F47-G47))</x:f>
      </x:c>
      <x:c r="I47" s="28" t="str">
        <x:f>IF(E47="","",COUNTIFS('REPONSES'!$V$4:$V$2003,E47,'REPONSES'!$D$4:$D$2003,'PARAMETRES'!$B$4,'REPONSES'!$R$4:$R$2003,"Oui"))</x:f>
      </x:c>
      <x:c r="J47" s="31" t="str">
        <x:f>IF(E47="","",IFERROR(F47/(F47+G47+H47),0))</x:f>
      </x:c>
      <x:c r="K47" s="32" t="str">
        <x:f>IF(E47="","",IFERROR(MAXIFS('REPONSES'!$B$4:$B$2003,'REPONSES'!$V$4:$V$2003,E47,'REPONSES'!$D$4:$D$2003,'PARAMETRES'!$B$4),""))</x:f>
      </x:c>
    </x:row>
    <x:row r="48">
      <x:c r="A48" s="19" t="str">
        <x:f>IF('MEMBRES'!A48="","",'MEMBRES'!A48)</x:f>
      </x:c>
      <x:c r="B48" s="20" t="str">
        <x:f>IF('MEMBRES'!B48="","",'MEMBRES'!B48)</x:f>
      </x:c>
      <x:c r="C48" s="20" t="str">
        <x:f>IF('MEMBRES'!C48="","",'MEMBRES'!C48)</x:f>
      </x:c>
      <x:c r="D48" s="20" t="str">
        <x:f>IF('MEMBRES'!D48="","",'MEMBRES'!D48)</x:f>
      </x:c>
      <x:c r="E48" s="20" t="str">
        <x:f>IF(A48="","",UPPER(TRIM(A48&amp;" "&amp;B48)))</x:f>
      </x:c>
      <x:c r="F48" s="28" t="str">
        <x:f>IF(E48="","",COUNTIFS('REPONSES'!$V$4:$V$2003,E48,'REPONSES'!$D$4:$D$2003,'PARAMETRES'!$B$4,'REPONSES'!$O$4:$O$2003,"Présent"))</x:f>
      </x:c>
      <x:c r="G48" s="28" t="str">
        <x:f>IF(E48="","",COUNTIFS('REPONSES'!$V$4:$V$2003,E48,'REPONSES'!$D$4:$D$2003,'PARAMETRES'!$B$4,'REPONSES'!$O$4:$O$2003,"Absent excusé"))</x:f>
      </x:c>
      <x:c r="H48" s="28" t="str">
        <x:f>IF(E48="","",MAX(0,COUNTIFS('CALENDRIER'!$B$4:$B$503,'PARAMETRES'!$B$4,'CALENDRIER'!$K$4:$K$503,"Oui")-F48-G48))</x:f>
      </x:c>
      <x:c r="I48" s="28" t="str">
        <x:f>IF(E48="","",COUNTIFS('REPONSES'!$V$4:$V$2003,E48,'REPONSES'!$D$4:$D$2003,'PARAMETRES'!$B$4,'REPONSES'!$R$4:$R$2003,"Oui"))</x:f>
      </x:c>
      <x:c r="J48" s="31" t="str">
        <x:f>IF(E48="","",IFERROR(F48/(F48+G48+H48),0))</x:f>
      </x:c>
      <x:c r="K48" s="32" t="str">
        <x:f>IF(E48="","",IFERROR(MAXIFS('REPONSES'!$B$4:$B$2003,'REPONSES'!$V$4:$V$2003,E48,'REPONSES'!$D$4:$D$2003,'PARAMETRES'!$B$4),""))</x:f>
      </x:c>
    </x:row>
    <x:row r="49">
      <x:c r="A49" s="19" t="str">
        <x:f>IF('MEMBRES'!A49="","",'MEMBRES'!A49)</x:f>
      </x:c>
      <x:c r="B49" s="20" t="str">
        <x:f>IF('MEMBRES'!B49="","",'MEMBRES'!B49)</x:f>
      </x:c>
      <x:c r="C49" s="20" t="str">
        <x:f>IF('MEMBRES'!C49="","",'MEMBRES'!C49)</x:f>
      </x:c>
      <x:c r="D49" s="20" t="str">
        <x:f>IF('MEMBRES'!D49="","",'MEMBRES'!D49)</x:f>
      </x:c>
      <x:c r="E49" s="20" t="str">
        <x:f>IF(A49="","",UPPER(TRIM(A49&amp;" "&amp;B49)))</x:f>
      </x:c>
      <x:c r="F49" s="28" t="str">
        <x:f>IF(E49="","",COUNTIFS('REPONSES'!$V$4:$V$2003,E49,'REPONSES'!$D$4:$D$2003,'PARAMETRES'!$B$4,'REPONSES'!$O$4:$O$2003,"Présent"))</x:f>
      </x:c>
      <x:c r="G49" s="28" t="str">
        <x:f>IF(E49="","",COUNTIFS('REPONSES'!$V$4:$V$2003,E49,'REPONSES'!$D$4:$D$2003,'PARAMETRES'!$B$4,'REPONSES'!$O$4:$O$2003,"Absent excusé"))</x:f>
      </x:c>
      <x:c r="H49" s="28" t="str">
        <x:f>IF(E49="","",MAX(0,COUNTIFS('CALENDRIER'!$B$4:$B$503,'PARAMETRES'!$B$4,'CALENDRIER'!$K$4:$K$503,"Oui")-F49-G49))</x:f>
      </x:c>
      <x:c r="I49" s="28" t="str">
        <x:f>IF(E49="","",COUNTIFS('REPONSES'!$V$4:$V$2003,E49,'REPONSES'!$D$4:$D$2003,'PARAMETRES'!$B$4,'REPONSES'!$R$4:$R$2003,"Oui"))</x:f>
      </x:c>
      <x:c r="J49" s="31" t="str">
        <x:f>IF(E49="","",IFERROR(F49/(F49+G49+H49),0))</x:f>
      </x:c>
      <x:c r="K49" s="32" t="str">
        <x:f>IF(E49="","",IFERROR(MAXIFS('REPONSES'!$B$4:$B$2003,'REPONSES'!$V$4:$V$2003,E49,'REPONSES'!$D$4:$D$2003,'PARAMETRES'!$B$4),""))</x:f>
      </x:c>
    </x:row>
    <x:row r="50">
      <x:c r="A50" s="19" t="str">
        <x:f>IF('MEMBRES'!A50="","",'MEMBRES'!A50)</x:f>
      </x:c>
      <x:c r="B50" s="20" t="str">
        <x:f>IF('MEMBRES'!B50="","",'MEMBRES'!B50)</x:f>
      </x:c>
      <x:c r="C50" s="20" t="str">
        <x:f>IF('MEMBRES'!C50="","",'MEMBRES'!C50)</x:f>
      </x:c>
      <x:c r="D50" s="20" t="str">
        <x:f>IF('MEMBRES'!D50="","",'MEMBRES'!D50)</x:f>
      </x:c>
      <x:c r="E50" s="20" t="str">
        <x:f>IF(A50="","",UPPER(TRIM(A50&amp;" "&amp;B50)))</x:f>
      </x:c>
      <x:c r="F50" s="28" t="str">
        <x:f>IF(E50="","",COUNTIFS('REPONSES'!$V$4:$V$2003,E50,'REPONSES'!$D$4:$D$2003,'PARAMETRES'!$B$4,'REPONSES'!$O$4:$O$2003,"Présent"))</x:f>
      </x:c>
      <x:c r="G50" s="28" t="str">
        <x:f>IF(E50="","",COUNTIFS('REPONSES'!$V$4:$V$2003,E50,'REPONSES'!$D$4:$D$2003,'PARAMETRES'!$B$4,'REPONSES'!$O$4:$O$2003,"Absent excusé"))</x:f>
      </x:c>
      <x:c r="H50" s="28" t="str">
        <x:f>IF(E50="","",MAX(0,COUNTIFS('CALENDRIER'!$B$4:$B$503,'PARAMETRES'!$B$4,'CALENDRIER'!$K$4:$K$503,"Oui")-F50-G50))</x:f>
      </x:c>
      <x:c r="I50" s="28" t="str">
        <x:f>IF(E50="","",COUNTIFS('REPONSES'!$V$4:$V$2003,E50,'REPONSES'!$D$4:$D$2003,'PARAMETRES'!$B$4,'REPONSES'!$R$4:$R$2003,"Oui"))</x:f>
      </x:c>
      <x:c r="J50" s="31" t="str">
        <x:f>IF(E50="","",IFERROR(F50/(F50+G50+H50),0))</x:f>
      </x:c>
      <x:c r="K50" s="32" t="str">
        <x:f>IF(E50="","",IFERROR(MAXIFS('REPONSES'!$B$4:$B$2003,'REPONSES'!$V$4:$V$2003,E50,'REPONSES'!$D$4:$D$2003,'PARAMETRES'!$B$4),""))</x:f>
      </x:c>
    </x:row>
    <x:row r="51">
      <x:c r="A51" s="19" t="str">
        <x:f>IF('MEMBRES'!A51="","",'MEMBRES'!A51)</x:f>
      </x:c>
      <x:c r="B51" s="20" t="str">
        <x:f>IF('MEMBRES'!B51="","",'MEMBRES'!B51)</x:f>
      </x:c>
      <x:c r="C51" s="20" t="str">
        <x:f>IF('MEMBRES'!C51="","",'MEMBRES'!C51)</x:f>
      </x:c>
      <x:c r="D51" s="20" t="str">
        <x:f>IF('MEMBRES'!D51="","",'MEMBRES'!D51)</x:f>
      </x:c>
      <x:c r="E51" s="20" t="str">
        <x:f>IF(A51="","",UPPER(TRIM(A51&amp;" "&amp;B51)))</x:f>
      </x:c>
      <x:c r="F51" s="28" t="str">
        <x:f>IF(E51="","",COUNTIFS('REPONSES'!$V$4:$V$2003,E51,'REPONSES'!$D$4:$D$2003,'PARAMETRES'!$B$4,'REPONSES'!$O$4:$O$2003,"Présent"))</x:f>
      </x:c>
      <x:c r="G51" s="28" t="str">
        <x:f>IF(E51="","",COUNTIFS('REPONSES'!$V$4:$V$2003,E51,'REPONSES'!$D$4:$D$2003,'PARAMETRES'!$B$4,'REPONSES'!$O$4:$O$2003,"Absent excusé"))</x:f>
      </x:c>
      <x:c r="H51" s="28" t="str">
        <x:f>IF(E51="","",MAX(0,COUNTIFS('CALENDRIER'!$B$4:$B$503,'PARAMETRES'!$B$4,'CALENDRIER'!$K$4:$K$503,"Oui")-F51-G51))</x:f>
      </x:c>
      <x:c r="I51" s="28" t="str">
        <x:f>IF(E51="","",COUNTIFS('REPONSES'!$V$4:$V$2003,E51,'REPONSES'!$D$4:$D$2003,'PARAMETRES'!$B$4,'REPONSES'!$R$4:$R$2003,"Oui"))</x:f>
      </x:c>
      <x:c r="J51" s="31" t="str">
        <x:f>IF(E51="","",IFERROR(F51/(F51+G51+H51),0))</x:f>
      </x:c>
      <x:c r="K51" s="32" t="str">
        <x:f>IF(E51="","",IFERROR(MAXIFS('REPONSES'!$B$4:$B$2003,'REPONSES'!$V$4:$V$2003,E51,'REPONSES'!$D$4:$D$2003,'PARAMETRES'!$B$4),""))</x:f>
      </x:c>
    </x:row>
    <x:row r="52">
      <x:c r="A52" s="19" t="str">
        <x:f>IF('MEMBRES'!A52="","",'MEMBRES'!A52)</x:f>
      </x:c>
      <x:c r="B52" s="20" t="str">
        <x:f>IF('MEMBRES'!B52="","",'MEMBRES'!B52)</x:f>
      </x:c>
      <x:c r="C52" s="20" t="str">
        <x:f>IF('MEMBRES'!C52="","",'MEMBRES'!C52)</x:f>
      </x:c>
      <x:c r="D52" s="20" t="str">
        <x:f>IF('MEMBRES'!D52="","",'MEMBRES'!D52)</x:f>
      </x:c>
      <x:c r="E52" s="20" t="str">
        <x:f>IF(A52="","",UPPER(TRIM(A52&amp;" "&amp;B52)))</x:f>
      </x:c>
      <x:c r="F52" s="28" t="str">
        <x:f>IF(E52="","",COUNTIFS('REPONSES'!$V$4:$V$2003,E52,'REPONSES'!$D$4:$D$2003,'PARAMETRES'!$B$4,'REPONSES'!$O$4:$O$2003,"Présent"))</x:f>
      </x:c>
      <x:c r="G52" s="28" t="str">
        <x:f>IF(E52="","",COUNTIFS('REPONSES'!$V$4:$V$2003,E52,'REPONSES'!$D$4:$D$2003,'PARAMETRES'!$B$4,'REPONSES'!$O$4:$O$2003,"Absent excusé"))</x:f>
      </x:c>
      <x:c r="H52" s="28" t="str">
        <x:f>IF(E52="","",MAX(0,COUNTIFS('CALENDRIER'!$B$4:$B$503,'PARAMETRES'!$B$4,'CALENDRIER'!$K$4:$K$503,"Oui")-F52-G52))</x:f>
      </x:c>
      <x:c r="I52" s="28" t="str">
        <x:f>IF(E52="","",COUNTIFS('REPONSES'!$V$4:$V$2003,E52,'REPONSES'!$D$4:$D$2003,'PARAMETRES'!$B$4,'REPONSES'!$R$4:$R$2003,"Oui"))</x:f>
      </x:c>
      <x:c r="J52" s="31" t="str">
        <x:f>IF(E52="","",IFERROR(F52/(F52+G52+H52),0))</x:f>
      </x:c>
      <x:c r="K52" s="32" t="str">
        <x:f>IF(E52="","",IFERROR(MAXIFS('REPONSES'!$B$4:$B$2003,'REPONSES'!$V$4:$V$2003,E52,'REPONSES'!$D$4:$D$2003,'PARAMETRES'!$B$4),""))</x:f>
      </x:c>
    </x:row>
    <x:row r="53">
      <x:c r="A53" s="19" t="str">
        <x:f>IF('MEMBRES'!A53="","",'MEMBRES'!A53)</x:f>
      </x:c>
      <x:c r="B53" s="20" t="str">
        <x:f>IF('MEMBRES'!B53="","",'MEMBRES'!B53)</x:f>
      </x:c>
      <x:c r="C53" s="20" t="str">
        <x:f>IF('MEMBRES'!C53="","",'MEMBRES'!C53)</x:f>
      </x:c>
      <x:c r="D53" s="20" t="str">
        <x:f>IF('MEMBRES'!D53="","",'MEMBRES'!D53)</x:f>
      </x:c>
      <x:c r="E53" s="20" t="str">
        <x:f>IF(A53="","",UPPER(TRIM(A53&amp;" "&amp;B53)))</x:f>
      </x:c>
      <x:c r="F53" s="28" t="str">
        <x:f>IF(E53="","",COUNTIFS('REPONSES'!$V$4:$V$2003,E53,'REPONSES'!$D$4:$D$2003,'PARAMETRES'!$B$4,'REPONSES'!$O$4:$O$2003,"Présent"))</x:f>
      </x:c>
      <x:c r="G53" s="28" t="str">
        <x:f>IF(E53="","",COUNTIFS('REPONSES'!$V$4:$V$2003,E53,'REPONSES'!$D$4:$D$2003,'PARAMETRES'!$B$4,'REPONSES'!$O$4:$O$2003,"Absent excusé"))</x:f>
      </x:c>
      <x:c r="H53" s="28" t="str">
        <x:f>IF(E53="","",MAX(0,COUNTIFS('CALENDRIER'!$B$4:$B$503,'PARAMETRES'!$B$4,'CALENDRIER'!$K$4:$K$503,"Oui")-F53-G53))</x:f>
      </x:c>
      <x:c r="I53" s="28" t="str">
        <x:f>IF(E53="","",COUNTIFS('REPONSES'!$V$4:$V$2003,E53,'REPONSES'!$D$4:$D$2003,'PARAMETRES'!$B$4,'REPONSES'!$R$4:$R$2003,"Oui"))</x:f>
      </x:c>
      <x:c r="J53" s="31" t="str">
        <x:f>IF(E53="","",IFERROR(F53/(F53+G53+H53),0))</x:f>
      </x:c>
      <x:c r="K53" s="32" t="str">
        <x:f>IF(E53="","",IFERROR(MAXIFS('REPONSES'!$B$4:$B$2003,'REPONSES'!$V$4:$V$2003,E53,'REPONSES'!$D$4:$D$2003,'PARAMETRES'!$B$4),""))</x:f>
      </x:c>
    </x:row>
    <x:row r="54">
      <x:c r="A54" s="19" t="str">
        <x:f>IF('MEMBRES'!A54="","",'MEMBRES'!A54)</x:f>
      </x:c>
      <x:c r="B54" s="20" t="str">
        <x:f>IF('MEMBRES'!B54="","",'MEMBRES'!B54)</x:f>
      </x:c>
      <x:c r="C54" s="20" t="str">
        <x:f>IF('MEMBRES'!C54="","",'MEMBRES'!C54)</x:f>
      </x:c>
      <x:c r="D54" s="20" t="str">
        <x:f>IF('MEMBRES'!D54="","",'MEMBRES'!D54)</x:f>
      </x:c>
      <x:c r="E54" s="20" t="str">
        <x:f>IF(A54="","",UPPER(TRIM(A54&amp;" "&amp;B54)))</x:f>
      </x:c>
      <x:c r="F54" s="28" t="str">
        <x:f>IF(E54="","",COUNTIFS('REPONSES'!$V$4:$V$2003,E54,'REPONSES'!$D$4:$D$2003,'PARAMETRES'!$B$4,'REPONSES'!$O$4:$O$2003,"Présent"))</x:f>
      </x:c>
      <x:c r="G54" s="28" t="str">
        <x:f>IF(E54="","",COUNTIFS('REPONSES'!$V$4:$V$2003,E54,'REPONSES'!$D$4:$D$2003,'PARAMETRES'!$B$4,'REPONSES'!$O$4:$O$2003,"Absent excusé"))</x:f>
      </x:c>
      <x:c r="H54" s="28" t="str">
        <x:f>IF(E54="","",MAX(0,COUNTIFS('CALENDRIER'!$B$4:$B$503,'PARAMETRES'!$B$4,'CALENDRIER'!$K$4:$K$503,"Oui")-F54-G54))</x:f>
      </x:c>
      <x:c r="I54" s="28" t="str">
        <x:f>IF(E54="","",COUNTIFS('REPONSES'!$V$4:$V$2003,E54,'REPONSES'!$D$4:$D$2003,'PARAMETRES'!$B$4,'REPONSES'!$R$4:$R$2003,"Oui"))</x:f>
      </x:c>
      <x:c r="J54" s="31" t="str">
        <x:f>IF(E54="","",IFERROR(F54/(F54+G54+H54),0))</x:f>
      </x:c>
      <x:c r="K54" s="32" t="str">
        <x:f>IF(E54="","",IFERROR(MAXIFS('REPONSES'!$B$4:$B$2003,'REPONSES'!$V$4:$V$2003,E54,'REPONSES'!$D$4:$D$2003,'PARAMETRES'!$B$4),""))</x:f>
      </x:c>
    </x:row>
    <x:row r="55">
      <x:c r="A55" s="19" t="str">
        <x:f>IF('MEMBRES'!A55="","",'MEMBRES'!A55)</x:f>
      </x:c>
      <x:c r="B55" s="20" t="str">
        <x:f>IF('MEMBRES'!B55="","",'MEMBRES'!B55)</x:f>
      </x:c>
      <x:c r="C55" s="20" t="str">
        <x:f>IF('MEMBRES'!C55="","",'MEMBRES'!C55)</x:f>
      </x:c>
      <x:c r="D55" s="20" t="str">
        <x:f>IF('MEMBRES'!D55="","",'MEMBRES'!D55)</x:f>
      </x:c>
      <x:c r="E55" s="20" t="str">
        <x:f>IF(A55="","",UPPER(TRIM(A55&amp;" "&amp;B55)))</x:f>
      </x:c>
      <x:c r="F55" s="28" t="str">
        <x:f>IF(E55="","",COUNTIFS('REPONSES'!$V$4:$V$2003,E55,'REPONSES'!$D$4:$D$2003,'PARAMETRES'!$B$4,'REPONSES'!$O$4:$O$2003,"Présent"))</x:f>
      </x:c>
      <x:c r="G55" s="28" t="str">
        <x:f>IF(E55="","",COUNTIFS('REPONSES'!$V$4:$V$2003,E55,'REPONSES'!$D$4:$D$2003,'PARAMETRES'!$B$4,'REPONSES'!$O$4:$O$2003,"Absent excusé"))</x:f>
      </x:c>
      <x:c r="H55" s="28" t="str">
        <x:f>IF(E55="","",MAX(0,COUNTIFS('CALENDRIER'!$B$4:$B$503,'PARAMETRES'!$B$4,'CALENDRIER'!$K$4:$K$503,"Oui")-F55-G55))</x:f>
      </x:c>
      <x:c r="I55" s="28" t="str">
        <x:f>IF(E55="","",COUNTIFS('REPONSES'!$V$4:$V$2003,E55,'REPONSES'!$D$4:$D$2003,'PARAMETRES'!$B$4,'REPONSES'!$R$4:$R$2003,"Oui"))</x:f>
      </x:c>
      <x:c r="J55" s="31" t="str">
        <x:f>IF(E55="","",IFERROR(F55/(F55+G55+H55),0))</x:f>
      </x:c>
      <x:c r="K55" s="32" t="str">
        <x:f>IF(E55="","",IFERROR(MAXIFS('REPONSES'!$B$4:$B$2003,'REPONSES'!$V$4:$V$2003,E55,'REPONSES'!$D$4:$D$2003,'PARAMETRES'!$B$4),""))</x:f>
      </x:c>
    </x:row>
    <x:row r="56">
      <x:c r="A56" s="19" t="str">
        <x:f>IF('MEMBRES'!A56="","",'MEMBRES'!A56)</x:f>
      </x:c>
      <x:c r="B56" s="20" t="str">
        <x:f>IF('MEMBRES'!B56="","",'MEMBRES'!B56)</x:f>
      </x:c>
      <x:c r="C56" s="20" t="str">
        <x:f>IF('MEMBRES'!C56="","",'MEMBRES'!C56)</x:f>
      </x:c>
      <x:c r="D56" s="20" t="str">
        <x:f>IF('MEMBRES'!D56="","",'MEMBRES'!D56)</x:f>
      </x:c>
      <x:c r="E56" s="20" t="str">
        <x:f>IF(A56="","",UPPER(TRIM(A56&amp;" "&amp;B56)))</x:f>
      </x:c>
      <x:c r="F56" s="28" t="str">
        <x:f>IF(E56="","",COUNTIFS('REPONSES'!$V$4:$V$2003,E56,'REPONSES'!$D$4:$D$2003,'PARAMETRES'!$B$4,'REPONSES'!$O$4:$O$2003,"Présent"))</x:f>
      </x:c>
      <x:c r="G56" s="28" t="str">
        <x:f>IF(E56="","",COUNTIFS('REPONSES'!$V$4:$V$2003,E56,'REPONSES'!$D$4:$D$2003,'PARAMETRES'!$B$4,'REPONSES'!$O$4:$O$2003,"Absent excusé"))</x:f>
      </x:c>
      <x:c r="H56" s="28" t="str">
        <x:f>IF(E56="","",MAX(0,COUNTIFS('CALENDRIER'!$B$4:$B$503,'PARAMETRES'!$B$4,'CALENDRIER'!$K$4:$K$503,"Oui")-F56-G56))</x:f>
      </x:c>
      <x:c r="I56" s="28" t="str">
        <x:f>IF(E56="","",COUNTIFS('REPONSES'!$V$4:$V$2003,E56,'REPONSES'!$D$4:$D$2003,'PARAMETRES'!$B$4,'REPONSES'!$R$4:$R$2003,"Oui"))</x:f>
      </x:c>
      <x:c r="J56" s="31" t="str">
        <x:f>IF(E56="","",IFERROR(F56/(F56+G56+H56),0))</x:f>
      </x:c>
      <x:c r="K56" s="32" t="str">
        <x:f>IF(E56="","",IFERROR(MAXIFS('REPONSES'!$B$4:$B$2003,'REPONSES'!$V$4:$V$2003,E56,'REPONSES'!$D$4:$D$2003,'PARAMETRES'!$B$4),""))</x:f>
      </x:c>
    </x:row>
    <x:row r="57">
      <x:c r="A57" s="19" t="str">
        <x:f>IF('MEMBRES'!A57="","",'MEMBRES'!A57)</x:f>
      </x:c>
      <x:c r="B57" s="20" t="str">
        <x:f>IF('MEMBRES'!B57="","",'MEMBRES'!B57)</x:f>
      </x:c>
      <x:c r="C57" s="20" t="str">
        <x:f>IF('MEMBRES'!C57="","",'MEMBRES'!C57)</x:f>
      </x:c>
      <x:c r="D57" s="20" t="str">
        <x:f>IF('MEMBRES'!D57="","",'MEMBRES'!D57)</x:f>
      </x:c>
      <x:c r="E57" s="20" t="str">
        <x:f>IF(A57="","",UPPER(TRIM(A57&amp;" "&amp;B57)))</x:f>
      </x:c>
      <x:c r="F57" s="28" t="str">
        <x:f>IF(E57="","",COUNTIFS('REPONSES'!$V$4:$V$2003,E57,'REPONSES'!$D$4:$D$2003,'PARAMETRES'!$B$4,'REPONSES'!$O$4:$O$2003,"Présent"))</x:f>
      </x:c>
      <x:c r="G57" s="28" t="str">
        <x:f>IF(E57="","",COUNTIFS('REPONSES'!$V$4:$V$2003,E57,'REPONSES'!$D$4:$D$2003,'PARAMETRES'!$B$4,'REPONSES'!$O$4:$O$2003,"Absent excusé"))</x:f>
      </x:c>
      <x:c r="H57" s="28" t="str">
        <x:f>IF(E57="","",MAX(0,COUNTIFS('CALENDRIER'!$B$4:$B$503,'PARAMETRES'!$B$4,'CALENDRIER'!$K$4:$K$503,"Oui")-F57-G57))</x:f>
      </x:c>
      <x:c r="I57" s="28" t="str">
        <x:f>IF(E57="","",COUNTIFS('REPONSES'!$V$4:$V$2003,E57,'REPONSES'!$D$4:$D$2003,'PARAMETRES'!$B$4,'REPONSES'!$R$4:$R$2003,"Oui"))</x:f>
      </x:c>
      <x:c r="J57" s="31" t="str">
        <x:f>IF(E57="","",IFERROR(F57/(F57+G57+H57),0))</x:f>
      </x:c>
      <x:c r="K57" s="32" t="str">
        <x:f>IF(E57="","",IFERROR(MAXIFS('REPONSES'!$B$4:$B$2003,'REPONSES'!$V$4:$V$2003,E57,'REPONSES'!$D$4:$D$2003,'PARAMETRES'!$B$4),""))</x:f>
      </x:c>
    </x:row>
    <x:row r="58">
      <x:c r="A58" s="19" t="str">
        <x:f>IF('MEMBRES'!A58="","",'MEMBRES'!A58)</x:f>
      </x:c>
      <x:c r="B58" s="20" t="str">
        <x:f>IF('MEMBRES'!B58="","",'MEMBRES'!B58)</x:f>
      </x:c>
      <x:c r="C58" s="20" t="str">
        <x:f>IF('MEMBRES'!C58="","",'MEMBRES'!C58)</x:f>
      </x:c>
      <x:c r="D58" s="20" t="str">
        <x:f>IF('MEMBRES'!D58="","",'MEMBRES'!D58)</x:f>
      </x:c>
      <x:c r="E58" s="20" t="str">
        <x:f>IF(A58="","",UPPER(TRIM(A58&amp;" "&amp;B58)))</x:f>
      </x:c>
      <x:c r="F58" s="28" t="str">
        <x:f>IF(E58="","",COUNTIFS('REPONSES'!$V$4:$V$2003,E58,'REPONSES'!$D$4:$D$2003,'PARAMETRES'!$B$4,'REPONSES'!$O$4:$O$2003,"Présent"))</x:f>
      </x:c>
      <x:c r="G58" s="28" t="str">
        <x:f>IF(E58="","",COUNTIFS('REPONSES'!$V$4:$V$2003,E58,'REPONSES'!$D$4:$D$2003,'PARAMETRES'!$B$4,'REPONSES'!$O$4:$O$2003,"Absent excusé"))</x:f>
      </x:c>
      <x:c r="H58" s="28" t="str">
        <x:f>IF(E58="","",MAX(0,COUNTIFS('CALENDRIER'!$B$4:$B$503,'PARAMETRES'!$B$4,'CALENDRIER'!$K$4:$K$503,"Oui")-F58-G58))</x:f>
      </x:c>
      <x:c r="I58" s="28" t="str">
        <x:f>IF(E58="","",COUNTIFS('REPONSES'!$V$4:$V$2003,E58,'REPONSES'!$D$4:$D$2003,'PARAMETRES'!$B$4,'REPONSES'!$R$4:$R$2003,"Oui"))</x:f>
      </x:c>
      <x:c r="J58" s="31" t="str">
        <x:f>IF(E58="","",IFERROR(F58/(F58+G58+H58),0))</x:f>
      </x:c>
      <x:c r="K58" s="32" t="str">
        <x:f>IF(E58="","",IFERROR(MAXIFS('REPONSES'!$B$4:$B$2003,'REPONSES'!$V$4:$V$2003,E58,'REPONSES'!$D$4:$D$2003,'PARAMETRES'!$B$4),""))</x:f>
      </x:c>
    </x:row>
    <x:row r="59">
      <x:c r="A59" s="19" t="str">
        <x:f>IF('MEMBRES'!A59="","",'MEMBRES'!A59)</x:f>
      </x:c>
      <x:c r="B59" s="20" t="str">
        <x:f>IF('MEMBRES'!B59="","",'MEMBRES'!B59)</x:f>
      </x:c>
      <x:c r="C59" s="20" t="str">
        <x:f>IF('MEMBRES'!C59="","",'MEMBRES'!C59)</x:f>
      </x:c>
      <x:c r="D59" s="20" t="str">
        <x:f>IF('MEMBRES'!D59="","",'MEMBRES'!D59)</x:f>
      </x:c>
      <x:c r="E59" s="20" t="str">
        <x:f>IF(A59="","",UPPER(TRIM(A59&amp;" "&amp;B59)))</x:f>
      </x:c>
      <x:c r="F59" s="28" t="str">
        <x:f>IF(E59="","",COUNTIFS('REPONSES'!$V$4:$V$2003,E59,'REPONSES'!$D$4:$D$2003,'PARAMETRES'!$B$4,'REPONSES'!$O$4:$O$2003,"Présent"))</x:f>
      </x:c>
      <x:c r="G59" s="28" t="str">
        <x:f>IF(E59="","",COUNTIFS('REPONSES'!$V$4:$V$2003,E59,'REPONSES'!$D$4:$D$2003,'PARAMETRES'!$B$4,'REPONSES'!$O$4:$O$2003,"Absent excusé"))</x:f>
      </x:c>
      <x:c r="H59" s="28" t="str">
        <x:f>IF(E59="","",MAX(0,COUNTIFS('CALENDRIER'!$B$4:$B$503,'PARAMETRES'!$B$4,'CALENDRIER'!$K$4:$K$503,"Oui")-F59-G59))</x:f>
      </x:c>
      <x:c r="I59" s="28" t="str">
        <x:f>IF(E59="","",COUNTIFS('REPONSES'!$V$4:$V$2003,E59,'REPONSES'!$D$4:$D$2003,'PARAMETRES'!$B$4,'REPONSES'!$R$4:$R$2003,"Oui"))</x:f>
      </x:c>
      <x:c r="J59" s="31" t="str">
        <x:f>IF(E59="","",IFERROR(F59/(F59+G59+H59),0))</x:f>
      </x:c>
      <x:c r="K59" s="32" t="str">
        <x:f>IF(E59="","",IFERROR(MAXIFS('REPONSES'!$B$4:$B$2003,'REPONSES'!$V$4:$V$2003,E59,'REPONSES'!$D$4:$D$2003,'PARAMETRES'!$B$4),""))</x:f>
      </x:c>
    </x:row>
    <x:row r="60">
      <x:c r="A60" s="19" t="str">
        <x:f>IF('MEMBRES'!A60="","",'MEMBRES'!A60)</x:f>
      </x:c>
      <x:c r="B60" s="20" t="str">
        <x:f>IF('MEMBRES'!B60="","",'MEMBRES'!B60)</x:f>
      </x:c>
      <x:c r="C60" s="20" t="str">
        <x:f>IF('MEMBRES'!C60="","",'MEMBRES'!C60)</x:f>
      </x:c>
      <x:c r="D60" s="20" t="str">
        <x:f>IF('MEMBRES'!D60="","",'MEMBRES'!D60)</x:f>
      </x:c>
      <x:c r="E60" s="20" t="str">
        <x:f>IF(A60="","",UPPER(TRIM(A60&amp;" "&amp;B60)))</x:f>
      </x:c>
      <x:c r="F60" s="28" t="str">
        <x:f>IF(E60="","",COUNTIFS('REPONSES'!$V$4:$V$2003,E60,'REPONSES'!$D$4:$D$2003,'PARAMETRES'!$B$4,'REPONSES'!$O$4:$O$2003,"Présent"))</x:f>
      </x:c>
      <x:c r="G60" s="28" t="str">
        <x:f>IF(E60="","",COUNTIFS('REPONSES'!$V$4:$V$2003,E60,'REPONSES'!$D$4:$D$2003,'PARAMETRES'!$B$4,'REPONSES'!$O$4:$O$2003,"Absent excusé"))</x:f>
      </x:c>
      <x:c r="H60" s="28" t="str">
        <x:f>IF(E60="","",MAX(0,COUNTIFS('CALENDRIER'!$B$4:$B$503,'PARAMETRES'!$B$4,'CALENDRIER'!$K$4:$K$503,"Oui")-F60-G60))</x:f>
      </x:c>
      <x:c r="I60" s="28" t="str">
        <x:f>IF(E60="","",COUNTIFS('REPONSES'!$V$4:$V$2003,E60,'REPONSES'!$D$4:$D$2003,'PARAMETRES'!$B$4,'REPONSES'!$R$4:$R$2003,"Oui"))</x:f>
      </x:c>
      <x:c r="J60" s="31" t="str">
        <x:f>IF(E60="","",IFERROR(F60/(F60+G60+H60),0))</x:f>
      </x:c>
      <x:c r="K60" s="32" t="str">
        <x:f>IF(E60="","",IFERROR(MAXIFS('REPONSES'!$B$4:$B$2003,'REPONSES'!$V$4:$V$2003,E60,'REPONSES'!$D$4:$D$2003,'PARAMETRES'!$B$4),""))</x:f>
      </x:c>
    </x:row>
    <x:row r="61">
      <x:c r="A61" s="19" t="str">
        <x:f>IF('MEMBRES'!A61="","",'MEMBRES'!A61)</x:f>
      </x:c>
      <x:c r="B61" s="20" t="str">
        <x:f>IF('MEMBRES'!B61="","",'MEMBRES'!B61)</x:f>
      </x:c>
      <x:c r="C61" s="20" t="str">
        <x:f>IF('MEMBRES'!C61="","",'MEMBRES'!C61)</x:f>
      </x:c>
      <x:c r="D61" s="20" t="str">
        <x:f>IF('MEMBRES'!D61="","",'MEMBRES'!D61)</x:f>
      </x:c>
      <x:c r="E61" s="20" t="str">
        <x:f>IF(A61="","",UPPER(TRIM(A61&amp;" "&amp;B61)))</x:f>
      </x:c>
      <x:c r="F61" s="28" t="str">
        <x:f>IF(E61="","",COUNTIFS('REPONSES'!$V$4:$V$2003,E61,'REPONSES'!$D$4:$D$2003,'PARAMETRES'!$B$4,'REPONSES'!$O$4:$O$2003,"Présent"))</x:f>
      </x:c>
      <x:c r="G61" s="28" t="str">
        <x:f>IF(E61="","",COUNTIFS('REPONSES'!$V$4:$V$2003,E61,'REPONSES'!$D$4:$D$2003,'PARAMETRES'!$B$4,'REPONSES'!$O$4:$O$2003,"Absent excusé"))</x:f>
      </x:c>
      <x:c r="H61" s="28" t="str">
        <x:f>IF(E61="","",MAX(0,COUNTIFS('CALENDRIER'!$B$4:$B$503,'PARAMETRES'!$B$4,'CALENDRIER'!$K$4:$K$503,"Oui")-F61-G61))</x:f>
      </x:c>
      <x:c r="I61" s="28" t="str">
        <x:f>IF(E61="","",COUNTIFS('REPONSES'!$V$4:$V$2003,E61,'REPONSES'!$D$4:$D$2003,'PARAMETRES'!$B$4,'REPONSES'!$R$4:$R$2003,"Oui"))</x:f>
      </x:c>
      <x:c r="J61" s="31" t="str">
        <x:f>IF(E61="","",IFERROR(F61/(F61+G61+H61),0))</x:f>
      </x:c>
      <x:c r="K61" s="32" t="str">
        <x:f>IF(E61="","",IFERROR(MAXIFS('REPONSES'!$B$4:$B$2003,'REPONSES'!$V$4:$V$2003,E61,'REPONSES'!$D$4:$D$2003,'PARAMETRES'!$B$4),""))</x:f>
      </x:c>
    </x:row>
    <x:row r="62">
      <x:c r="A62" s="19" t="str">
        <x:f>IF('MEMBRES'!A62="","",'MEMBRES'!A62)</x:f>
      </x:c>
      <x:c r="B62" s="20" t="str">
        <x:f>IF('MEMBRES'!B62="","",'MEMBRES'!B62)</x:f>
      </x:c>
      <x:c r="C62" s="20" t="str">
        <x:f>IF('MEMBRES'!C62="","",'MEMBRES'!C62)</x:f>
      </x:c>
      <x:c r="D62" s="20" t="str">
        <x:f>IF('MEMBRES'!D62="","",'MEMBRES'!D62)</x:f>
      </x:c>
      <x:c r="E62" s="20" t="str">
        <x:f>IF(A62="","",UPPER(TRIM(A62&amp;" "&amp;B62)))</x:f>
      </x:c>
      <x:c r="F62" s="28" t="str">
        <x:f>IF(E62="","",COUNTIFS('REPONSES'!$V$4:$V$2003,E62,'REPONSES'!$D$4:$D$2003,'PARAMETRES'!$B$4,'REPONSES'!$O$4:$O$2003,"Présent"))</x:f>
      </x:c>
      <x:c r="G62" s="28" t="str">
        <x:f>IF(E62="","",COUNTIFS('REPONSES'!$V$4:$V$2003,E62,'REPONSES'!$D$4:$D$2003,'PARAMETRES'!$B$4,'REPONSES'!$O$4:$O$2003,"Absent excusé"))</x:f>
      </x:c>
      <x:c r="H62" s="28" t="str">
        <x:f>IF(E62="","",MAX(0,COUNTIFS('CALENDRIER'!$B$4:$B$503,'PARAMETRES'!$B$4,'CALENDRIER'!$K$4:$K$503,"Oui")-F62-G62))</x:f>
      </x:c>
      <x:c r="I62" s="28" t="str">
        <x:f>IF(E62="","",COUNTIFS('REPONSES'!$V$4:$V$2003,E62,'REPONSES'!$D$4:$D$2003,'PARAMETRES'!$B$4,'REPONSES'!$R$4:$R$2003,"Oui"))</x:f>
      </x:c>
      <x:c r="J62" s="31" t="str">
        <x:f>IF(E62="","",IFERROR(F62/(F62+G62+H62),0))</x:f>
      </x:c>
      <x:c r="K62" s="32" t="str">
        <x:f>IF(E62="","",IFERROR(MAXIFS('REPONSES'!$B$4:$B$2003,'REPONSES'!$V$4:$V$2003,E62,'REPONSES'!$D$4:$D$2003,'PARAMETRES'!$B$4),""))</x:f>
      </x:c>
    </x:row>
    <x:row r="63">
      <x:c r="A63" s="19" t="str">
        <x:f>IF('MEMBRES'!A63="","",'MEMBRES'!A63)</x:f>
      </x:c>
      <x:c r="B63" s="20" t="str">
        <x:f>IF('MEMBRES'!B63="","",'MEMBRES'!B63)</x:f>
      </x:c>
      <x:c r="C63" s="20" t="str">
        <x:f>IF('MEMBRES'!C63="","",'MEMBRES'!C63)</x:f>
      </x:c>
      <x:c r="D63" s="20" t="str">
        <x:f>IF('MEMBRES'!D63="","",'MEMBRES'!D63)</x:f>
      </x:c>
      <x:c r="E63" s="20" t="str">
        <x:f>IF(A63="","",UPPER(TRIM(A63&amp;" "&amp;B63)))</x:f>
      </x:c>
      <x:c r="F63" s="28" t="str">
        <x:f>IF(E63="","",COUNTIFS('REPONSES'!$V$4:$V$2003,E63,'REPONSES'!$D$4:$D$2003,'PARAMETRES'!$B$4,'REPONSES'!$O$4:$O$2003,"Présent"))</x:f>
      </x:c>
      <x:c r="G63" s="28" t="str">
        <x:f>IF(E63="","",COUNTIFS('REPONSES'!$V$4:$V$2003,E63,'REPONSES'!$D$4:$D$2003,'PARAMETRES'!$B$4,'REPONSES'!$O$4:$O$2003,"Absent excusé"))</x:f>
      </x:c>
      <x:c r="H63" s="28" t="str">
        <x:f>IF(E63="","",MAX(0,COUNTIFS('CALENDRIER'!$B$4:$B$503,'PARAMETRES'!$B$4,'CALENDRIER'!$K$4:$K$503,"Oui")-F63-G63))</x:f>
      </x:c>
      <x:c r="I63" s="28" t="str">
        <x:f>IF(E63="","",COUNTIFS('REPONSES'!$V$4:$V$2003,E63,'REPONSES'!$D$4:$D$2003,'PARAMETRES'!$B$4,'REPONSES'!$R$4:$R$2003,"Oui"))</x:f>
      </x:c>
      <x:c r="J63" s="31" t="str">
        <x:f>IF(E63="","",IFERROR(F63/(F63+G63+H63),0))</x:f>
      </x:c>
      <x:c r="K63" s="32" t="str">
        <x:f>IF(E63="","",IFERROR(MAXIFS('REPONSES'!$B$4:$B$2003,'REPONSES'!$V$4:$V$2003,E63,'REPONSES'!$D$4:$D$2003,'PARAMETRES'!$B$4),""))</x:f>
      </x:c>
    </x:row>
    <x:row r="64">
      <x:c r="A64" s="19" t="str">
        <x:f>IF('MEMBRES'!A64="","",'MEMBRES'!A64)</x:f>
      </x:c>
      <x:c r="B64" s="20" t="str">
        <x:f>IF('MEMBRES'!B64="","",'MEMBRES'!B64)</x:f>
      </x:c>
      <x:c r="C64" s="20" t="str">
        <x:f>IF('MEMBRES'!C64="","",'MEMBRES'!C64)</x:f>
      </x:c>
      <x:c r="D64" s="20" t="str">
        <x:f>IF('MEMBRES'!D64="","",'MEMBRES'!D64)</x:f>
      </x:c>
      <x:c r="E64" s="20" t="str">
        <x:f>IF(A64="","",UPPER(TRIM(A64&amp;" "&amp;B64)))</x:f>
      </x:c>
      <x:c r="F64" s="28" t="str">
        <x:f>IF(E64="","",COUNTIFS('REPONSES'!$V$4:$V$2003,E64,'REPONSES'!$D$4:$D$2003,'PARAMETRES'!$B$4,'REPONSES'!$O$4:$O$2003,"Présent"))</x:f>
      </x:c>
      <x:c r="G64" s="28" t="str">
        <x:f>IF(E64="","",COUNTIFS('REPONSES'!$V$4:$V$2003,E64,'REPONSES'!$D$4:$D$2003,'PARAMETRES'!$B$4,'REPONSES'!$O$4:$O$2003,"Absent excusé"))</x:f>
      </x:c>
      <x:c r="H64" s="28" t="str">
        <x:f>IF(E64="","",MAX(0,COUNTIFS('CALENDRIER'!$B$4:$B$503,'PARAMETRES'!$B$4,'CALENDRIER'!$K$4:$K$503,"Oui")-F64-G64))</x:f>
      </x:c>
      <x:c r="I64" s="28" t="str">
        <x:f>IF(E64="","",COUNTIFS('REPONSES'!$V$4:$V$2003,E64,'REPONSES'!$D$4:$D$2003,'PARAMETRES'!$B$4,'REPONSES'!$R$4:$R$2003,"Oui"))</x:f>
      </x:c>
      <x:c r="J64" s="31" t="str">
        <x:f>IF(E64="","",IFERROR(F64/(F64+G64+H64),0))</x:f>
      </x:c>
      <x:c r="K64" s="32" t="str">
        <x:f>IF(E64="","",IFERROR(MAXIFS('REPONSES'!$B$4:$B$2003,'REPONSES'!$V$4:$V$2003,E64,'REPONSES'!$D$4:$D$2003,'PARAMETRES'!$B$4),""))</x:f>
      </x:c>
    </x:row>
    <x:row r="65">
      <x:c r="A65" s="19" t="str">
        <x:f>IF('MEMBRES'!A65="","",'MEMBRES'!A65)</x:f>
      </x:c>
      <x:c r="B65" s="20" t="str">
        <x:f>IF('MEMBRES'!B65="","",'MEMBRES'!B65)</x:f>
      </x:c>
      <x:c r="C65" s="20" t="str">
        <x:f>IF('MEMBRES'!C65="","",'MEMBRES'!C65)</x:f>
      </x:c>
      <x:c r="D65" s="20" t="str">
        <x:f>IF('MEMBRES'!D65="","",'MEMBRES'!D65)</x:f>
      </x:c>
      <x:c r="E65" s="20" t="str">
        <x:f>IF(A65="","",UPPER(TRIM(A65&amp;" "&amp;B65)))</x:f>
      </x:c>
      <x:c r="F65" s="28" t="str">
        <x:f>IF(E65="","",COUNTIFS('REPONSES'!$V$4:$V$2003,E65,'REPONSES'!$D$4:$D$2003,'PARAMETRES'!$B$4,'REPONSES'!$O$4:$O$2003,"Présent"))</x:f>
      </x:c>
      <x:c r="G65" s="28" t="str">
        <x:f>IF(E65="","",COUNTIFS('REPONSES'!$V$4:$V$2003,E65,'REPONSES'!$D$4:$D$2003,'PARAMETRES'!$B$4,'REPONSES'!$O$4:$O$2003,"Absent excusé"))</x:f>
      </x:c>
      <x:c r="H65" s="28" t="str">
        <x:f>IF(E65="","",MAX(0,COUNTIFS('CALENDRIER'!$B$4:$B$503,'PARAMETRES'!$B$4,'CALENDRIER'!$K$4:$K$503,"Oui")-F65-G65))</x:f>
      </x:c>
      <x:c r="I65" s="28" t="str">
        <x:f>IF(E65="","",COUNTIFS('REPONSES'!$V$4:$V$2003,E65,'REPONSES'!$D$4:$D$2003,'PARAMETRES'!$B$4,'REPONSES'!$R$4:$R$2003,"Oui"))</x:f>
      </x:c>
      <x:c r="J65" s="31" t="str">
        <x:f>IF(E65="","",IFERROR(F65/(F65+G65+H65),0))</x:f>
      </x:c>
      <x:c r="K65" s="32" t="str">
        <x:f>IF(E65="","",IFERROR(MAXIFS('REPONSES'!$B$4:$B$2003,'REPONSES'!$V$4:$V$2003,E65,'REPONSES'!$D$4:$D$2003,'PARAMETRES'!$B$4),""))</x:f>
      </x:c>
    </x:row>
    <x:row r="66">
      <x:c r="A66" s="19" t="str">
        <x:f>IF('MEMBRES'!A66="","",'MEMBRES'!A66)</x:f>
      </x:c>
      <x:c r="B66" s="20" t="str">
        <x:f>IF('MEMBRES'!B66="","",'MEMBRES'!B66)</x:f>
      </x:c>
      <x:c r="C66" s="20" t="str">
        <x:f>IF('MEMBRES'!C66="","",'MEMBRES'!C66)</x:f>
      </x:c>
      <x:c r="D66" s="20" t="str">
        <x:f>IF('MEMBRES'!D66="","",'MEMBRES'!D66)</x:f>
      </x:c>
      <x:c r="E66" s="20" t="str">
        <x:f>IF(A66="","",UPPER(TRIM(A66&amp;" "&amp;B66)))</x:f>
      </x:c>
      <x:c r="F66" s="28" t="str">
        <x:f>IF(E66="","",COUNTIFS('REPONSES'!$V$4:$V$2003,E66,'REPONSES'!$D$4:$D$2003,'PARAMETRES'!$B$4,'REPONSES'!$O$4:$O$2003,"Présent"))</x:f>
      </x:c>
      <x:c r="G66" s="28" t="str">
        <x:f>IF(E66="","",COUNTIFS('REPONSES'!$V$4:$V$2003,E66,'REPONSES'!$D$4:$D$2003,'PARAMETRES'!$B$4,'REPONSES'!$O$4:$O$2003,"Absent excusé"))</x:f>
      </x:c>
      <x:c r="H66" s="28" t="str">
        <x:f>IF(E66="","",MAX(0,COUNTIFS('CALENDRIER'!$B$4:$B$503,'PARAMETRES'!$B$4,'CALENDRIER'!$K$4:$K$503,"Oui")-F66-G66))</x:f>
      </x:c>
      <x:c r="I66" s="28" t="str">
        <x:f>IF(E66="","",COUNTIFS('REPONSES'!$V$4:$V$2003,E66,'REPONSES'!$D$4:$D$2003,'PARAMETRES'!$B$4,'REPONSES'!$R$4:$R$2003,"Oui"))</x:f>
      </x:c>
      <x:c r="J66" s="31" t="str">
        <x:f>IF(E66="","",IFERROR(F66/(F66+G66+H66),0))</x:f>
      </x:c>
      <x:c r="K66" s="32" t="str">
        <x:f>IF(E66="","",IFERROR(MAXIFS('REPONSES'!$B$4:$B$2003,'REPONSES'!$V$4:$V$2003,E66,'REPONSES'!$D$4:$D$2003,'PARAMETRES'!$B$4),""))</x:f>
      </x:c>
    </x:row>
    <x:row r="67">
      <x:c r="A67" s="19" t="str">
        <x:f>IF('MEMBRES'!A67="","",'MEMBRES'!A67)</x:f>
      </x:c>
      <x:c r="B67" s="20" t="str">
        <x:f>IF('MEMBRES'!B67="","",'MEMBRES'!B67)</x:f>
      </x:c>
      <x:c r="C67" s="20" t="str">
        <x:f>IF('MEMBRES'!C67="","",'MEMBRES'!C67)</x:f>
      </x:c>
      <x:c r="D67" s="20" t="str">
        <x:f>IF('MEMBRES'!D67="","",'MEMBRES'!D67)</x:f>
      </x:c>
      <x:c r="E67" s="20" t="str">
        <x:f>IF(A67="","",UPPER(TRIM(A67&amp;" "&amp;B67)))</x:f>
      </x:c>
      <x:c r="F67" s="28" t="str">
        <x:f>IF(E67="","",COUNTIFS('REPONSES'!$V$4:$V$2003,E67,'REPONSES'!$D$4:$D$2003,'PARAMETRES'!$B$4,'REPONSES'!$O$4:$O$2003,"Présent"))</x:f>
      </x:c>
      <x:c r="G67" s="28" t="str">
        <x:f>IF(E67="","",COUNTIFS('REPONSES'!$V$4:$V$2003,E67,'REPONSES'!$D$4:$D$2003,'PARAMETRES'!$B$4,'REPONSES'!$O$4:$O$2003,"Absent excusé"))</x:f>
      </x:c>
      <x:c r="H67" s="28" t="str">
        <x:f>IF(E67="","",MAX(0,COUNTIFS('CALENDRIER'!$B$4:$B$503,'PARAMETRES'!$B$4,'CALENDRIER'!$K$4:$K$503,"Oui")-F67-G67))</x:f>
      </x:c>
      <x:c r="I67" s="28" t="str">
        <x:f>IF(E67="","",COUNTIFS('REPONSES'!$V$4:$V$2003,E67,'REPONSES'!$D$4:$D$2003,'PARAMETRES'!$B$4,'REPONSES'!$R$4:$R$2003,"Oui"))</x:f>
      </x:c>
      <x:c r="J67" s="31" t="str">
        <x:f>IF(E67="","",IFERROR(F67/(F67+G67+H67),0))</x:f>
      </x:c>
      <x:c r="K67" s="32" t="str">
        <x:f>IF(E67="","",IFERROR(MAXIFS('REPONSES'!$B$4:$B$2003,'REPONSES'!$V$4:$V$2003,E67,'REPONSES'!$D$4:$D$2003,'PARAMETRES'!$B$4),""))</x:f>
      </x:c>
    </x:row>
    <x:row r="68">
      <x:c r="A68" s="19" t="str">
        <x:f>IF('MEMBRES'!A68="","",'MEMBRES'!A68)</x:f>
      </x:c>
      <x:c r="B68" s="20" t="str">
        <x:f>IF('MEMBRES'!B68="","",'MEMBRES'!B68)</x:f>
      </x:c>
      <x:c r="C68" s="20" t="str">
        <x:f>IF('MEMBRES'!C68="","",'MEMBRES'!C68)</x:f>
      </x:c>
      <x:c r="D68" s="20" t="str">
        <x:f>IF('MEMBRES'!D68="","",'MEMBRES'!D68)</x:f>
      </x:c>
      <x:c r="E68" s="20" t="str">
        <x:f>IF(A68="","",UPPER(TRIM(A68&amp;" "&amp;B68)))</x:f>
      </x:c>
      <x:c r="F68" s="28" t="str">
        <x:f>IF(E68="","",COUNTIFS('REPONSES'!$V$4:$V$2003,E68,'REPONSES'!$D$4:$D$2003,'PARAMETRES'!$B$4,'REPONSES'!$O$4:$O$2003,"Présent"))</x:f>
      </x:c>
      <x:c r="G68" s="28" t="str">
        <x:f>IF(E68="","",COUNTIFS('REPONSES'!$V$4:$V$2003,E68,'REPONSES'!$D$4:$D$2003,'PARAMETRES'!$B$4,'REPONSES'!$O$4:$O$2003,"Absent excusé"))</x:f>
      </x:c>
      <x:c r="H68" s="28" t="str">
        <x:f>IF(E68="","",MAX(0,COUNTIFS('CALENDRIER'!$B$4:$B$503,'PARAMETRES'!$B$4,'CALENDRIER'!$K$4:$K$503,"Oui")-F68-G68))</x:f>
      </x:c>
      <x:c r="I68" s="28" t="str">
        <x:f>IF(E68="","",COUNTIFS('REPONSES'!$V$4:$V$2003,E68,'REPONSES'!$D$4:$D$2003,'PARAMETRES'!$B$4,'REPONSES'!$R$4:$R$2003,"Oui"))</x:f>
      </x:c>
      <x:c r="J68" s="31" t="str">
        <x:f>IF(E68="","",IFERROR(F68/(F68+G68+H68),0))</x:f>
      </x:c>
      <x:c r="K68" s="32" t="str">
        <x:f>IF(E68="","",IFERROR(MAXIFS('REPONSES'!$B$4:$B$2003,'REPONSES'!$V$4:$V$2003,E68,'REPONSES'!$D$4:$D$2003,'PARAMETRES'!$B$4),""))</x:f>
      </x:c>
    </x:row>
    <x:row r="69">
      <x:c r="A69" s="19" t="str">
        <x:f>IF('MEMBRES'!A69="","",'MEMBRES'!A69)</x:f>
      </x:c>
      <x:c r="B69" s="20" t="str">
        <x:f>IF('MEMBRES'!B69="","",'MEMBRES'!B69)</x:f>
      </x:c>
      <x:c r="C69" s="20" t="str">
        <x:f>IF('MEMBRES'!C69="","",'MEMBRES'!C69)</x:f>
      </x:c>
      <x:c r="D69" s="20" t="str">
        <x:f>IF('MEMBRES'!D69="","",'MEMBRES'!D69)</x:f>
      </x:c>
      <x:c r="E69" s="20" t="str">
        <x:f>IF(A69="","",UPPER(TRIM(A69&amp;" "&amp;B69)))</x:f>
      </x:c>
      <x:c r="F69" s="28" t="str">
        <x:f>IF(E69="","",COUNTIFS('REPONSES'!$V$4:$V$2003,E69,'REPONSES'!$D$4:$D$2003,'PARAMETRES'!$B$4,'REPONSES'!$O$4:$O$2003,"Présent"))</x:f>
      </x:c>
      <x:c r="G69" s="28" t="str">
        <x:f>IF(E69="","",COUNTIFS('REPONSES'!$V$4:$V$2003,E69,'REPONSES'!$D$4:$D$2003,'PARAMETRES'!$B$4,'REPONSES'!$O$4:$O$2003,"Absent excusé"))</x:f>
      </x:c>
      <x:c r="H69" s="28" t="str">
        <x:f>IF(E69="","",MAX(0,COUNTIFS('CALENDRIER'!$B$4:$B$503,'PARAMETRES'!$B$4,'CALENDRIER'!$K$4:$K$503,"Oui")-F69-G69))</x:f>
      </x:c>
      <x:c r="I69" s="28" t="str">
        <x:f>IF(E69="","",COUNTIFS('REPONSES'!$V$4:$V$2003,E69,'REPONSES'!$D$4:$D$2003,'PARAMETRES'!$B$4,'REPONSES'!$R$4:$R$2003,"Oui"))</x:f>
      </x:c>
      <x:c r="J69" s="31" t="str">
        <x:f>IF(E69="","",IFERROR(F69/(F69+G69+H69),0))</x:f>
      </x:c>
      <x:c r="K69" s="32" t="str">
        <x:f>IF(E69="","",IFERROR(MAXIFS('REPONSES'!$B$4:$B$2003,'REPONSES'!$V$4:$V$2003,E69,'REPONSES'!$D$4:$D$2003,'PARAMETRES'!$B$4),""))</x:f>
      </x:c>
    </x:row>
    <x:row r="70">
      <x:c r="A70" s="19" t="str">
        <x:f>IF('MEMBRES'!A70="","",'MEMBRES'!A70)</x:f>
      </x:c>
      <x:c r="B70" s="20" t="str">
        <x:f>IF('MEMBRES'!B70="","",'MEMBRES'!B70)</x:f>
      </x:c>
      <x:c r="C70" s="20" t="str">
        <x:f>IF('MEMBRES'!C70="","",'MEMBRES'!C70)</x:f>
      </x:c>
      <x:c r="D70" s="20" t="str">
        <x:f>IF('MEMBRES'!D70="","",'MEMBRES'!D70)</x:f>
      </x:c>
      <x:c r="E70" s="20" t="str">
        <x:f>IF(A70="","",UPPER(TRIM(A70&amp;" "&amp;B70)))</x:f>
      </x:c>
      <x:c r="F70" s="28" t="str">
        <x:f>IF(E70="","",COUNTIFS('REPONSES'!$V$4:$V$2003,E70,'REPONSES'!$D$4:$D$2003,'PARAMETRES'!$B$4,'REPONSES'!$O$4:$O$2003,"Présent"))</x:f>
      </x:c>
      <x:c r="G70" s="28" t="str">
        <x:f>IF(E70="","",COUNTIFS('REPONSES'!$V$4:$V$2003,E70,'REPONSES'!$D$4:$D$2003,'PARAMETRES'!$B$4,'REPONSES'!$O$4:$O$2003,"Absent excusé"))</x:f>
      </x:c>
      <x:c r="H70" s="28" t="str">
        <x:f>IF(E70="","",MAX(0,COUNTIFS('CALENDRIER'!$B$4:$B$503,'PARAMETRES'!$B$4,'CALENDRIER'!$K$4:$K$503,"Oui")-F70-G70))</x:f>
      </x:c>
      <x:c r="I70" s="28" t="str">
        <x:f>IF(E70="","",COUNTIFS('REPONSES'!$V$4:$V$2003,E70,'REPONSES'!$D$4:$D$2003,'PARAMETRES'!$B$4,'REPONSES'!$R$4:$R$2003,"Oui"))</x:f>
      </x:c>
      <x:c r="J70" s="31" t="str">
        <x:f>IF(E70="","",IFERROR(F70/(F70+G70+H70),0))</x:f>
      </x:c>
      <x:c r="K70" s="32" t="str">
        <x:f>IF(E70="","",IFERROR(MAXIFS('REPONSES'!$B$4:$B$2003,'REPONSES'!$V$4:$V$2003,E70,'REPONSES'!$D$4:$D$2003,'PARAMETRES'!$B$4),""))</x:f>
      </x:c>
    </x:row>
    <x:row r="71">
      <x:c r="A71" s="19" t="str">
        <x:f>IF('MEMBRES'!A71="","",'MEMBRES'!A71)</x:f>
      </x:c>
      <x:c r="B71" s="20" t="str">
        <x:f>IF('MEMBRES'!B71="","",'MEMBRES'!B71)</x:f>
      </x:c>
      <x:c r="C71" s="20" t="str">
        <x:f>IF('MEMBRES'!C71="","",'MEMBRES'!C71)</x:f>
      </x:c>
      <x:c r="D71" s="20" t="str">
        <x:f>IF('MEMBRES'!D71="","",'MEMBRES'!D71)</x:f>
      </x:c>
      <x:c r="E71" s="20" t="str">
        <x:f>IF(A71="","",UPPER(TRIM(A71&amp;" "&amp;B71)))</x:f>
      </x:c>
      <x:c r="F71" s="28" t="str">
        <x:f>IF(E71="","",COUNTIFS('REPONSES'!$V$4:$V$2003,E71,'REPONSES'!$D$4:$D$2003,'PARAMETRES'!$B$4,'REPONSES'!$O$4:$O$2003,"Présent"))</x:f>
      </x:c>
      <x:c r="G71" s="28" t="str">
        <x:f>IF(E71="","",COUNTIFS('REPONSES'!$V$4:$V$2003,E71,'REPONSES'!$D$4:$D$2003,'PARAMETRES'!$B$4,'REPONSES'!$O$4:$O$2003,"Absent excusé"))</x:f>
      </x:c>
      <x:c r="H71" s="28" t="str">
        <x:f>IF(E71="","",MAX(0,COUNTIFS('CALENDRIER'!$B$4:$B$503,'PARAMETRES'!$B$4,'CALENDRIER'!$K$4:$K$503,"Oui")-F71-G71))</x:f>
      </x:c>
      <x:c r="I71" s="28" t="str">
        <x:f>IF(E71="","",COUNTIFS('REPONSES'!$V$4:$V$2003,E71,'REPONSES'!$D$4:$D$2003,'PARAMETRES'!$B$4,'REPONSES'!$R$4:$R$2003,"Oui"))</x:f>
      </x:c>
      <x:c r="J71" s="31" t="str">
        <x:f>IF(E71="","",IFERROR(F71/(F71+G71+H71),0))</x:f>
      </x:c>
      <x:c r="K71" s="32" t="str">
        <x:f>IF(E71="","",IFERROR(MAXIFS('REPONSES'!$B$4:$B$2003,'REPONSES'!$V$4:$V$2003,E71,'REPONSES'!$D$4:$D$2003,'PARAMETRES'!$B$4),""))</x:f>
      </x:c>
    </x:row>
    <x:row r="72">
      <x:c r="A72" s="19" t="str">
        <x:f>IF('MEMBRES'!A72="","",'MEMBRES'!A72)</x:f>
      </x:c>
      <x:c r="B72" s="20" t="str">
        <x:f>IF('MEMBRES'!B72="","",'MEMBRES'!B72)</x:f>
      </x:c>
      <x:c r="C72" s="20" t="str">
        <x:f>IF('MEMBRES'!C72="","",'MEMBRES'!C72)</x:f>
      </x:c>
      <x:c r="D72" s="20" t="str">
        <x:f>IF('MEMBRES'!D72="","",'MEMBRES'!D72)</x:f>
      </x:c>
      <x:c r="E72" s="20" t="str">
        <x:f>IF(A72="","",UPPER(TRIM(A72&amp;" "&amp;B72)))</x:f>
      </x:c>
      <x:c r="F72" s="28" t="str">
        <x:f>IF(E72="","",COUNTIFS('REPONSES'!$V$4:$V$2003,E72,'REPONSES'!$D$4:$D$2003,'PARAMETRES'!$B$4,'REPONSES'!$O$4:$O$2003,"Présent"))</x:f>
      </x:c>
      <x:c r="G72" s="28" t="str">
        <x:f>IF(E72="","",COUNTIFS('REPONSES'!$V$4:$V$2003,E72,'REPONSES'!$D$4:$D$2003,'PARAMETRES'!$B$4,'REPONSES'!$O$4:$O$2003,"Absent excusé"))</x:f>
      </x:c>
      <x:c r="H72" s="28" t="str">
        <x:f>IF(E72="","",MAX(0,COUNTIFS('CALENDRIER'!$B$4:$B$503,'PARAMETRES'!$B$4,'CALENDRIER'!$K$4:$K$503,"Oui")-F72-G72))</x:f>
      </x:c>
      <x:c r="I72" s="28" t="str">
        <x:f>IF(E72="","",COUNTIFS('REPONSES'!$V$4:$V$2003,E72,'REPONSES'!$D$4:$D$2003,'PARAMETRES'!$B$4,'REPONSES'!$R$4:$R$2003,"Oui"))</x:f>
      </x:c>
      <x:c r="J72" s="31" t="str">
        <x:f>IF(E72="","",IFERROR(F72/(F72+G72+H72),0))</x:f>
      </x:c>
      <x:c r="K72" s="32" t="str">
        <x:f>IF(E72="","",IFERROR(MAXIFS('REPONSES'!$B$4:$B$2003,'REPONSES'!$V$4:$V$2003,E72,'REPONSES'!$D$4:$D$2003,'PARAMETRES'!$B$4),""))</x:f>
      </x:c>
    </x:row>
    <x:row r="73">
      <x:c r="A73" s="19" t="str">
        <x:f>IF('MEMBRES'!A73="","",'MEMBRES'!A73)</x:f>
      </x:c>
      <x:c r="B73" s="20" t="str">
        <x:f>IF('MEMBRES'!B73="","",'MEMBRES'!B73)</x:f>
      </x:c>
      <x:c r="C73" s="20" t="str">
        <x:f>IF('MEMBRES'!C73="","",'MEMBRES'!C73)</x:f>
      </x:c>
      <x:c r="D73" s="20" t="str">
        <x:f>IF('MEMBRES'!D73="","",'MEMBRES'!D73)</x:f>
      </x:c>
      <x:c r="E73" s="20" t="str">
        <x:f>IF(A73="","",UPPER(TRIM(A73&amp;" "&amp;B73)))</x:f>
      </x:c>
      <x:c r="F73" s="28" t="str">
        <x:f>IF(E73="","",COUNTIFS('REPONSES'!$V$4:$V$2003,E73,'REPONSES'!$D$4:$D$2003,'PARAMETRES'!$B$4,'REPONSES'!$O$4:$O$2003,"Présent"))</x:f>
      </x:c>
      <x:c r="G73" s="28" t="str">
        <x:f>IF(E73="","",COUNTIFS('REPONSES'!$V$4:$V$2003,E73,'REPONSES'!$D$4:$D$2003,'PARAMETRES'!$B$4,'REPONSES'!$O$4:$O$2003,"Absent excusé"))</x:f>
      </x:c>
      <x:c r="H73" s="28" t="str">
        <x:f>IF(E73="","",MAX(0,COUNTIFS('CALENDRIER'!$B$4:$B$503,'PARAMETRES'!$B$4,'CALENDRIER'!$K$4:$K$503,"Oui")-F73-G73))</x:f>
      </x:c>
      <x:c r="I73" s="28" t="str">
        <x:f>IF(E73="","",COUNTIFS('REPONSES'!$V$4:$V$2003,E73,'REPONSES'!$D$4:$D$2003,'PARAMETRES'!$B$4,'REPONSES'!$R$4:$R$2003,"Oui"))</x:f>
      </x:c>
      <x:c r="J73" s="31" t="str">
        <x:f>IF(E73="","",IFERROR(F73/(F73+G73+H73),0))</x:f>
      </x:c>
      <x:c r="K73" s="32" t="str">
        <x:f>IF(E73="","",IFERROR(MAXIFS('REPONSES'!$B$4:$B$2003,'REPONSES'!$V$4:$V$2003,E73,'REPONSES'!$D$4:$D$2003,'PARAMETRES'!$B$4),""))</x:f>
      </x:c>
    </x:row>
    <x:row r="74">
      <x:c r="A74" s="19" t="str">
        <x:f>IF('MEMBRES'!A74="","",'MEMBRES'!A74)</x:f>
      </x:c>
      <x:c r="B74" s="20" t="str">
        <x:f>IF('MEMBRES'!B74="","",'MEMBRES'!B74)</x:f>
      </x:c>
      <x:c r="C74" s="20" t="str">
        <x:f>IF('MEMBRES'!C74="","",'MEMBRES'!C74)</x:f>
      </x:c>
      <x:c r="D74" s="20" t="str">
        <x:f>IF('MEMBRES'!D74="","",'MEMBRES'!D74)</x:f>
      </x:c>
      <x:c r="E74" s="20" t="str">
        <x:f>IF(A74="","",UPPER(TRIM(A74&amp;" "&amp;B74)))</x:f>
      </x:c>
      <x:c r="F74" s="28" t="str">
        <x:f>IF(E74="","",COUNTIFS('REPONSES'!$V$4:$V$2003,E74,'REPONSES'!$D$4:$D$2003,'PARAMETRES'!$B$4,'REPONSES'!$O$4:$O$2003,"Présent"))</x:f>
      </x:c>
      <x:c r="G74" s="28" t="str">
        <x:f>IF(E74="","",COUNTIFS('REPONSES'!$V$4:$V$2003,E74,'REPONSES'!$D$4:$D$2003,'PARAMETRES'!$B$4,'REPONSES'!$O$4:$O$2003,"Absent excusé"))</x:f>
      </x:c>
      <x:c r="H74" s="28" t="str">
        <x:f>IF(E74="","",MAX(0,COUNTIFS('CALENDRIER'!$B$4:$B$503,'PARAMETRES'!$B$4,'CALENDRIER'!$K$4:$K$503,"Oui")-F74-G74))</x:f>
      </x:c>
      <x:c r="I74" s="28" t="str">
        <x:f>IF(E74="","",COUNTIFS('REPONSES'!$V$4:$V$2003,E74,'REPONSES'!$D$4:$D$2003,'PARAMETRES'!$B$4,'REPONSES'!$R$4:$R$2003,"Oui"))</x:f>
      </x:c>
      <x:c r="J74" s="31" t="str">
        <x:f>IF(E74="","",IFERROR(F74/(F74+G74+H74),0))</x:f>
      </x:c>
      <x:c r="K74" s="32" t="str">
        <x:f>IF(E74="","",IFERROR(MAXIFS('REPONSES'!$B$4:$B$2003,'REPONSES'!$V$4:$V$2003,E74,'REPONSES'!$D$4:$D$2003,'PARAMETRES'!$B$4),""))</x:f>
      </x:c>
    </x:row>
    <x:row r="75">
      <x:c r="A75" s="19" t="str">
        <x:f>IF('MEMBRES'!A75="","",'MEMBRES'!A75)</x:f>
      </x:c>
      <x:c r="B75" s="20" t="str">
        <x:f>IF('MEMBRES'!B75="","",'MEMBRES'!B75)</x:f>
      </x:c>
      <x:c r="C75" s="20" t="str">
        <x:f>IF('MEMBRES'!C75="","",'MEMBRES'!C75)</x:f>
      </x:c>
      <x:c r="D75" s="20" t="str">
        <x:f>IF('MEMBRES'!D75="","",'MEMBRES'!D75)</x:f>
      </x:c>
      <x:c r="E75" s="20" t="str">
        <x:f>IF(A75="","",UPPER(TRIM(A75&amp;" "&amp;B75)))</x:f>
      </x:c>
      <x:c r="F75" s="28" t="str">
        <x:f>IF(E75="","",COUNTIFS('REPONSES'!$V$4:$V$2003,E75,'REPONSES'!$D$4:$D$2003,'PARAMETRES'!$B$4,'REPONSES'!$O$4:$O$2003,"Présent"))</x:f>
      </x:c>
      <x:c r="G75" s="28" t="str">
        <x:f>IF(E75="","",COUNTIFS('REPONSES'!$V$4:$V$2003,E75,'REPONSES'!$D$4:$D$2003,'PARAMETRES'!$B$4,'REPONSES'!$O$4:$O$2003,"Absent excusé"))</x:f>
      </x:c>
      <x:c r="H75" s="28" t="str">
        <x:f>IF(E75="","",MAX(0,COUNTIFS('CALENDRIER'!$B$4:$B$503,'PARAMETRES'!$B$4,'CALENDRIER'!$K$4:$K$503,"Oui")-F75-G75))</x:f>
      </x:c>
      <x:c r="I75" s="28" t="str">
        <x:f>IF(E75="","",COUNTIFS('REPONSES'!$V$4:$V$2003,E75,'REPONSES'!$D$4:$D$2003,'PARAMETRES'!$B$4,'REPONSES'!$R$4:$R$2003,"Oui"))</x:f>
      </x:c>
      <x:c r="J75" s="31" t="str">
        <x:f>IF(E75="","",IFERROR(F75/(F75+G75+H75),0))</x:f>
      </x:c>
      <x:c r="K75" s="32" t="str">
        <x:f>IF(E75="","",IFERROR(MAXIFS('REPONSES'!$B$4:$B$2003,'REPONSES'!$V$4:$V$2003,E75,'REPONSES'!$D$4:$D$2003,'PARAMETRES'!$B$4),""))</x:f>
      </x:c>
    </x:row>
    <x:row r="76">
      <x:c r="A76" s="19" t="str">
        <x:f>IF('MEMBRES'!A76="","",'MEMBRES'!A76)</x:f>
      </x:c>
      <x:c r="B76" s="20" t="str">
        <x:f>IF('MEMBRES'!B76="","",'MEMBRES'!B76)</x:f>
      </x:c>
      <x:c r="C76" s="20" t="str">
        <x:f>IF('MEMBRES'!C76="","",'MEMBRES'!C76)</x:f>
      </x:c>
      <x:c r="D76" s="20" t="str">
        <x:f>IF('MEMBRES'!D76="","",'MEMBRES'!D76)</x:f>
      </x:c>
      <x:c r="E76" s="20" t="str">
        <x:f>IF(A76="","",UPPER(TRIM(A76&amp;" "&amp;B76)))</x:f>
      </x:c>
      <x:c r="F76" s="28" t="str">
        <x:f>IF(E76="","",COUNTIFS('REPONSES'!$V$4:$V$2003,E76,'REPONSES'!$D$4:$D$2003,'PARAMETRES'!$B$4,'REPONSES'!$O$4:$O$2003,"Présent"))</x:f>
      </x:c>
      <x:c r="G76" s="28" t="str">
        <x:f>IF(E76="","",COUNTIFS('REPONSES'!$V$4:$V$2003,E76,'REPONSES'!$D$4:$D$2003,'PARAMETRES'!$B$4,'REPONSES'!$O$4:$O$2003,"Absent excusé"))</x:f>
      </x:c>
      <x:c r="H76" s="28" t="str">
        <x:f>IF(E76="","",MAX(0,COUNTIFS('CALENDRIER'!$B$4:$B$503,'PARAMETRES'!$B$4,'CALENDRIER'!$K$4:$K$503,"Oui")-F76-G76))</x:f>
      </x:c>
      <x:c r="I76" s="28" t="str">
        <x:f>IF(E76="","",COUNTIFS('REPONSES'!$V$4:$V$2003,E76,'REPONSES'!$D$4:$D$2003,'PARAMETRES'!$B$4,'REPONSES'!$R$4:$R$2003,"Oui"))</x:f>
      </x:c>
      <x:c r="J76" s="31" t="str">
        <x:f>IF(E76="","",IFERROR(F76/(F76+G76+H76),0))</x:f>
      </x:c>
      <x:c r="K76" s="32" t="str">
        <x:f>IF(E76="","",IFERROR(MAXIFS('REPONSES'!$B$4:$B$2003,'REPONSES'!$V$4:$V$2003,E76,'REPONSES'!$D$4:$D$2003,'PARAMETRES'!$B$4),""))</x:f>
      </x:c>
    </x:row>
    <x:row r="77">
      <x:c r="A77" s="19" t="str">
        <x:f>IF('MEMBRES'!A77="","",'MEMBRES'!A77)</x:f>
      </x:c>
      <x:c r="B77" s="20" t="str">
        <x:f>IF('MEMBRES'!B77="","",'MEMBRES'!B77)</x:f>
      </x:c>
      <x:c r="C77" s="20" t="str">
        <x:f>IF('MEMBRES'!C77="","",'MEMBRES'!C77)</x:f>
      </x:c>
      <x:c r="D77" s="20" t="str">
        <x:f>IF('MEMBRES'!D77="","",'MEMBRES'!D77)</x:f>
      </x:c>
      <x:c r="E77" s="20" t="str">
        <x:f>IF(A77="","",UPPER(TRIM(A77&amp;" "&amp;B77)))</x:f>
      </x:c>
      <x:c r="F77" s="28" t="str">
        <x:f>IF(E77="","",COUNTIFS('REPONSES'!$V$4:$V$2003,E77,'REPONSES'!$D$4:$D$2003,'PARAMETRES'!$B$4,'REPONSES'!$O$4:$O$2003,"Présent"))</x:f>
      </x:c>
      <x:c r="G77" s="28" t="str">
        <x:f>IF(E77="","",COUNTIFS('REPONSES'!$V$4:$V$2003,E77,'REPONSES'!$D$4:$D$2003,'PARAMETRES'!$B$4,'REPONSES'!$O$4:$O$2003,"Absent excusé"))</x:f>
      </x:c>
      <x:c r="H77" s="28" t="str">
        <x:f>IF(E77="","",MAX(0,COUNTIFS('CALENDRIER'!$B$4:$B$503,'PARAMETRES'!$B$4,'CALENDRIER'!$K$4:$K$503,"Oui")-F77-G77))</x:f>
      </x:c>
      <x:c r="I77" s="28" t="str">
        <x:f>IF(E77="","",COUNTIFS('REPONSES'!$V$4:$V$2003,E77,'REPONSES'!$D$4:$D$2003,'PARAMETRES'!$B$4,'REPONSES'!$R$4:$R$2003,"Oui"))</x:f>
      </x:c>
      <x:c r="J77" s="31" t="str">
        <x:f>IF(E77="","",IFERROR(F77/(F77+G77+H77),0))</x:f>
      </x:c>
      <x:c r="K77" s="32" t="str">
        <x:f>IF(E77="","",IFERROR(MAXIFS('REPONSES'!$B$4:$B$2003,'REPONSES'!$V$4:$V$2003,E77,'REPONSES'!$D$4:$D$2003,'PARAMETRES'!$B$4),""))</x:f>
      </x:c>
    </x:row>
    <x:row r="78">
      <x:c r="A78" s="19" t="str">
        <x:f>IF('MEMBRES'!A78="","",'MEMBRES'!A78)</x:f>
      </x:c>
      <x:c r="B78" s="20" t="str">
        <x:f>IF('MEMBRES'!B78="","",'MEMBRES'!B78)</x:f>
      </x:c>
      <x:c r="C78" s="20" t="str">
        <x:f>IF('MEMBRES'!C78="","",'MEMBRES'!C78)</x:f>
      </x:c>
      <x:c r="D78" s="20" t="str">
        <x:f>IF('MEMBRES'!D78="","",'MEMBRES'!D78)</x:f>
      </x:c>
      <x:c r="E78" s="20" t="str">
        <x:f>IF(A78="","",UPPER(TRIM(A78&amp;" "&amp;B78)))</x:f>
      </x:c>
      <x:c r="F78" s="28" t="str">
        <x:f>IF(E78="","",COUNTIFS('REPONSES'!$V$4:$V$2003,E78,'REPONSES'!$D$4:$D$2003,'PARAMETRES'!$B$4,'REPONSES'!$O$4:$O$2003,"Présent"))</x:f>
      </x:c>
      <x:c r="G78" s="28" t="str">
        <x:f>IF(E78="","",COUNTIFS('REPONSES'!$V$4:$V$2003,E78,'REPONSES'!$D$4:$D$2003,'PARAMETRES'!$B$4,'REPONSES'!$O$4:$O$2003,"Absent excusé"))</x:f>
      </x:c>
      <x:c r="H78" s="28" t="str">
        <x:f>IF(E78="","",MAX(0,COUNTIFS('CALENDRIER'!$B$4:$B$503,'PARAMETRES'!$B$4,'CALENDRIER'!$K$4:$K$503,"Oui")-F78-G78))</x:f>
      </x:c>
      <x:c r="I78" s="28" t="str">
        <x:f>IF(E78="","",COUNTIFS('REPONSES'!$V$4:$V$2003,E78,'REPONSES'!$D$4:$D$2003,'PARAMETRES'!$B$4,'REPONSES'!$R$4:$R$2003,"Oui"))</x:f>
      </x:c>
      <x:c r="J78" s="31" t="str">
        <x:f>IF(E78="","",IFERROR(F78/(F78+G78+H78),0))</x:f>
      </x:c>
      <x:c r="K78" s="32" t="str">
        <x:f>IF(E78="","",IFERROR(MAXIFS('REPONSES'!$B$4:$B$2003,'REPONSES'!$V$4:$V$2003,E78,'REPONSES'!$D$4:$D$2003,'PARAMETRES'!$B$4),""))</x:f>
      </x:c>
    </x:row>
    <x:row r="79">
      <x:c r="A79" s="19" t="str">
        <x:f>IF('MEMBRES'!A79="","",'MEMBRES'!A79)</x:f>
      </x:c>
      <x:c r="B79" s="20" t="str">
        <x:f>IF('MEMBRES'!B79="","",'MEMBRES'!B79)</x:f>
      </x:c>
      <x:c r="C79" s="20" t="str">
        <x:f>IF('MEMBRES'!C79="","",'MEMBRES'!C79)</x:f>
      </x:c>
      <x:c r="D79" s="20" t="str">
        <x:f>IF('MEMBRES'!D79="","",'MEMBRES'!D79)</x:f>
      </x:c>
      <x:c r="E79" s="20" t="str">
        <x:f>IF(A79="","",UPPER(TRIM(A79&amp;" "&amp;B79)))</x:f>
      </x:c>
      <x:c r="F79" s="28" t="str">
        <x:f>IF(E79="","",COUNTIFS('REPONSES'!$V$4:$V$2003,E79,'REPONSES'!$D$4:$D$2003,'PARAMETRES'!$B$4,'REPONSES'!$O$4:$O$2003,"Présent"))</x:f>
      </x:c>
      <x:c r="G79" s="28" t="str">
        <x:f>IF(E79="","",COUNTIFS('REPONSES'!$V$4:$V$2003,E79,'REPONSES'!$D$4:$D$2003,'PARAMETRES'!$B$4,'REPONSES'!$O$4:$O$2003,"Absent excusé"))</x:f>
      </x:c>
      <x:c r="H79" s="28" t="str">
        <x:f>IF(E79="","",MAX(0,COUNTIFS('CALENDRIER'!$B$4:$B$503,'PARAMETRES'!$B$4,'CALENDRIER'!$K$4:$K$503,"Oui")-F79-G79))</x:f>
      </x:c>
      <x:c r="I79" s="28" t="str">
        <x:f>IF(E79="","",COUNTIFS('REPONSES'!$V$4:$V$2003,E79,'REPONSES'!$D$4:$D$2003,'PARAMETRES'!$B$4,'REPONSES'!$R$4:$R$2003,"Oui"))</x:f>
      </x:c>
      <x:c r="J79" s="31" t="str">
        <x:f>IF(E79="","",IFERROR(F79/(F79+G79+H79),0))</x:f>
      </x:c>
      <x:c r="K79" s="32" t="str">
        <x:f>IF(E79="","",IFERROR(MAXIFS('REPONSES'!$B$4:$B$2003,'REPONSES'!$V$4:$V$2003,E79,'REPONSES'!$D$4:$D$2003,'PARAMETRES'!$B$4),""))</x:f>
      </x:c>
    </x:row>
    <x:row r="80">
      <x:c r="A80" s="19" t="str">
        <x:f>IF('MEMBRES'!A80="","",'MEMBRES'!A80)</x:f>
      </x:c>
      <x:c r="B80" s="20" t="str">
        <x:f>IF('MEMBRES'!B80="","",'MEMBRES'!B80)</x:f>
      </x:c>
      <x:c r="C80" s="20" t="str">
        <x:f>IF('MEMBRES'!C80="","",'MEMBRES'!C80)</x:f>
      </x:c>
      <x:c r="D80" s="20" t="str">
        <x:f>IF('MEMBRES'!D80="","",'MEMBRES'!D80)</x:f>
      </x:c>
      <x:c r="E80" s="20" t="str">
        <x:f>IF(A80="","",UPPER(TRIM(A80&amp;" "&amp;B80)))</x:f>
      </x:c>
      <x:c r="F80" s="28" t="str">
        <x:f>IF(E80="","",COUNTIFS('REPONSES'!$V$4:$V$2003,E80,'REPONSES'!$D$4:$D$2003,'PARAMETRES'!$B$4,'REPONSES'!$O$4:$O$2003,"Présent"))</x:f>
      </x:c>
      <x:c r="G80" s="28" t="str">
        <x:f>IF(E80="","",COUNTIFS('REPONSES'!$V$4:$V$2003,E80,'REPONSES'!$D$4:$D$2003,'PARAMETRES'!$B$4,'REPONSES'!$O$4:$O$2003,"Absent excusé"))</x:f>
      </x:c>
      <x:c r="H80" s="28" t="str">
        <x:f>IF(E80="","",MAX(0,COUNTIFS('CALENDRIER'!$B$4:$B$503,'PARAMETRES'!$B$4,'CALENDRIER'!$K$4:$K$503,"Oui")-F80-G80))</x:f>
      </x:c>
      <x:c r="I80" s="28" t="str">
        <x:f>IF(E80="","",COUNTIFS('REPONSES'!$V$4:$V$2003,E80,'REPONSES'!$D$4:$D$2003,'PARAMETRES'!$B$4,'REPONSES'!$R$4:$R$2003,"Oui"))</x:f>
      </x:c>
      <x:c r="J80" s="31" t="str">
        <x:f>IF(E80="","",IFERROR(F80/(F80+G80+H80),0))</x:f>
      </x:c>
      <x:c r="K80" s="32" t="str">
        <x:f>IF(E80="","",IFERROR(MAXIFS('REPONSES'!$B$4:$B$2003,'REPONSES'!$V$4:$V$2003,E80,'REPONSES'!$D$4:$D$2003,'PARAMETRES'!$B$4),""))</x:f>
      </x:c>
    </x:row>
    <x:row r="81">
      <x:c r="A81" s="19" t="str">
        <x:f>IF('MEMBRES'!A81="","",'MEMBRES'!A81)</x:f>
      </x:c>
      <x:c r="B81" s="20" t="str">
        <x:f>IF('MEMBRES'!B81="","",'MEMBRES'!B81)</x:f>
      </x:c>
      <x:c r="C81" s="20" t="str">
        <x:f>IF('MEMBRES'!C81="","",'MEMBRES'!C81)</x:f>
      </x:c>
      <x:c r="D81" s="20" t="str">
        <x:f>IF('MEMBRES'!D81="","",'MEMBRES'!D81)</x:f>
      </x:c>
      <x:c r="E81" s="20" t="str">
        <x:f>IF(A81="","",UPPER(TRIM(A81&amp;" "&amp;B81)))</x:f>
      </x:c>
      <x:c r="F81" s="28" t="str">
        <x:f>IF(E81="","",COUNTIFS('REPONSES'!$V$4:$V$2003,E81,'REPONSES'!$D$4:$D$2003,'PARAMETRES'!$B$4,'REPONSES'!$O$4:$O$2003,"Présent"))</x:f>
      </x:c>
      <x:c r="G81" s="28" t="str">
        <x:f>IF(E81="","",COUNTIFS('REPONSES'!$V$4:$V$2003,E81,'REPONSES'!$D$4:$D$2003,'PARAMETRES'!$B$4,'REPONSES'!$O$4:$O$2003,"Absent excusé"))</x:f>
      </x:c>
      <x:c r="H81" s="28" t="str">
        <x:f>IF(E81="","",MAX(0,COUNTIFS('CALENDRIER'!$B$4:$B$503,'PARAMETRES'!$B$4,'CALENDRIER'!$K$4:$K$503,"Oui")-F81-G81))</x:f>
      </x:c>
      <x:c r="I81" s="28" t="str">
        <x:f>IF(E81="","",COUNTIFS('REPONSES'!$V$4:$V$2003,E81,'REPONSES'!$D$4:$D$2003,'PARAMETRES'!$B$4,'REPONSES'!$R$4:$R$2003,"Oui"))</x:f>
      </x:c>
      <x:c r="J81" s="31" t="str">
        <x:f>IF(E81="","",IFERROR(F81/(F81+G81+H81),0))</x:f>
      </x:c>
      <x:c r="K81" s="32" t="str">
        <x:f>IF(E81="","",IFERROR(MAXIFS('REPONSES'!$B$4:$B$2003,'REPONSES'!$V$4:$V$2003,E81,'REPONSES'!$D$4:$D$2003,'PARAMETRES'!$B$4),""))</x:f>
      </x:c>
    </x:row>
    <x:row r="82">
      <x:c r="A82" s="19" t="str">
        <x:f>IF('MEMBRES'!A82="","",'MEMBRES'!A82)</x:f>
      </x:c>
      <x:c r="B82" s="20" t="str">
        <x:f>IF('MEMBRES'!B82="","",'MEMBRES'!B82)</x:f>
      </x:c>
      <x:c r="C82" s="20" t="str">
        <x:f>IF('MEMBRES'!C82="","",'MEMBRES'!C82)</x:f>
      </x:c>
      <x:c r="D82" s="20" t="str">
        <x:f>IF('MEMBRES'!D82="","",'MEMBRES'!D82)</x:f>
      </x:c>
      <x:c r="E82" s="20" t="str">
        <x:f>IF(A82="","",UPPER(TRIM(A82&amp;" "&amp;B82)))</x:f>
      </x:c>
      <x:c r="F82" s="28" t="str">
        <x:f>IF(E82="","",COUNTIFS('REPONSES'!$V$4:$V$2003,E82,'REPONSES'!$D$4:$D$2003,'PARAMETRES'!$B$4,'REPONSES'!$O$4:$O$2003,"Présent"))</x:f>
      </x:c>
      <x:c r="G82" s="28" t="str">
        <x:f>IF(E82="","",COUNTIFS('REPONSES'!$V$4:$V$2003,E82,'REPONSES'!$D$4:$D$2003,'PARAMETRES'!$B$4,'REPONSES'!$O$4:$O$2003,"Absent excusé"))</x:f>
      </x:c>
      <x:c r="H82" s="28" t="str">
        <x:f>IF(E82="","",MAX(0,COUNTIFS('CALENDRIER'!$B$4:$B$503,'PARAMETRES'!$B$4,'CALENDRIER'!$K$4:$K$503,"Oui")-F82-G82))</x:f>
      </x:c>
      <x:c r="I82" s="28" t="str">
        <x:f>IF(E82="","",COUNTIFS('REPONSES'!$V$4:$V$2003,E82,'REPONSES'!$D$4:$D$2003,'PARAMETRES'!$B$4,'REPONSES'!$R$4:$R$2003,"Oui"))</x:f>
      </x:c>
      <x:c r="J82" s="31" t="str">
        <x:f>IF(E82="","",IFERROR(F82/(F82+G82+H82),0))</x:f>
      </x:c>
      <x:c r="K82" s="32" t="str">
        <x:f>IF(E82="","",IFERROR(MAXIFS('REPONSES'!$B$4:$B$2003,'REPONSES'!$V$4:$V$2003,E82,'REPONSES'!$D$4:$D$2003,'PARAMETRES'!$B$4),""))</x:f>
      </x:c>
    </x:row>
    <x:row r="83">
      <x:c r="A83" s="19" t="str">
        <x:f>IF('MEMBRES'!A83="","",'MEMBRES'!A83)</x:f>
      </x:c>
      <x:c r="B83" s="20" t="str">
        <x:f>IF('MEMBRES'!B83="","",'MEMBRES'!B83)</x:f>
      </x:c>
      <x:c r="C83" s="20" t="str">
        <x:f>IF('MEMBRES'!C83="","",'MEMBRES'!C83)</x:f>
      </x:c>
      <x:c r="D83" s="20" t="str">
        <x:f>IF('MEMBRES'!D83="","",'MEMBRES'!D83)</x:f>
      </x:c>
      <x:c r="E83" s="20" t="str">
        <x:f>IF(A83="","",UPPER(TRIM(A83&amp;" "&amp;B83)))</x:f>
      </x:c>
      <x:c r="F83" s="28" t="str">
        <x:f>IF(E83="","",COUNTIFS('REPONSES'!$V$4:$V$2003,E83,'REPONSES'!$D$4:$D$2003,'PARAMETRES'!$B$4,'REPONSES'!$O$4:$O$2003,"Présent"))</x:f>
      </x:c>
      <x:c r="G83" s="28" t="str">
        <x:f>IF(E83="","",COUNTIFS('REPONSES'!$V$4:$V$2003,E83,'REPONSES'!$D$4:$D$2003,'PARAMETRES'!$B$4,'REPONSES'!$O$4:$O$2003,"Absent excusé"))</x:f>
      </x:c>
      <x:c r="H83" s="28" t="str">
        <x:f>IF(E83="","",MAX(0,COUNTIFS('CALENDRIER'!$B$4:$B$503,'PARAMETRES'!$B$4,'CALENDRIER'!$K$4:$K$503,"Oui")-F83-G83))</x:f>
      </x:c>
      <x:c r="I83" s="28" t="str">
        <x:f>IF(E83="","",COUNTIFS('REPONSES'!$V$4:$V$2003,E83,'REPONSES'!$D$4:$D$2003,'PARAMETRES'!$B$4,'REPONSES'!$R$4:$R$2003,"Oui"))</x:f>
      </x:c>
      <x:c r="J83" s="31" t="str">
        <x:f>IF(E83="","",IFERROR(F83/(F83+G83+H83),0))</x:f>
      </x:c>
      <x:c r="K83" s="32" t="str">
        <x:f>IF(E83="","",IFERROR(MAXIFS('REPONSES'!$B$4:$B$2003,'REPONSES'!$V$4:$V$2003,E83,'REPONSES'!$D$4:$D$2003,'PARAMETRES'!$B$4),""))</x:f>
      </x:c>
    </x:row>
    <x:row r="84">
      <x:c r="A84" s="19" t="str">
        <x:f>IF('MEMBRES'!A84="","",'MEMBRES'!A84)</x:f>
      </x:c>
      <x:c r="B84" s="20" t="str">
        <x:f>IF('MEMBRES'!B84="","",'MEMBRES'!B84)</x:f>
      </x:c>
      <x:c r="C84" s="20" t="str">
        <x:f>IF('MEMBRES'!C84="","",'MEMBRES'!C84)</x:f>
      </x:c>
      <x:c r="D84" s="20" t="str">
        <x:f>IF('MEMBRES'!D84="","",'MEMBRES'!D84)</x:f>
      </x:c>
      <x:c r="E84" s="20" t="str">
        <x:f>IF(A84="","",UPPER(TRIM(A84&amp;" "&amp;B84)))</x:f>
      </x:c>
      <x:c r="F84" s="28" t="str">
        <x:f>IF(E84="","",COUNTIFS('REPONSES'!$V$4:$V$2003,E84,'REPONSES'!$D$4:$D$2003,'PARAMETRES'!$B$4,'REPONSES'!$O$4:$O$2003,"Présent"))</x:f>
      </x:c>
      <x:c r="G84" s="28" t="str">
        <x:f>IF(E84="","",COUNTIFS('REPONSES'!$V$4:$V$2003,E84,'REPONSES'!$D$4:$D$2003,'PARAMETRES'!$B$4,'REPONSES'!$O$4:$O$2003,"Absent excusé"))</x:f>
      </x:c>
      <x:c r="H84" s="28" t="str">
        <x:f>IF(E84="","",MAX(0,COUNTIFS('CALENDRIER'!$B$4:$B$503,'PARAMETRES'!$B$4,'CALENDRIER'!$K$4:$K$503,"Oui")-F84-G84))</x:f>
      </x:c>
      <x:c r="I84" s="28" t="str">
        <x:f>IF(E84="","",COUNTIFS('REPONSES'!$V$4:$V$2003,E84,'REPONSES'!$D$4:$D$2003,'PARAMETRES'!$B$4,'REPONSES'!$R$4:$R$2003,"Oui"))</x:f>
      </x:c>
      <x:c r="J84" s="31" t="str">
        <x:f>IF(E84="","",IFERROR(F84/(F84+G84+H84),0))</x:f>
      </x:c>
      <x:c r="K84" s="32" t="str">
        <x:f>IF(E84="","",IFERROR(MAXIFS('REPONSES'!$B$4:$B$2003,'REPONSES'!$V$4:$V$2003,E84,'REPONSES'!$D$4:$D$2003,'PARAMETRES'!$B$4),""))</x:f>
      </x:c>
    </x:row>
    <x:row r="85">
      <x:c r="A85" s="19" t="str">
        <x:f>IF('MEMBRES'!A85="","",'MEMBRES'!A85)</x:f>
      </x:c>
      <x:c r="B85" s="20" t="str">
        <x:f>IF('MEMBRES'!B85="","",'MEMBRES'!B85)</x:f>
      </x:c>
      <x:c r="C85" s="20" t="str">
        <x:f>IF('MEMBRES'!C85="","",'MEMBRES'!C85)</x:f>
      </x:c>
      <x:c r="D85" s="20" t="str">
        <x:f>IF('MEMBRES'!D85="","",'MEMBRES'!D85)</x:f>
      </x:c>
      <x:c r="E85" s="20" t="str">
        <x:f>IF(A85="","",UPPER(TRIM(A85&amp;" "&amp;B85)))</x:f>
      </x:c>
      <x:c r="F85" s="28" t="str">
        <x:f>IF(E85="","",COUNTIFS('REPONSES'!$V$4:$V$2003,E85,'REPONSES'!$D$4:$D$2003,'PARAMETRES'!$B$4,'REPONSES'!$O$4:$O$2003,"Présent"))</x:f>
      </x:c>
      <x:c r="G85" s="28" t="str">
        <x:f>IF(E85="","",COUNTIFS('REPONSES'!$V$4:$V$2003,E85,'REPONSES'!$D$4:$D$2003,'PARAMETRES'!$B$4,'REPONSES'!$O$4:$O$2003,"Absent excusé"))</x:f>
      </x:c>
      <x:c r="H85" s="28" t="str">
        <x:f>IF(E85="","",MAX(0,COUNTIFS('CALENDRIER'!$B$4:$B$503,'PARAMETRES'!$B$4,'CALENDRIER'!$K$4:$K$503,"Oui")-F85-G85))</x:f>
      </x:c>
      <x:c r="I85" s="28" t="str">
        <x:f>IF(E85="","",COUNTIFS('REPONSES'!$V$4:$V$2003,E85,'REPONSES'!$D$4:$D$2003,'PARAMETRES'!$B$4,'REPONSES'!$R$4:$R$2003,"Oui"))</x:f>
      </x:c>
      <x:c r="J85" s="31" t="str">
        <x:f>IF(E85="","",IFERROR(F85/(F85+G85+H85),0))</x:f>
      </x:c>
      <x:c r="K85" s="32" t="str">
        <x:f>IF(E85="","",IFERROR(MAXIFS('REPONSES'!$B$4:$B$2003,'REPONSES'!$V$4:$V$2003,E85,'REPONSES'!$D$4:$D$2003,'PARAMETRES'!$B$4),""))</x:f>
      </x:c>
    </x:row>
    <x:row r="86">
      <x:c r="A86" s="19" t="str">
        <x:f>IF('MEMBRES'!A86="","",'MEMBRES'!A86)</x:f>
      </x:c>
      <x:c r="B86" s="20" t="str">
        <x:f>IF('MEMBRES'!B86="","",'MEMBRES'!B86)</x:f>
      </x:c>
      <x:c r="C86" s="20" t="str">
        <x:f>IF('MEMBRES'!C86="","",'MEMBRES'!C86)</x:f>
      </x:c>
      <x:c r="D86" s="20" t="str">
        <x:f>IF('MEMBRES'!D86="","",'MEMBRES'!D86)</x:f>
      </x:c>
      <x:c r="E86" s="20" t="str">
        <x:f>IF(A86="","",UPPER(TRIM(A86&amp;" "&amp;B86)))</x:f>
      </x:c>
      <x:c r="F86" s="28" t="str">
        <x:f>IF(E86="","",COUNTIFS('REPONSES'!$V$4:$V$2003,E86,'REPONSES'!$D$4:$D$2003,'PARAMETRES'!$B$4,'REPONSES'!$O$4:$O$2003,"Présent"))</x:f>
      </x:c>
      <x:c r="G86" s="28" t="str">
        <x:f>IF(E86="","",COUNTIFS('REPONSES'!$V$4:$V$2003,E86,'REPONSES'!$D$4:$D$2003,'PARAMETRES'!$B$4,'REPONSES'!$O$4:$O$2003,"Absent excusé"))</x:f>
      </x:c>
      <x:c r="H86" s="28" t="str">
        <x:f>IF(E86="","",MAX(0,COUNTIFS('CALENDRIER'!$B$4:$B$503,'PARAMETRES'!$B$4,'CALENDRIER'!$K$4:$K$503,"Oui")-F86-G86))</x:f>
      </x:c>
      <x:c r="I86" s="28" t="str">
        <x:f>IF(E86="","",COUNTIFS('REPONSES'!$V$4:$V$2003,E86,'REPONSES'!$D$4:$D$2003,'PARAMETRES'!$B$4,'REPONSES'!$R$4:$R$2003,"Oui"))</x:f>
      </x:c>
      <x:c r="J86" s="31" t="str">
        <x:f>IF(E86="","",IFERROR(F86/(F86+G86+H86),0))</x:f>
      </x:c>
      <x:c r="K86" s="32" t="str">
        <x:f>IF(E86="","",IFERROR(MAXIFS('REPONSES'!$B$4:$B$2003,'REPONSES'!$V$4:$V$2003,E86,'REPONSES'!$D$4:$D$2003,'PARAMETRES'!$B$4),""))</x:f>
      </x:c>
    </x:row>
    <x:row r="87">
      <x:c r="A87" s="19" t="str">
        <x:f>IF('MEMBRES'!A87="","",'MEMBRES'!A87)</x:f>
      </x:c>
      <x:c r="B87" s="20" t="str">
        <x:f>IF('MEMBRES'!B87="","",'MEMBRES'!B87)</x:f>
      </x:c>
      <x:c r="C87" s="20" t="str">
        <x:f>IF('MEMBRES'!C87="","",'MEMBRES'!C87)</x:f>
      </x:c>
      <x:c r="D87" s="20" t="str">
        <x:f>IF('MEMBRES'!D87="","",'MEMBRES'!D87)</x:f>
      </x:c>
      <x:c r="E87" s="20" t="str">
        <x:f>IF(A87="","",UPPER(TRIM(A87&amp;" "&amp;B87)))</x:f>
      </x:c>
      <x:c r="F87" s="28" t="str">
        <x:f>IF(E87="","",COUNTIFS('REPONSES'!$V$4:$V$2003,E87,'REPONSES'!$D$4:$D$2003,'PARAMETRES'!$B$4,'REPONSES'!$O$4:$O$2003,"Présent"))</x:f>
      </x:c>
      <x:c r="G87" s="28" t="str">
        <x:f>IF(E87="","",COUNTIFS('REPONSES'!$V$4:$V$2003,E87,'REPONSES'!$D$4:$D$2003,'PARAMETRES'!$B$4,'REPONSES'!$O$4:$O$2003,"Absent excusé"))</x:f>
      </x:c>
      <x:c r="H87" s="28" t="str">
        <x:f>IF(E87="","",MAX(0,COUNTIFS('CALENDRIER'!$B$4:$B$503,'PARAMETRES'!$B$4,'CALENDRIER'!$K$4:$K$503,"Oui")-F87-G87))</x:f>
      </x:c>
      <x:c r="I87" s="28" t="str">
        <x:f>IF(E87="","",COUNTIFS('REPONSES'!$V$4:$V$2003,E87,'REPONSES'!$D$4:$D$2003,'PARAMETRES'!$B$4,'REPONSES'!$R$4:$R$2003,"Oui"))</x:f>
      </x:c>
      <x:c r="J87" s="31" t="str">
        <x:f>IF(E87="","",IFERROR(F87/(F87+G87+H87),0))</x:f>
      </x:c>
      <x:c r="K87" s="32" t="str">
        <x:f>IF(E87="","",IFERROR(MAXIFS('REPONSES'!$B$4:$B$2003,'REPONSES'!$V$4:$V$2003,E87,'REPONSES'!$D$4:$D$2003,'PARAMETRES'!$B$4),""))</x:f>
      </x:c>
    </x:row>
    <x:row r="88">
      <x:c r="A88" s="19" t="str">
        <x:f>IF('MEMBRES'!A88="","",'MEMBRES'!A88)</x:f>
      </x:c>
      <x:c r="B88" s="20" t="str">
        <x:f>IF('MEMBRES'!B88="","",'MEMBRES'!B88)</x:f>
      </x:c>
      <x:c r="C88" s="20" t="str">
        <x:f>IF('MEMBRES'!C88="","",'MEMBRES'!C88)</x:f>
      </x:c>
      <x:c r="D88" s="20" t="str">
        <x:f>IF('MEMBRES'!D88="","",'MEMBRES'!D88)</x:f>
      </x:c>
      <x:c r="E88" s="20" t="str">
        <x:f>IF(A88="","",UPPER(TRIM(A88&amp;" "&amp;B88)))</x:f>
      </x:c>
      <x:c r="F88" s="28" t="str">
        <x:f>IF(E88="","",COUNTIFS('REPONSES'!$V$4:$V$2003,E88,'REPONSES'!$D$4:$D$2003,'PARAMETRES'!$B$4,'REPONSES'!$O$4:$O$2003,"Présent"))</x:f>
      </x:c>
      <x:c r="G88" s="28" t="str">
        <x:f>IF(E88="","",COUNTIFS('REPONSES'!$V$4:$V$2003,E88,'REPONSES'!$D$4:$D$2003,'PARAMETRES'!$B$4,'REPONSES'!$O$4:$O$2003,"Absent excusé"))</x:f>
      </x:c>
      <x:c r="H88" s="28" t="str">
        <x:f>IF(E88="","",MAX(0,COUNTIFS('CALENDRIER'!$B$4:$B$503,'PARAMETRES'!$B$4,'CALENDRIER'!$K$4:$K$503,"Oui")-F88-G88))</x:f>
      </x:c>
      <x:c r="I88" s="28" t="str">
        <x:f>IF(E88="","",COUNTIFS('REPONSES'!$V$4:$V$2003,E88,'REPONSES'!$D$4:$D$2003,'PARAMETRES'!$B$4,'REPONSES'!$R$4:$R$2003,"Oui"))</x:f>
      </x:c>
      <x:c r="J88" s="31" t="str">
        <x:f>IF(E88="","",IFERROR(F88/(F88+G88+H88),0))</x:f>
      </x:c>
      <x:c r="K88" s="32" t="str">
        <x:f>IF(E88="","",IFERROR(MAXIFS('REPONSES'!$B$4:$B$2003,'REPONSES'!$V$4:$V$2003,E88,'REPONSES'!$D$4:$D$2003,'PARAMETRES'!$B$4),""))</x:f>
      </x:c>
    </x:row>
    <x:row r="89">
      <x:c r="A89" s="19" t="str">
        <x:f>IF('MEMBRES'!A89="","",'MEMBRES'!A89)</x:f>
      </x:c>
      <x:c r="B89" s="20" t="str">
        <x:f>IF('MEMBRES'!B89="","",'MEMBRES'!B89)</x:f>
      </x:c>
      <x:c r="C89" s="20" t="str">
        <x:f>IF('MEMBRES'!C89="","",'MEMBRES'!C89)</x:f>
      </x:c>
      <x:c r="D89" s="20" t="str">
        <x:f>IF('MEMBRES'!D89="","",'MEMBRES'!D89)</x:f>
      </x:c>
      <x:c r="E89" s="20" t="str">
        <x:f>IF(A89="","",UPPER(TRIM(A89&amp;" "&amp;B89)))</x:f>
      </x:c>
      <x:c r="F89" s="28" t="str">
        <x:f>IF(E89="","",COUNTIFS('REPONSES'!$V$4:$V$2003,E89,'REPONSES'!$D$4:$D$2003,'PARAMETRES'!$B$4,'REPONSES'!$O$4:$O$2003,"Présent"))</x:f>
      </x:c>
      <x:c r="G89" s="28" t="str">
        <x:f>IF(E89="","",COUNTIFS('REPONSES'!$V$4:$V$2003,E89,'REPONSES'!$D$4:$D$2003,'PARAMETRES'!$B$4,'REPONSES'!$O$4:$O$2003,"Absent excusé"))</x:f>
      </x:c>
      <x:c r="H89" s="28" t="str">
        <x:f>IF(E89="","",MAX(0,COUNTIFS('CALENDRIER'!$B$4:$B$503,'PARAMETRES'!$B$4,'CALENDRIER'!$K$4:$K$503,"Oui")-F89-G89))</x:f>
      </x:c>
      <x:c r="I89" s="28" t="str">
        <x:f>IF(E89="","",COUNTIFS('REPONSES'!$V$4:$V$2003,E89,'REPONSES'!$D$4:$D$2003,'PARAMETRES'!$B$4,'REPONSES'!$R$4:$R$2003,"Oui"))</x:f>
      </x:c>
      <x:c r="J89" s="31" t="str">
        <x:f>IF(E89="","",IFERROR(F89/(F89+G89+H89),0))</x:f>
      </x:c>
      <x:c r="K89" s="32" t="str">
        <x:f>IF(E89="","",IFERROR(MAXIFS('REPONSES'!$B$4:$B$2003,'REPONSES'!$V$4:$V$2003,E89,'REPONSES'!$D$4:$D$2003,'PARAMETRES'!$B$4),""))</x:f>
      </x:c>
    </x:row>
    <x:row r="90">
      <x:c r="A90" s="19" t="str">
        <x:f>IF('MEMBRES'!A90="","",'MEMBRES'!A90)</x:f>
      </x:c>
      <x:c r="B90" s="20" t="str">
        <x:f>IF('MEMBRES'!B90="","",'MEMBRES'!B90)</x:f>
      </x:c>
      <x:c r="C90" s="20" t="str">
        <x:f>IF('MEMBRES'!C90="","",'MEMBRES'!C90)</x:f>
      </x:c>
      <x:c r="D90" s="20" t="str">
        <x:f>IF('MEMBRES'!D90="","",'MEMBRES'!D90)</x:f>
      </x:c>
      <x:c r="E90" s="20" t="str">
        <x:f>IF(A90="","",UPPER(TRIM(A90&amp;" "&amp;B90)))</x:f>
      </x:c>
      <x:c r="F90" s="28" t="str">
        <x:f>IF(E90="","",COUNTIFS('REPONSES'!$V$4:$V$2003,E90,'REPONSES'!$D$4:$D$2003,'PARAMETRES'!$B$4,'REPONSES'!$O$4:$O$2003,"Présent"))</x:f>
      </x:c>
      <x:c r="G90" s="28" t="str">
        <x:f>IF(E90="","",COUNTIFS('REPONSES'!$V$4:$V$2003,E90,'REPONSES'!$D$4:$D$2003,'PARAMETRES'!$B$4,'REPONSES'!$O$4:$O$2003,"Absent excusé"))</x:f>
      </x:c>
      <x:c r="H90" s="28" t="str">
        <x:f>IF(E90="","",MAX(0,COUNTIFS('CALENDRIER'!$B$4:$B$503,'PARAMETRES'!$B$4,'CALENDRIER'!$K$4:$K$503,"Oui")-F90-G90))</x:f>
      </x:c>
      <x:c r="I90" s="28" t="str">
        <x:f>IF(E90="","",COUNTIFS('REPONSES'!$V$4:$V$2003,E90,'REPONSES'!$D$4:$D$2003,'PARAMETRES'!$B$4,'REPONSES'!$R$4:$R$2003,"Oui"))</x:f>
      </x:c>
      <x:c r="J90" s="31" t="str">
        <x:f>IF(E90="","",IFERROR(F90/(F90+G90+H90),0))</x:f>
      </x:c>
      <x:c r="K90" s="32" t="str">
        <x:f>IF(E90="","",IFERROR(MAXIFS('REPONSES'!$B$4:$B$2003,'REPONSES'!$V$4:$V$2003,E90,'REPONSES'!$D$4:$D$2003,'PARAMETRES'!$B$4),""))</x:f>
      </x:c>
    </x:row>
    <x:row r="91">
      <x:c r="A91" s="19" t="str">
        <x:f>IF('MEMBRES'!A91="","",'MEMBRES'!A91)</x:f>
      </x:c>
      <x:c r="B91" s="20" t="str">
        <x:f>IF('MEMBRES'!B91="","",'MEMBRES'!B91)</x:f>
      </x:c>
      <x:c r="C91" s="20" t="str">
        <x:f>IF('MEMBRES'!C91="","",'MEMBRES'!C91)</x:f>
      </x:c>
      <x:c r="D91" s="20" t="str">
        <x:f>IF('MEMBRES'!D91="","",'MEMBRES'!D91)</x:f>
      </x:c>
      <x:c r="E91" s="20" t="str">
        <x:f>IF(A91="","",UPPER(TRIM(A91&amp;" "&amp;B91)))</x:f>
      </x:c>
      <x:c r="F91" s="28" t="str">
        <x:f>IF(E91="","",COUNTIFS('REPONSES'!$V$4:$V$2003,E91,'REPONSES'!$D$4:$D$2003,'PARAMETRES'!$B$4,'REPONSES'!$O$4:$O$2003,"Présent"))</x:f>
      </x:c>
      <x:c r="G91" s="28" t="str">
        <x:f>IF(E91="","",COUNTIFS('REPONSES'!$V$4:$V$2003,E91,'REPONSES'!$D$4:$D$2003,'PARAMETRES'!$B$4,'REPONSES'!$O$4:$O$2003,"Absent excusé"))</x:f>
      </x:c>
      <x:c r="H91" s="28" t="str">
        <x:f>IF(E91="","",MAX(0,COUNTIFS('CALENDRIER'!$B$4:$B$503,'PARAMETRES'!$B$4,'CALENDRIER'!$K$4:$K$503,"Oui")-F91-G91))</x:f>
      </x:c>
      <x:c r="I91" s="28" t="str">
        <x:f>IF(E91="","",COUNTIFS('REPONSES'!$V$4:$V$2003,E91,'REPONSES'!$D$4:$D$2003,'PARAMETRES'!$B$4,'REPONSES'!$R$4:$R$2003,"Oui"))</x:f>
      </x:c>
      <x:c r="J91" s="31" t="str">
        <x:f>IF(E91="","",IFERROR(F91/(F91+G91+H91),0))</x:f>
      </x:c>
      <x:c r="K91" s="32" t="str">
        <x:f>IF(E91="","",IFERROR(MAXIFS('REPONSES'!$B$4:$B$2003,'REPONSES'!$V$4:$V$2003,E91,'REPONSES'!$D$4:$D$2003,'PARAMETRES'!$B$4),""))</x:f>
      </x:c>
    </x:row>
    <x:row r="92">
      <x:c r="A92" s="19" t="str">
        <x:f>IF('MEMBRES'!A92="","",'MEMBRES'!A92)</x:f>
      </x:c>
      <x:c r="B92" s="20" t="str">
        <x:f>IF('MEMBRES'!B92="","",'MEMBRES'!B92)</x:f>
      </x:c>
      <x:c r="C92" s="20" t="str">
        <x:f>IF('MEMBRES'!C92="","",'MEMBRES'!C92)</x:f>
      </x:c>
      <x:c r="D92" s="20" t="str">
        <x:f>IF('MEMBRES'!D92="","",'MEMBRES'!D92)</x:f>
      </x:c>
      <x:c r="E92" s="20" t="str">
        <x:f>IF(A92="","",UPPER(TRIM(A92&amp;" "&amp;B92)))</x:f>
      </x:c>
      <x:c r="F92" s="28" t="str">
        <x:f>IF(E92="","",COUNTIFS('REPONSES'!$V$4:$V$2003,E92,'REPONSES'!$D$4:$D$2003,'PARAMETRES'!$B$4,'REPONSES'!$O$4:$O$2003,"Présent"))</x:f>
      </x:c>
      <x:c r="G92" s="28" t="str">
        <x:f>IF(E92="","",COUNTIFS('REPONSES'!$V$4:$V$2003,E92,'REPONSES'!$D$4:$D$2003,'PARAMETRES'!$B$4,'REPONSES'!$O$4:$O$2003,"Absent excusé"))</x:f>
      </x:c>
      <x:c r="H92" s="28" t="str">
        <x:f>IF(E92="","",MAX(0,COUNTIFS('CALENDRIER'!$B$4:$B$503,'PARAMETRES'!$B$4,'CALENDRIER'!$K$4:$K$503,"Oui")-F92-G92))</x:f>
      </x:c>
      <x:c r="I92" s="28" t="str">
        <x:f>IF(E92="","",COUNTIFS('REPONSES'!$V$4:$V$2003,E92,'REPONSES'!$D$4:$D$2003,'PARAMETRES'!$B$4,'REPONSES'!$R$4:$R$2003,"Oui"))</x:f>
      </x:c>
      <x:c r="J92" s="31" t="str">
        <x:f>IF(E92="","",IFERROR(F92/(F92+G92+H92),0))</x:f>
      </x:c>
      <x:c r="K92" s="32" t="str">
        <x:f>IF(E92="","",IFERROR(MAXIFS('REPONSES'!$B$4:$B$2003,'REPONSES'!$V$4:$V$2003,E92,'REPONSES'!$D$4:$D$2003,'PARAMETRES'!$B$4),""))</x:f>
      </x:c>
    </x:row>
    <x:row r="93">
      <x:c r="A93" s="19" t="str">
        <x:f>IF('MEMBRES'!A93="","",'MEMBRES'!A93)</x:f>
      </x:c>
      <x:c r="B93" s="20" t="str">
        <x:f>IF('MEMBRES'!B93="","",'MEMBRES'!B93)</x:f>
      </x:c>
      <x:c r="C93" s="20" t="str">
        <x:f>IF('MEMBRES'!C93="","",'MEMBRES'!C93)</x:f>
      </x:c>
      <x:c r="D93" s="20" t="str">
        <x:f>IF('MEMBRES'!D93="","",'MEMBRES'!D93)</x:f>
      </x:c>
      <x:c r="E93" s="20" t="str">
        <x:f>IF(A93="","",UPPER(TRIM(A93&amp;" "&amp;B93)))</x:f>
      </x:c>
      <x:c r="F93" s="28" t="str">
        <x:f>IF(E93="","",COUNTIFS('REPONSES'!$V$4:$V$2003,E93,'REPONSES'!$D$4:$D$2003,'PARAMETRES'!$B$4,'REPONSES'!$O$4:$O$2003,"Présent"))</x:f>
      </x:c>
      <x:c r="G93" s="28" t="str">
        <x:f>IF(E93="","",COUNTIFS('REPONSES'!$V$4:$V$2003,E93,'REPONSES'!$D$4:$D$2003,'PARAMETRES'!$B$4,'REPONSES'!$O$4:$O$2003,"Absent excusé"))</x:f>
      </x:c>
      <x:c r="H93" s="28" t="str">
        <x:f>IF(E93="","",MAX(0,COUNTIFS('CALENDRIER'!$B$4:$B$503,'PARAMETRES'!$B$4,'CALENDRIER'!$K$4:$K$503,"Oui")-F93-G93))</x:f>
      </x:c>
      <x:c r="I93" s="28" t="str">
        <x:f>IF(E93="","",COUNTIFS('REPONSES'!$V$4:$V$2003,E93,'REPONSES'!$D$4:$D$2003,'PARAMETRES'!$B$4,'REPONSES'!$R$4:$R$2003,"Oui"))</x:f>
      </x:c>
      <x:c r="J93" s="31" t="str">
        <x:f>IF(E93="","",IFERROR(F93/(F93+G93+H93),0))</x:f>
      </x:c>
      <x:c r="K93" s="32" t="str">
        <x:f>IF(E93="","",IFERROR(MAXIFS('REPONSES'!$B$4:$B$2003,'REPONSES'!$V$4:$V$2003,E93,'REPONSES'!$D$4:$D$2003,'PARAMETRES'!$B$4),""))</x:f>
      </x:c>
    </x:row>
    <x:row r="94">
      <x:c r="A94" s="19" t="str">
        <x:f>IF('MEMBRES'!A94="","",'MEMBRES'!A94)</x:f>
      </x:c>
      <x:c r="B94" s="20" t="str">
        <x:f>IF('MEMBRES'!B94="","",'MEMBRES'!B94)</x:f>
      </x:c>
      <x:c r="C94" s="20" t="str">
        <x:f>IF('MEMBRES'!C94="","",'MEMBRES'!C94)</x:f>
      </x:c>
      <x:c r="D94" s="20" t="str">
        <x:f>IF('MEMBRES'!D94="","",'MEMBRES'!D94)</x:f>
      </x:c>
      <x:c r="E94" s="20" t="str">
        <x:f>IF(A94="","",UPPER(TRIM(A94&amp;" "&amp;B94)))</x:f>
      </x:c>
      <x:c r="F94" s="28" t="str">
        <x:f>IF(E94="","",COUNTIFS('REPONSES'!$V$4:$V$2003,E94,'REPONSES'!$D$4:$D$2003,'PARAMETRES'!$B$4,'REPONSES'!$O$4:$O$2003,"Présent"))</x:f>
      </x:c>
      <x:c r="G94" s="28" t="str">
        <x:f>IF(E94="","",COUNTIFS('REPONSES'!$V$4:$V$2003,E94,'REPONSES'!$D$4:$D$2003,'PARAMETRES'!$B$4,'REPONSES'!$O$4:$O$2003,"Absent excusé"))</x:f>
      </x:c>
      <x:c r="H94" s="28" t="str">
        <x:f>IF(E94="","",MAX(0,COUNTIFS('CALENDRIER'!$B$4:$B$503,'PARAMETRES'!$B$4,'CALENDRIER'!$K$4:$K$503,"Oui")-F94-G94))</x:f>
      </x:c>
      <x:c r="I94" s="28" t="str">
        <x:f>IF(E94="","",COUNTIFS('REPONSES'!$V$4:$V$2003,E94,'REPONSES'!$D$4:$D$2003,'PARAMETRES'!$B$4,'REPONSES'!$R$4:$R$2003,"Oui"))</x:f>
      </x:c>
      <x:c r="J94" s="31" t="str">
        <x:f>IF(E94="","",IFERROR(F94/(F94+G94+H94),0))</x:f>
      </x:c>
      <x:c r="K94" s="32" t="str">
        <x:f>IF(E94="","",IFERROR(MAXIFS('REPONSES'!$B$4:$B$2003,'REPONSES'!$V$4:$V$2003,E94,'REPONSES'!$D$4:$D$2003,'PARAMETRES'!$B$4),""))</x:f>
      </x:c>
    </x:row>
    <x:row r="95">
      <x:c r="A95" s="19" t="str">
        <x:f>IF('MEMBRES'!A95="","",'MEMBRES'!A95)</x:f>
      </x:c>
      <x:c r="B95" s="20" t="str">
        <x:f>IF('MEMBRES'!B95="","",'MEMBRES'!B95)</x:f>
      </x:c>
      <x:c r="C95" s="20" t="str">
        <x:f>IF('MEMBRES'!C95="","",'MEMBRES'!C95)</x:f>
      </x:c>
      <x:c r="D95" s="20" t="str">
        <x:f>IF('MEMBRES'!D95="","",'MEMBRES'!D95)</x:f>
      </x:c>
      <x:c r="E95" s="20" t="str">
        <x:f>IF(A95="","",UPPER(TRIM(A95&amp;" "&amp;B95)))</x:f>
      </x:c>
      <x:c r="F95" s="28" t="str">
        <x:f>IF(E95="","",COUNTIFS('REPONSES'!$V$4:$V$2003,E95,'REPONSES'!$D$4:$D$2003,'PARAMETRES'!$B$4,'REPONSES'!$O$4:$O$2003,"Présent"))</x:f>
      </x:c>
      <x:c r="G95" s="28" t="str">
        <x:f>IF(E95="","",COUNTIFS('REPONSES'!$V$4:$V$2003,E95,'REPONSES'!$D$4:$D$2003,'PARAMETRES'!$B$4,'REPONSES'!$O$4:$O$2003,"Absent excusé"))</x:f>
      </x:c>
      <x:c r="H95" s="28" t="str">
        <x:f>IF(E95="","",MAX(0,COUNTIFS('CALENDRIER'!$B$4:$B$503,'PARAMETRES'!$B$4,'CALENDRIER'!$K$4:$K$503,"Oui")-F95-G95))</x:f>
      </x:c>
      <x:c r="I95" s="28" t="str">
        <x:f>IF(E95="","",COUNTIFS('REPONSES'!$V$4:$V$2003,E95,'REPONSES'!$D$4:$D$2003,'PARAMETRES'!$B$4,'REPONSES'!$R$4:$R$2003,"Oui"))</x:f>
      </x:c>
      <x:c r="J95" s="31" t="str">
        <x:f>IF(E95="","",IFERROR(F95/(F95+G95+H95),0))</x:f>
      </x:c>
      <x:c r="K95" s="32" t="str">
        <x:f>IF(E95="","",IFERROR(MAXIFS('REPONSES'!$B$4:$B$2003,'REPONSES'!$V$4:$V$2003,E95,'REPONSES'!$D$4:$D$2003,'PARAMETRES'!$B$4),""))</x:f>
      </x:c>
    </x:row>
    <x:row r="96">
      <x:c r="A96" s="19" t="str">
        <x:f>IF('MEMBRES'!A96="","",'MEMBRES'!A96)</x:f>
      </x:c>
      <x:c r="B96" s="20" t="str">
        <x:f>IF('MEMBRES'!B96="","",'MEMBRES'!B96)</x:f>
      </x:c>
      <x:c r="C96" s="20" t="str">
        <x:f>IF('MEMBRES'!C96="","",'MEMBRES'!C96)</x:f>
      </x:c>
      <x:c r="D96" s="20" t="str">
        <x:f>IF('MEMBRES'!D96="","",'MEMBRES'!D96)</x:f>
      </x:c>
      <x:c r="E96" s="20" t="str">
        <x:f>IF(A96="","",UPPER(TRIM(A96&amp;" "&amp;B96)))</x:f>
      </x:c>
      <x:c r="F96" s="28" t="str">
        <x:f>IF(E96="","",COUNTIFS('REPONSES'!$V$4:$V$2003,E96,'REPONSES'!$D$4:$D$2003,'PARAMETRES'!$B$4,'REPONSES'!$O$4:$O$2003,"Présent"))</x:f>
      </x:c>
      <x:c r="G96" s="28" t="str">
        <x:f>IF(E96="","",COUNTIFS('REPONSES'!$V$4:$V$2003,E96,'REPONSES'!$D$4:$D$2003,'PARAMETRES'!$B$4,'REPONSES'!$O$4:$O$2003,"Absent excusé"))</x:f>
      </x:c>
      <x:c r="H96" s="28" t="str">
        <x:f>IF(E96="","",MAX(0,COUNTIFS('CALENDRIER'!$B$4:$B$503,'PARAMETRES'!$B$4,'CALENDRIER'!$K$4:$K$503,"Oui")-F96-G96))</x:f>
      </x:c>
      <x:c r="I96" s="28" t="str">
        <x:f>IF(E96="","",COUNTIFS('REPONSES'!$V$4:$V$2003,E96,'REPONSES'!$D$4:$D$2003,'PARAMETRES'!$B$4,'REPONSES'!$R$4:$R$2003,"Oui"))</x:f>
      </x:c>
      <x:c r="J96" s="31" t="str">
        <x:f>IF(E96="","",IFERROR(F96/(F96+G96+H96),0))</x:f>
      </x:c>
      <x:c r="K96" s="32" t="str">
        <x:f>IF(E96="","",IFERROR(MAXIFS('REPONSES'!$B$4:$B$2003,'REPONSES'!$V$4:$V$2003,E96,'REPONSES'!$D$4:$D$2003,'PARAMETRES'!$B$4),""))</x:f>
      </x:c>
    </x:row>
    <x:row r="97">
      <x:c r="A97" s="19" t="str">
        <x:f>IF('MEMBRES'!A97="","",'MEMBRES'!A97)</x:f>
      </x:c>
      <x:c r="B97" s="20" t="str">
        <x:f>IF('MEMBRES'!B97="","",'MEMBRES'!B97)</x:f>
      </x:c>
      <x:c r="C97" s="20" t="str">
        <x:f>IF('MEMBRES'!C97="","",'MEMBRES'!C97)</x:f>
      </x:c>
      <x:c r="D97" s="20" t="str">
        <x:f>IF('MEMBRES'!D97="","",'MEMBRES'!D97)</x:f>
      </x:c>
      <x:c r="E97" s="20" t="str">
        <x:f>IF(A97="","",UPPER(TRIM(A97&amp;" "&amp;B97)))</x:f>
      </x:c>
      <x:c r="F97" s="28" t="str">
        <x:f>IF(E97="","",COUNTIFS('REPONSES'!$V$4:$V$2003,E97,'REPONSES'!$D$4:$D$2003,'PARAMETRES'!$B$4,'REPONSES'!$O$4:$O$2003,"Présent"))</x:f>
      </x:c>
      <x:c r="G97" s="28" t="str">
        <x:f>IF(E97="","",COUNTIFS('REPONSES'!$V$4:$V$2003,E97,'REPONSES'!$D$4:$D$2003,'PARAMETRES'!$B$4,'REPONSES'!$O$4:$O$2003,"Absent excusé"))</x:f>
      </x:c>
      <x:c r="H97" s="28" t="str">
        <x:f>IF(E97="","",MAX(0,COUNTIFS('CALENDRIER'!$B$4:$B$503,'PARAMETRES'!$B$4,'CALENDRIER'!$K$4:$K$503,"Oui")-F97-G97))</x:f>
      </x:c>
      <x:c r="I97" s="28" t="str">
        <x:f>IF(E97="","",COUNTIFS('REPONSES'!$V$4:$V$2003,E97,'REPONSES'!$D$4:$D$2003,'PARAMETRES'!$B$4,'REPONSES'!$R$4:$R$2003,"Oui"))</x:f>
      </x:c>
      <x:c r="J97" s="31" t="str">
        <x:f>IF(E97="","",IFERROR(F97/(F97+G97+H97),0))</x:f>
      </x:c>
      <x:c r="K97" s="32" t="str">
        <x:f>IF(E97="","",IFERROR(MAXIFS('REPONSES'!$B$4:$B$2003,'REPONSES'!$V$4:$V$2003,E97,'REPONSES'!$D$4:$D$2003,'PARAMETRES'!$B$4),""))</x:f>
      </x:c>
    </x:row>
    <x:row r="98">
      <x:c r="A98" s="19" t="str">
        <x:f>IF('MEMBRES'!A98="","",'MEMBRES'!A98)</x:f>
      </x:c>
      <x:c r="B98" s="20" t="str">
        <x:f>IF('MEMBRES'!B98="","",'MEMBRES'!B98)</x:f>
      </x:c>
      <x:c r="C98" s="20" t="str">
        <x:f>IF('MEMBRES'!C98="","",'MEMBRES'!C98)</x:f>
      </x:c>
      <x:c r="D98" s="20" t="str">
        <x:f>IF('MEMBRES'!D98="","",'MEMBRES'!D98)</x:f>
      </x:c>
      <x:c r="E98" s="20" t="str">
        <x:f>IF(A98="","",UPPER(TRIM(A98&amp;" "&amp;B98)))</x:f>
      </x:c>
      <x:c r="F98" s="28" t="str">
        <x:f>IF(E98="","",COUNTIFS('REPONSES'!$V$4:$V$2003,E98,'REPONSES'!$D$4:$D$2003,'PARAMETRES'!$B$4,'REPONSES'!$O$4:$O$2003,"Présent"))</x:f>
      </x:c>
      <x:c r="G98" s="28" t="str">
        <x:f>IF(E98="","",COUNTIFS('REPONSES'!$V$4:$V$2003,E98,'REPONSES'!$D$4:$D$2003,'PARAMETRES'!$B$4,'REPONSES'!$O$4:$O$2003,"Absent excusé"))</x:f>
      </x:c>
      <x:c r="H98" s="28" t="str">
        <x:f>IF(E98="","",MAX(0,COUNTIFS('CALENDRIER'!$B$4:$B$503,'PARAMETRES'!$B$4,'CALENDRIER'!$K$4:$K$503,"Oui")-F98-G98))</x:f>
      </x:c>
      <x:c r="I98" s="28" t="str">
        <x:f>IF(E98="","",COUNTIFS('REPONSES'!$V$4:$V$2003,E98,'REPONSES'!$D$4:$D$2003,'PARAMETRES'!$B$4,'REPONSES'!$R$4:$R$2003,"Oui"))</x:f>
      </x:c>
      <x:c r="J98" s="31" t="str">
        <x:f>IF(E98="","",IFERROR(F98/(F98+G98+H98),0))</x:f>
      </x:c>
      <x:c r="K98" s="32" t="str">
        <x:f>IF(E98="","",IFERROR(MAXIFS('REPONSES'!$B$4:$B$2003,'REPONSES'!$V$4:$V$2003,E98,'REPONSES'!$D$4:$D$2003,'PARAMETRES'!$B$4),""))</x:f>
      </x:c>
    </x:row>
    <x:row r="99">
      <x:c r="A99" s="19" t="str">
        <x:f>IF('MEMBRES'!A99="","",'MEMBRES'!A99)</x:f>
      </x:c>
      <x:c r="B99" s="20" t="str">
        <x:f>IF('MEMBRES'!B99="","",'MEMBRES'!B99)</x:f>
      </x:c>
      <x:c r="C99" s="20" t="str">
        <x:f>IF('MEMBRES'!C99="","",'MEMBRES'!C99)</x:f>
      </x:c>
      <x:c r="D99" s="20" t="str">
        <x:f>IF('MEMBRES'!D99="","",'MEMBRES'!D99)</x:f>
      </x:c>
      <x:c r="E99" s="20" t="str">
        <x:f>IF(A99="","",UPPER(TRIM(A99&amp;" "&amp;B99)))</x:f>
      </x:c>
      <x:c r="F99" s="28" t="str">
        <x:f>IF(E99="","",COUNTIFS('REPONSES'!$V$4:$V$2003,E99,'REPONSES'!$D$4:$D$2003,'PARAMETRES'!$B$4,'REPONSES'!$O$4:$O$2003,"Présent"))</x:f>
      </x:c>
      <x:c r="G99" s="28" t="str">
        <x:f>IF(E99="","",COUNTIFS('REPONSES'!$V$4:$V$2003,E99,'REPONSES'!$D$4:$D$2003,'PARAMETRES'!$B$4,'REPONSES'!$O$4:$O$2003,"Absent excusé"))</x:f>
      </x:c>
      <x:c r="H99" s="28" t="str">
        <x:f>IF(E99="","",MAX(0,COUNTIFS('CALENDRIER'!$B$4:$B$503,'PARAMETRES'!$B$4,'CALENDRIER'!$K$4:$K$503,"Oui")-F99-G99))</x:f>
      </x:c>
      <x:c r="I99" s="28" t="str">
        <x:f>IF(E99="","",COUNTIFS('REPONSES'!$V$4:$V$2003,E99,'REPONSES'!$D$4:$D$2003,'PARAMETRES'!$B$4,'REPONSES'!$R$4:$R$2003,"Oui"))</x:f>
      </x:c>
      <x:c r="J99" s="31" t="str">
        <x:f>IF(E99="","",IFERROR(F99/(F99+G99+H99),0))</x:f>
      </x:c>
      <x:c r="K99" s="32" t="str">
        <x:f>IF(E99="","",IFERROR(MAXIFS('REPONSES'!$B$4:$B$2003,'REPONSES'!$V$4:$V$2003,E99,'REPONSES'!$D$4:$D$2003,'PARAMETRES'!$B$4),""))</x:f>
      </x:c>
    </x:row>
    <x:row r="100">
      <x:c r="A100" s="19" t="str">
        <x:f>IF('MEMBRES'!A100="","",'MEMBRES'!A100)</x:f>
      </x:c>
      <x:c r="B100" s="20" t="str">
        <x:f>IF('MEMBRES'!B100="","",'MEMBRES'!B100)</x:f>
      </x:c>
      <x:c r="C100" s="20" t="str">
        <x:f>IF('MEMBRES'!C100="","",'MEMBRES'!C100)</x:f>
      </x:c>
      <x:c r="D100" s="20" t="str">
        <x:f>IF('MEMBRES'!D100="","",'MEMBRES'!D100)</x:f>
      </x:c>
      <x:c r="E100" s="20" t="str">
        <x:f>IF(A100="","",UPPER(TRIM(A100&amp;" "&amp;B100)))</x:f>
      </x:c>
      <x:c r="F100" s="28" t="str">
        <x:f>IF(E100="","",COUNTIFS('REPONSES'!$V$4:$V$2003,E100,'REPONSES'!$D$4:$D$2003,'PARAMETRES'!$B$4,'REPONSES'!$O$4:$O$2003,"Présent"))</x:f>
      </x:c>
      <x:c r="G100" s="28" t="str">
        <x:f>IF(E100="","",COUNTIFS('REPONSES'!$V$4:$V$2003,E100,'REPONSES'!$D$4:$D$2003,'PARAMETRES'!$B$4,'REPONSES'!$O$4:$O$2003,"Absent excusé"))</x:f>
      </x:c>
      <x:c r="H100" s="28" t="str">
        <x:f>IF(E100="","",MAX(0,COUNTIFS('CALENDRIER'!$B$4:$B$503,'PARAMETRES'!$B$4,'CALENDRIER'!$K$4:$K$503,"Oui")-F100-G100))</x:f>
      </x:c>
      <x:c r="I100" s="28" t="str">
        <x:f>IF(E100="","",COUNTIFS('REPONSES'!$V$4:$V$2003,E100,'REPONSES'!$D$4:$D$2003,'PARAMETRES'!$B$4,'REPONSES'!$R$4:$R$2003,"Oui"))</x:f>
      </x:c>
      <x:c r="J100" s="31" t="str">
        <x:f>IF(E100="","",IFERROR(F100/(F100+G100+H100),0))</x:f>
      </x:c>
      <x:c r="K100" s="32" t="str">
        <x:f>IF(E100="","",IFERROR(MAXIFS('REPONSES'!$B$4:$B$2003,'REPONSES'!$V$4:$V$2003,E100,'REPONSES'!$D$4:$D$2003,'PARAMETRES'!$B$4),""))</x:f>
      </x:c>
    </x:row>
    <x:row r="101">
      <x:c r="A101" s="19" t="str">
        <x:f>IF('MEMBRES'!A101="","",'MEMBRES'!A101)</x:f>
      </x:c>
      <x:c r="B101" s="20" t="str">
        <x:f>IF('MEMBRES'!B101="","",'MEMBRES'!B101)</x:f>
      </x:c>
      <x:c r="C101" s="20" t="str">
        <x:f>IF('MEMBRES'!C101="","",'MEMBRES'!C101)</x:f>
      </x:c>
      <x:c r="D101" s="20" t="str">
        <x:f>IF('MEMBRES'!D101="","",'MEMBRES'!D101)</x:f>
      </x:c>
      <x:c r="E101" s="20" t="str">
        <x:f>IF(A101="","",UPPER(TRIM(A101&amp;" "&amp;B101)))</x:f>
      </x:c>
      <x:c r="F101" s="28" t="str">
        <x:f>IF(E101="","",COUNTIFS('REPONSES'!$V$4:$V$2003,E101,'REPONSES'!$D$4:$D$2003,'PARAMETRES'!$B$4,'REPONSES'!$O$4:$O$2003,"Présent"))</x:f>
      </x:c>
      <x:c r="G101" s="28" t="str">
        <x:f>IF(E101="","",COUNTIFS('REPONSES'!$V$4:$V$2003,E101,'REPONSES'!$D$4:$D$2003,'PARAMETRES'!$B$4,'REPONSES'!$O$4:$O$2003,"Absent excusé"))</x:f>
      </x:c>
      <x:c r="H101" s="28" t="str">
        <x:f>IF(E101="","",MAX(0,COUNTIFS('CALENDRIER'!$B$4:$B$503,'PARAMETRES'!$B$4,'CALENDRIER'!$K$4:$K$503,"Oui")-F101-G101))</x:f>
      </x:c>
      <x:c r="I101" s="28" t="str">
        <x:f>IF(E101="","",COUNTIFS('REPONSES'!$V$4:$V$2003,E101,'REPONSES'!$D$4:$D$2003,'PARAMETRES'!$B$4,'REPONSES'!$R$4:$R$2003,"Oui"))</x:f>
      </x:c>
      <x:c r="J101" s="31" t="str">
        <x:f>IF(E101="","",IFERROR(F101/(F101+G101+H101),0))</x:f>
      </x:c>
      <x:c r="K101" s="32" t="str">
        <x:f>IF(E101="","",IFERROR(MAXIFS('REPONSES'!$B$4:$B$2003,'REPONSES'!$V$4:$V$2003,E101,'REPONSES'!$D$4:$D$2003,'PARAMETRES'!$B$4),""))</x:f>
      </x:c>
    </x:row>
    <x:row r="102">
      <x:c r="A102" s="19" t="str">
        <x:f>IF('MEMBRES'!A102="","",'MEMBRES'!A102)</x:f>
      </x:c>
      <x:c r="B102" s="20" t="str">
        <x:f>IF('MEMBRES'!B102="","",'MEMBRES'!B102)</x:f>
      </x:c>
      <x:c r="C102" s="20" t="str">
        <x:f>IF('MEMBRES'!C102="","",'MEMBRES'!C102)</x:f>
      </x:c>
      <x:c r="D102" s="20" t="str">
        <x:f>IF('MEMBRES'!D102="","",'MEMBRES'!D102)</x:f>
      </x:c>
      <x:c r="E102" s="20" t="str">
        <x:f>IF(A102="","",UPPER(TRIM(A102&amp;" "&amp;B102)))</x:f>
      </x:c>
      <x:c r="F102" s="28" t="str">
        <x:f>IF(E102="","",COUNTIFS('REPONSES'!$V$4:$V$2003,E102,'REPONSES'!$D$4:$D$2003,'PARAMETRES'!$B$4,'REPONSES'!$O$4:$O$2003,"Présent"))</x:f>
      </x:c>
      <x:c r="G102" s="28" t="str">
        <x:f>IF(E102="","",COUNTIFS('REPONSES'!$V$4:$V$2003,E102,'REPONSES'!$D$4:$D$2003,'PARAMETRES'!$B$4,'REPONSES'!$O$4:$O$2003,"Absent excusé"))</x:f>
      </x:c>
      <x:c r="H102" s="28" t="str">
        <x:f>IF(E102="","",MAX(0,COUNTIFS('CALENDRIER'!$B$4:$B$503,'PARAMETRES'!$B$4,'CALENDRIER'!$K$4:$K$503,"Oui")-F102-G102))</x:f>
      </x:c>
      <x:c r="I102" s="28" t="str">
        <x:f>IF(E102="","",COUNTIFS('REPONSES'!$V$4:$V$2003,E102,'REPONSES'!$D$4:$D$2003,'PARAMETRES'!$B$4,'REPONSES'!$R$4:$R$2003,"Oui"))</x:f>
      </x:c>
      <x:c r="J102" s="31" t="str">
        <x:f>IF(E102="","",IFERROR(F102/(F102+G102+H102),0))</x:f>
      </x:c>
      <x:c r="K102" s="32" t="str">
        <x:f>IF(E102="","",IFERROR(MAXIFS('REPONSES'!$B$4:$B$2003,'REPONSES'!$V$4:$V$2003,E102,'REPONSES'!$D$4:$D$2003,'PARAMETRES'!$B$4),""))</x:f>
      </x:c>
    </x:row>
    <x:row r="103">
      <x:c r="A103" s="19" t="str">
        <x:f>IF('MEMBRES'!A103="","",'MEMBRES'!A103)</x:f>
      </x:c>
      <x:c r="B103" s="20" t="str">
        <x:f>IF('MEMBRES'!B103="","",'MEMBRES'!B103)</x:f>
      </x:c>
      <x:c r="C103" s="20" t="str">
        <x:f>IF('MEMBRES'!C103="","",'MEMBRES'!C103)</x:f>
      </x:c>
      <x:c r="D103" s="20" t="str">
        <x:f>IF('MEMBRES'!D103="","",'MEMBRES'!D103)</x:f>
      </x:c>
      <x:c r="E103" s="20" t="str">
        <x:f>IF(A103="","",UPPER(TRIM(A103&amp;" "&amp;B103)))</x:f>
      </x:c>
      <x:c r="F103" s="28" t="str">
        <x:f>IF(E103="","",COUNTIFS('REPONSES'!$V$4:$V$2003,E103,'REPONSES'!$D$4:$D$2003,'PARAMETRES'!$B$4,'REPONSES'!$O$4:$O$2003,"Présent"))</x:f>
      </x:c>
      <x:c r="G103" s="28" t="str">
        <x:f>IF(E103="","",COUNTIFS('REPONSES'!$V$4:$V$2003,E103,'REPONSES'!$D$4:$D$2003,'PARAMETRES'!$B$4,'REPONSES'!$O$4:$O$2003,"Absent excusé"))</x:f>
      </x:c>
      <x:c r="H103" s="28" t="str">
        <x:f>IF(E103="","",MAX(0,COUNTIFS('CALENDRIER'!$B$4:$B$503,'PARAMETRES'!$B$4,'CALENDRIER'!$K$4:$K$503,"Oui")-F103-G103))</x:f>
      </x:c>
      <x:c r="I103" s="28" t="str">
        <x:f>IF(E103="","",COUNTIFS('REPONSES'!$V$4:$V$2003,E103,'REPONSES'!$D$4:$D$2003,'PARAMETRES'!$B$4,'REPONSES'!$R$4:$R$2003,"Oui"))</x:f>
      </x:c>
      <x:c r="J103" s="31" t="str">
        <x:f>IF(E103="","",IFERROR(F103/(F103+G103+H103),0))</x:f>
      </x:c>
      <x:c r="K103" s="32" t="str">
        <x:f>IF(E103="","",IFERROR(MAXIFS('REPONSES'!$B$4:$B$2003,'REPONSES'!$V$4:$V$2003,E103,'REPONSES'!$D$4:$D$2003,'PARAMETRES'!$B$4),""))</x:f>
      </x:c>
    </x:row>
    <x:row r="104">
      <x:c r="A104" s="19" t="str">
        <x:f>IF('MEMBRES'!A104="","",'MEMBRES'!A104)</x:f>
      </x:c>
      <x:c r="B104" s="20" t="str">
        <x:f>IF('MEMBRES'!B104="","",'MEMBRES'!B104)</x:f>
      </x:c>
      <x:c r="C104" s="20" t="str">
        <x:f>IF('MEMBRES'!C104="","",'MEMBRES'!C104)</x:f>
      </x:c>
      <x:c r="D104" s="20" t="str">
        <x:f>IF('MEMBRES'!D104="","",'MEMBRES'!D104)</x:f>
      </x:c>
      <x:c r="E104" s="20" t="str">
        <x:f>IF(A104="","",UPPER(TRIM(A104&amp;" "&amp;B104)))</x:f>
      </x:c>
      <x:c r="F104" s="28" t="str">
        <x:f>IF(E104="","",COUNTIFS('REPONSES'!$V$4:$V$2003,E104,'REPONSES'!$D$4:$D$2003,'PARAMETRES'!$B$4,'REPONSES'!$O$4:$O$2003,"Présent"))</x:f>
      </x:c>
      <x:c r="G104" s="28" t="str">
        <x:f>IF(E104="","",COUNTIFS('REPONSES'!$V$4:$V$2003,E104,'REPONSES'!$D$4:$D$2003,'PARAMETRES'!$B$4,'REPONSES'!$O$4:$O$2003,"Absent excusé"))</x:f>
      </x:c>
      <x:c r="H104" s="28" t="str">
        <x:f>IF(E104="","",MAX(0,COUNTIFS('CALENDRIER'!$B$4:$B$503,'PARAMETRES'!$B$4,'CALENDRIER'!$K$4:$K$503,"Oui")-F104-G104))</x:f>
      </x:c>
      <x:c r="I104" s="28" t="str">
        <x:f>IF(E104="","",COUNTIFS('REPONSES'!$V$4:$V$2003,E104,'REPONSES'!$D$4:$D$2003,'PARAMETRES'!$B$4,'REPONSES'!$R$4:$R$2003,"Oui"))</x:f>
      </x:c>
      <x:c r="J104" s="31" t="str">
        <x:f>IF(E104="","",IFERROR(F104/(F104+G104+H104),0))</x:f>
      </x:c>
      <x:c r="K104" s="32" t="str">
        <x:f>IF(E104="","",IFERROR(MAXIFS('REPONSES'!$B$4:$B$2003,'REPONSES'!$V$4:$V$2003,E104,'REPONSES'!$D$4:$D$2003,'PARAMETRES'!$B$4),""))</x:f>
      </x:c>
    </x:row>
    <x:row r="105">
      <x:c r="A105" s="19" t="str">
        <x:f>IF('MEMBRES'!A105="","",'MEMBRES'!A105)</x:f>
      </x:c>
      <x:c r="B105" s="20" t="str">
        <x:f>IF('MEMBRES'!B105="","",'MEMBRES'!B105)</x:f>
      </x:c>
      <x:c r="C105" s="20" t="str">
        <x:f>IF('MEMBRES'!C105="","",'MEMBRES'!C105)</x:f>
      </x:c>
      <x:c r="D105" s="20" t="str">
        <x:f>IF('MEMBRES'!D105="","",'MEMBRES'!D105)</x:f>
      </x:c>
      <x:c r="E105" s="20" t="str">
        <x:f>IF(A105="","",UPPER(TRIM(A105&amp;" "&amp;B105)))</x:f>
      </x:c>
      <x:c r="F105" s="28" t="str">
        <x:f>IF(E105="","",COUNTIFS('REPONSES'!$V$4:$V$2003,E105,'REPONSES'!$D$4:$D$2003,'PARAMETRES'!$B$4,'REPONSES'!$O$4:$O$2003,"Présent"))</x:f>
      </x:c>
      <x:c r="G105" s="28" t="str">
        <x:f>IF(E105="","",COUNTIFS('REPONSES'!$V$4:$V$2003,E105,'REPONSES'!$D$4:$D$2003,'PARAMETRES'!$B$4,'REPONSES'!$O$4:$O$2003,"Absent excusé"))</x:f>
      </x:c>
      <x:c r="H105" s="28" t="str">
        <x:f>IF(E105="","",MAX(0,COUNTIFS('CALENDRIER'!$B$4:$B$503,'PARAMETRES'!$B$4,'CALENDRIER'!$K$4:$K$503,"Oui")-F105-G105))</x:f>
      </x:c>
      <x:c r="I105" s="28" t="str">
        <x:f>IF(E105="","",COUNTIFS('REPONSES'!$V$4:$V$2003,E105,'REPONSES'!$D$4:$D$2003,'PARAMETRES'!$B$4,'REPONSES'!$R$4:$R$2003,"Oui"))</x:f>
      </x:c>
      <x:c r="J105" s="31" t="str">
        <x:f>IF(E105="","",IFERROR(F105/(F105+G105+H105),0))</x:f>
      </x:c>
      <x:c r="K105" s="32" t="str">
        <x:f>IF(E105="","",IFERROR(MAXIFS('REPONSES'!$B$4:$B$2003,'REPONSES'!$V$4:$V$2003,E105,'REPONSES'!$D$4:$D$2003,'PARAMETRES'!$B$4),""))</x:f>
      </x:c>
    </x:row>
    <x:row r="106">
      <x:c r="A106" s="19" t="str">
        <x:f>IF('MEMBRES'!A106="","",'MEMBRES'!A106)</x:f>
      </x:c>
      <x:c r="B106" s="20" t="str">
        <x:f>IF('MEMBRES'!B106="","",'MEMBRES'!B106)</x:f>
      </x:c>
      <x:c r="C106" s="20" t="str">
        <x:f>IF('MEMBRES'!C106="","",'MEMBRES'!C106)</x:f>
      </x:c>
      <x:c r="D106" s="20" t="str">
        <x:f>IF('MEMBRES'!D106="","",'MEMBRES'!D106)</x:f>
      </x:c>
      <x:c r="E106" s="20" t="str">
        <x:f>IF(A106="","",UPPER(TRIM(A106&amp;" "&amp;B106)))</x:f>
      </x:c>
      <x:c r="F106" s="28" t="str">
        <x:f>IF(E106="","",COUNTIFS('REPONSES'!$V$4:$V$2003,E106,'REPONSES'!$D$4:$D$2003,'PARAMETRES'!$B$4,'REPONSES'!$O$4:$O$2003,"Présent"))</x:f>
      </x:c>
      <x:c r="G106" s="28" t="str">
        <x:f>IF(E106="","",COUNTIFS('REPONSES'!$V$4:$V$2003,E106,'REPONSES'!$D$4:$D$2003,'PARAMETRES'!$B$4,'REPONSES'!$O$4:$O$2003,"Absent excusé"))</x:f>
      </x:c>
      <x:c r="H106" s="28" t="str">
        <x:f>IF(E106="","",MAX(0,COUNTIFS('CALENDRIER'!$B$4:$B$503,'PARAMETRES'!$B$4,'CALENDRIER'!$K$4:$K$503,"Oui")-F106-G106))</x:f>
      </x:c>
      <x:c r="I106" s="28" t="str">
        <x:f>IF(E106="","",COUNTIFS('REPONSES'!$V$4:$V$2003,E106,'REPONSES'!$D$4:$D$2003,'PARAMETRES'!$B$4,'REPONSES'!$R$4:$R$2003,"Oui"))</x:f>
      </x:c>
      <x:c r="J106" s="31" t="str">
        <x:f>IF(E106="","",IFERROR(F106/(F106+G106+H106),0))</x:f>
      </x:c>
      <x:c r="K106" s="32" t="str">
        <x:f>IF(E106="","",IFERROR(MAXIFS('REPONSES'!$B$4:$B$2003,'REPONSES'!$V$4:$V$2003,E106,'REPONSES'!$D$4:$D$2003,'PARAMETRES'!$B$4),""))</x:f>
      </x:c>
    </x:row>
    <x:row r="107">
      <x:c r="A107" s="19" t="str">
        <x:f>IF('MEMBRES'!A107="","",'MEMBRES'!A107)</x:f>
      </x:c>
      <x:c r="B107" s="20" t="str">
        <x:f>IF('MEMBRES'!B107="","",'MEMBRES'!B107)</x:f>
      </x:c>
      <x:c r="C107" s="20" t="str">
        <x:f>IF('MEMBRES'!C107="","",'MEMBRES'!C107)</x:f>
      </x:c>
      <x:c r="D107" s="20" t="str">
        <x:f>IF('MEMBRES'!D107="","",'MEMBRES'!D107)</x:f>
      </x:c>
      <x:c r="E107" s="20" t="str">
        <x:f>IF(A107="","",UPPER(TRIM(A107&amp;" "&amp;B107)))</x:f>
      </x:c>
      <x:c r="F107" s="28" t="str">
        <x:f>IF(E107="","",COUNTIFS('REPONSES'!$V$4:$V$2003,E107,'REPONSES'!$D$4:$D$2003,'PARAMETRES'!$B$4,'REPONSES'!$O$4:$O$2003,"Présent"))</x:f>
      </x:c>
      <x:c r="G107" s="28" t="str">
        <x:f>IF(E107="","",COUNTIFS('REPONSES'!$V$4:$V$2003,E107,'REPONSES'!$D$4:$D$2003,'PARAMETRES'!$B$4,'REPONSES'!$O$4:$O$2003,"Absent excusé"))</x:f>
      </x:c>
      <x:c r="H107" s="28" t="str">
        <x:f>IF(E107="","",MAX(0,COUNTIFS('CALENDRIER'!$B$4:$B$503,'PARAMETRES'!$B$4,'CALENDRIER'!$K$4:$K$503,"Oui")-F107-G107))</x:f>
      </x:c>
      <x:c r="I107" s="28" t="str">
        <x:f>IF(E107="","",COUNTIFS('REPONSES'!$V$4:$V$2003,E107,'REPONSES'!$D$4:$D$2003,'PARAMETRES'!$B$4,'REPONSES'!$R$4:$R$2003,"Oui"))</x:f>
      </x:c>
      <x:c r="J107" s="31" t="str">
        <x:f>IF(E107="","",IFERROR(F107/(F107+G107+H107),0))</x:f>
      </x:c>
      <x:c r="K107" s="32" t="str">
        <x:f>IF(E107="","",IFERROR(MAXIFS('REPONSES'!$B$4:$B$2003,'REPONSES'!$V$4:$V$2003,E107,'REPONSES'!$D$4:$D$2003,'PARAMETRES'!$B$4),""))</x:f>
      </x:c>
    </x:row>
    <x:row r="108">
      <x:c r="A108" s="19" t="str">
        <x:f>IF('MEMBRES'!A108="","",'MEMBRES'!A108)</x:f>
      </x:c>
      <x:c r="B108" s="20" t="str">
        <x:f>IF('MEMBRES'!B108="","",'MEMBRES'!B108)</x:f>
      </x:c>
      <x:c r="C108" s="20" t="str">
        <x:f>IF('MEMBRES'!C108="","",'MEMBRES'!C108)</x:f>
      </x:c>
      <x:c r="D108" s="20" t="str">
        <x:f>IF('MEMBRES'!D108="","",'MEMBRES'!D108)</x:f>
      </x:c>
      <x:c r="E108" s="20" t="str">
        <x:f>IF(A108="","",UPPER(TRIM(A108&amp;" "&amp;B108)))</x:f>
      </x:c>
      <x:c r="F108" s="28" t="str">
        <x:f>IF(E108="","",COUNTIFS('REPONSES'!$V$4:$V$2003,E108,'REPONSES'!$D$4:$D$2003,'PARAMETRES'!$B$4,'REPONSES'!$O$4:$O$2003,"Présent"))</x:f>
      </x:c>
      <x:c r="G108" s="28" t="str">
        <x:f>IF(E108="","",COUNTIFS('REPONSES'!$V$4:$V$2003,E108,'REPONSES'!$D$4:$D$2003,'PARAMETRES'!$B$4,'REPONSES'!$O$4:$O$2003,"Absent excusé"))</x:f>
      </x:c>
      <x:c r="H108" s="28" t="str">
        <x:f>IF(E108="","",MAX(0,COUNTIFS('CALENDRIER'!$B$4:$B$503,'PARAMETRES'!$B$4,'CALENDRIER'!$K$4:$K$503,"Oui")-F108-G108))</x:f>
      </x:c>
      <x:c r="I108" s="28" t="str">
        <x:f>IF(E108="","",COUNTIFS('REPONSES'!$V$4:$V$2003,E108,'REPONSES'!$D$4:$D$2003,'PARAMETRES'!$B$4,'REPONSES'!$R$4:$R$2003,"Oui"))</x:f>
      </x:c>
      <x:c r="J108" s="31" t="str">
        <x:f>IF(E108="","",IFERROR(F108/(F108+G108+H108),0))</x:f>
      </x:c>
      <x:c r="K108" s="32" t="str">
        <x:f>IF(E108="","",IFERROR(MAXIFS('REPONSES'!$B$4:$B$2003,'REPONSES'!$V$4:$V$2003,E108,'REPONSES'!$D$4:$D$2003,'PARAMETRES'!$B$4),""))</x:f>
      </x:c>
    </x:row>
    <x:row r="109">
      <x:c r="A109" s="19" t="str">
        <x:f>IF('MEMBRES'!A109="","",'MEMBRES'!A109)</x:f>
      </x:c>
      <x:c r="B109" s="20" t="str">
        <x:f>IF('MEMBRES'!B109="","",'MEMBRES'!B109)</x:f>
      </x:c>
      <x:c r="C109" s="20" t="str">
        <x:f>IF('MEMBRES'!C109="","",'MEMBRES'!C109)</x:f>
      </x:c>
      <x:c r="D109" s="20" t="str">
        <x:f>IF('MEMBRES'!D109="","",'MEMBRES'!D109)</x:f>
      </x:c>
      <x:c r="E109" s="20" t="str">
        <x:f>IF(A109="","",UPPER(TRIM(A109&amp;" "&amp;B109)))</x:f>
      </x:c>
      <x:c r="F109" s="28" t="str">
        <x:f>IF(E109="","",COUNTIFS('REPONSES'!$V$4:$V$2003,E109,'REPONSES'!$D$4:$D$2003,'PARAMETRES'!$B$4,'REPONSES'!$O$4:$O$2003,"Présent"))</x:f>
      </x:c>
      <x:c r="G109" s="28" t="str">
        <x:f>IF(E109="","",COUNTIFS('REPONSES'!$V$4:$V$2003,E109,'REPONSES'!$D$4:$D$2003,'PARAMETRES'!$B$4,'REPONSES'!$O$4:$O$2003,"Absent excusé"))</x:f>
      </x:c>
      <x:c r="H109" s="28" t="str">
        <x:f>IF(E109="","",MAX(0,COUNTIFS('CALENDRIER'!$B$4:$B$503,'PARAMETRES'!$B$4,'CALENDRIER'!$K$4:$K$503,"Oui")-F109-G109))</x:f>
      </x:c>
      <x:c r="I109" s="28" t="str">
        <x:f>IF(E109="","",COUNTIFS('REPONSES'!$V$4:$V$2003,E109,'REPONSES'!$D$4:$D$2003,'PARAMETRES'!$B$4,'REPONSES'!$R$4:$R$2003,"Oui"))</x:f>
      </x:c>
      <x:c r="J109" s="31" t="str">
        <x:f>IF(E109="","",IFERROR(F109/(F109+G109+H109),0))</x:f>
      </x:c>
      <x:c r="K109" s="32" t="str">
        <x:f>IF(E109="","",IFERROR(MAXIFS('REPONSES'!$B$4:$B$2003,'REPONSES'!$V$4:$V$2003,E109,'REPONSES'!$D$4:$D$2003,'PARAMETRES'!$B$4),""))</x:f>
      </x:c>
    </x:row>
    <x:row r="110">
      <x:c r="A110" s="19" t="str">
        <x:f>IF('MEMBRES'!A110="","",'MEMBRES'!A110)</x:f>
      </x:c>
      <x:c r="B110" s="20" t="str">
        <x:f>IF('MEMBRES'!B110="","",'MEMBRES'!B110)</x:f>
      </x:c>
      <x:c r="C110" s="20" t="str">
        <x:f>IF('MEMBRES'!C110="","",'MEMBRES'!C110)</x:f>
      </x:c>
      <x:c r="D110" s="20" t="str">
        <x:f>IF('MEMBRES'!D110="","",'MEMBRES'!D110)</x:f>
      </x:c>
      <x:c r="E110" s="20" t="str">
        <x:f>IF(A110="","",UPPER(TRIM(A110&amp;" "&amp;B110)))</x:f>
      </x:c>
      <x:c r="F110" s="28" t="str">
        <x:f>IF(E110="","",COUNTIFS('REPONSES'!$V$4:$V$2003,E110,'REPONSES'!$D$4:$D$2003,'PARAMETRES'!$B$4,'REPONSES'!$O$4:$O$2003,"Présent"))</x:f>
      </x:c>
      <x:c r="G110" s="28" t="str">
        <x:f>IF(E110="","",COUNTIFS('REPONSES'!$V$4:$V$2003,E110,'REPONSES'!$D$4:$D$2003,'PARAMETRES'!$B$4,'REPONSES'!$O$4:$O$2003,"Absent excusé"))</x:f>
      </x:c>
      <x:c r="H110" s="28" t="str">
        <x:f>IF(E110="","",MAX(0,COUNTIFS('CALENDRIER'!$B$4:$B$503,'PARAMETRES'!$B$4,'CALENDRIER'!$K$4:$K$503,"Oui")-F110-G110))</x:f>
      </x:c>
      <x:c r="I110" s="28" t="str">
        <x:f>IF(E110="","",COUNTIFS('REPONSES'!$V$4:$V$2003,E110,'REPONSES'!$D$4:$D$2003,'PARAMETRES'!$B$4,'REPONSES'!$R$4:$R$2003,"Oui"))</x:f>
      </x:c>
      <x:c r="J110" s="31" t="str">
        <x:f>IF(E110="","",IFERROR(F110/(F110+G110+H110),0))</x:f>
      </x:c>
      <x:c r="K110" s="32" t="str">
        <x:f>IF(E110="","",IFERROR(MAXIFS('REPONSES'!$B$4:$B$2003,'REPONSES'!$V$4:$V$2003,E110,'REPONSES'!$D$4:$D$2003,'PARAMETRES'!$B$4),""))</x:f>
      </x:c>
    </x:row>
    <x:row r="111">
      <x:c r="A111" s="19" t="str">
        <x:f>IF('MEMBRES'!A111="","",'MEMBRES'!A111)</x:f>
      </x:c>
      <x:c r="B111" s="20" t="str">
        <x:f>IF('MEMBRES'!B111="","",'MEMBRES'!B111)</x:f>
      </x:c>
      <x:c r="C111" s="20" t="str">
        <x:f>IF('MEMBRES'!C111="","",'MEMBRES'!C111)</x:f>
      </x:c>
      <x:c r="D111" s="20" t="str">
        <x:f>IF('MEMBRES'!D111="","",'MEMBRES'!D111)</x:f>
      </x:c>
      <x:c r="E111" s="20" t="str">
        <x:f>IF(A111="","",UPPER(TRIM(A111&amp;" "&amp;B111)))</x:f>
      </x:c>
      <x:c r="F111" s="28" t="str">
        <x:f>IF(E111="","",COUNTIFS('REPONSES'!$V$4:$V$2003,E111,'REPONSES'!$D$4:$D$2003,'PARAMETRES'!$B$4,'REPONSES'!$O$4:$O$2003,"Présent"))</x:f>
      </x:c>
      <x:c r="G111" s="28" t="str">
        <x:f>IF(E111="","",COUNTIFS('REPONSES'!$V$4:$V$2003,E111,'REPONSES'!$D$4:$D$2003,'PARAMETRES'!$B$4,'REPONSES'!$O$4:$O$2003,"Absent excusé"))</x:f>
      </x:c>
      <x:c r="H111" s="28" t="str">
        <x:f>IF(E111="","",MAX(0,COUNTIFS('CALENDRIER'!$B$4:$B$503,'PARAMETRES'!$B$4,'CALENDRIER'!$K$4:$K$503,"Oui")-F111-G111))</x:f>
      </x:c>
      <x:c r="I111" s="28" t="str">
        <x:f>IF(E111="","",COUNTIFS('REPONSES'!$V$4:$V$2003,E111,'REPONSES'!$D$4:$D$2003,'PARAMETRES'!$B$4,'REPONSES'!$R$4:$R$2003,"Oui"))</x:f>
      </x:c>
      <x:c r="J111" s="31" t="str">
        <x:f>IF(E111="","",IFERROR(F111/(F111+G111+H111),0))</x:f>
      </x:c>
      <x:c r="K111" s="32" t="str">
        <x:f>IF(E111="","",IFERROR(MAXIFS('REPONSES'!$B$4:$B$2003,'REPONSES'!$V$4:$V$2003,E111,'REPONSES'!$D$4:$D$2003,'PARAMETRES'!$B$4),""))</x:f>
      </x:c>
    </x:row>
    <x:row r="112">
      <x:c r="A112" s="19" t="str">
        <x:f>IF('MEMBRES'!A112="","",'MEMBRES'!A112)</x:f>
      </x:c>
      <x:c r="B112" s="20" t="str">
        <x:f>IF('MEMBRES'!B112="","",'MEMBRES'!B112)</x:f>
      </x:c>
      <x:c r="C112" s="20" t="str">
        <x:f>IF('MEMBRES'!C112="","",'MEMBRES'!C112)</x:f>
      </x:c>
      <x:c r="D112" s="20" t="str">
        <x:f>IF('MEMBRES'!D112="","",'MEMBRES'!D112)</x:f>
      </x:c>
      <x:c r="E112" s="20" t="str">
        <x:f>IF(A112="","",UPPER(TRIM(A112&amp;" "&amp;B112)))</x:f>
      </x:c>
      <x:c r="F112" s="28" t="str">
        <x:f>IF(E112="","",COUNTIFS('REPONSES'!$V$4:$V$2003,E112,'REPONSES'!$D$4:$D$2003,'PARAMETRES'!$B$4,'REPONSES'!$O$4:$O$2003,"Présent"))</x:f>
      </x:c>
      <x:c r="G112" s="28" t="str">
        <x:f>IF(E112="","",COUNTIFS('REPONSES'!$V$4:$V$2003,E112,'REPONSES'!$D$4:$D$2003,'PARAMETRES'!$B$4,'REPONSES'!$O$4:$O$2003,"Absent excusé"))</x:f>
      </x:c>
      <x:c r="H112" s="28" t="str">
        <x:f>IF(E112="","",MAX(0,COUNTIFS('CALENDRIER'!$B$4:$B$503,'PARAMETRES'!$B$4,'CALENDRIER'!$K$4:$K$503,"Oui")-F112-G112))</x:f>
      </x:c>
      <x:c r="I112" s="28" t="str">
        <x:f>IF(E112="","",COUNTIFS('REPONSES'!$V$4:$V$2003,E112,'REPONSES'!$D$4:$D$2003,'PARAMETRES'!$B$4,'REPONSES'!$R$4:$R$2003,"Oui"))</x:f>
      </x:c>
      <x:c r="J112" s="31" t="str">
        <x:f>IF(E112="","",IFERROR(F112/(F112+G112+H112),0))</x:f>
      </x:c>
      <x:c r="K112" s="32" t="str">
        <x:f>IF(E112="","",IFERROR(MAXIFS('REPONSES'!$B$4:$B$2003,'REPONSES'!$V$4:$V$2003,E112,'REPONSES'!$D$4:$D$2003,'PARAMETRES'!$B$4),""))</x:f>
      </x:c>
    </x:row>
    <x:row r="113">
      <x:c r="A113" s="19" t="str">
        <x:f>IF('MEMBRES'!A113="","",'MEMBRES'!A113)</x:f>
      </x:c>
      <x:c r="B113" s="20" t="str">
        <x:f>IF('MEMBRES'!B113="","",'MEMBRES'!B113)</x:f>
      </x:c>
      <x:c r="C113" s="20" t="str">
        <x:f>IF('MEMBRES'!C113="","",'MEMBRES'!C113)</x:f>
      </x:c>
      <x:c r="D113" s="20" t="str">
        <x:f>IF('MEMBRES'!D113="","",'MEMBRES'!D113)</x:f>
      </x:c>
      <x:c r="E113" s="20" t="str">
        <x:f>IF(A113="","",UPPER(TRIM(A113&amp;" "&amp;B113)))</x:f>
      </x:c>
      <x:c r="F113" s="28" t="str">
        <x:f>IF(E113="","",COUNTIFS('REPONSES'!$V$4:$V$2003,E113,'REPONSES'!$D$4:$D$2003,'PARAMETRES'!$B$4,'REPONSES'!$O$4:$O$2003,"Présent"))</x:f>
      </x:c>
      <x:c r="G113" s="28" t="str">
        <x:f>IF(E113="","",COUNTIFS('REPONSES'!$V$4:$V$2003,E113,'REPONSES'!$D$4:$D$2003,'PARAMETRES'!$B$4,'REPONSES'!$O$4:$O$2003,"Absent excusé"))</x:f>
      </x:c>
      <x:c r="H113" s="28" t="str">
        <x:f>IF(E113="","",MAX(0,COUNTIFS('CALENDRIER'!$B$4:$B$503,'PARAMETRES'!$B$4,'CALENDRIER'!$K$4:$K$503,"Oui")-F113-G113))</x:f>
      </x:c>
      <x:c r="I113" s="28" t="str">
        <x:f>IF(E113="","",COUNTIFS('REPONSES'!$V$4:$V$2003,E113,'REPONSES'!$D$4:$D$2003,'PARAMETRES'!$B$4,'REPONSES'!$R$4:$R$2003,"Oui"))</x:f>
      </x:c>
      <x:c r="J113" s="31" t="str">
        <x:f>IF(E113="","",IFERROR(F113/(F113+G113+H113),0))</x:f>
      </x:c>
      <x:c r="K113" s="32" t="str">
        <x:f>IF(E113="","",IFERROR(MAXIFS('REPONSES'!$B$4:$B$2003,'REPONSES'!$V$4:$V$2003,E113,'REPONSES'!$D$4:$D$2003,'PARAMETRES'!$B$4),""))</x:f>
      </x:c>
    </x:row>
    <x:row r="114">
      <x:c r="A114" s="19" t="str">
        <x:f>IF('MEMBRES'!A114="","",'MEMBRES'!A114)</x:f>
      </x:c>
      <x:c r="B114" s="20" t="str">
        <x:f>IF('MEMBRES'!B114="","",'MEMBRES'!B114)</x:f>
      </x:c>
      <x:c r="C114" s="20" t="str">
        <x:f>IF('MEMBRES'!C114="","",'MEMBRES'!C114)</x:f>
      </x:c>
      <x:c r="D114" s="20" t="str">
        <x:f>IF('MEMBRES'!D114="","",'MEMBRES'!D114)</x:f>
      </x:c>
      <x:c r="E114" s="20" t="str">
        <x:f>IF(A114="","",UPPER(TRIM(A114&amp;" "&amp;B114)))</x:f>
      </x:c>
      <x:c r="F114" s="28" t="str">
        <x:f>IF(E114="","",COUNTIFS('REPONSES'!$V$4:$V$2003,E114,'REPONSES'!$D$4:$D$2003,'PARAMETRES'!$B$4,'REPONSES'!$O$4:$O$2003,"Présent"))</x:f>
      </x:c>
      <x:c r="G114" s="28" t="str">
        <x:f>IF(E114="","",COUNTIFS('REPONSES'!$V$4:$V$2003,E114,'REPONSES'!$D$4:$D$2003,'PARAMETRES'!$B$4,'REPONSES'!$O$4:$O$2003,"Absent excusé"))</x:f>
      </x:c>
      <x:c r="H114" s="28" t="str">
        <x:f>IF(E114="","",MAX(0,COUNTIFS('CALENDRIER'!$B$4:$B$503,'PARAMETRES'!$B$4,'CALENDRIER'!$K$4:$K$503,"Oui")-F114-G114))</x:f>
      </x:c>
      <x:c r="I114" s="28" t="str">
        <x:f>IF(E114="","",COUNTIFS('REPONSES'!$V$4:$V$2003,E114,'REPONSES'!$D$4:$D$2003,'PARAMETRES'!$B$4,'REPONSES'!$R$4:$R$2003,"Oui"))</x:f>
      </x:c>
      <x:c r="J114" s="31" t="str">
        <x:f>IF(E114="","",IFERROR(F114/(F114+G114+H114),0))</x:f>
      </x:c>
      <x:c r="K114" s="32" t="str">
        <x:f>IF(E114="","",IFERROR(MAXIFS('REPONSES'!$B$4:$B$2003,'REPONSES'!$V$4:$V$2003,E114,'REPONSES'!$D$4:$D$2003,'PARAMETRES'!$B$4),""))</x:f>
      </x:c>
    </x:row>
    <x:row r="115">
      <x:c r="A115" s="19" t="str">
        <x:f>IF('MEMBRES'!A115="","",'MEMBRES'!A115)</x:f>
      </x:c>
      <x:c r="B115" s="20" t="str">
        <x:f>IF('MEMBRES'!B115="","",'MEMBRES'!B115)</x:f>
      </x:c>
      <x:c r="C115" s="20" t="str">
        <x:f>IF('MEMBRES'!C115="","",'MEMBRES'!C115)</x:f>
      </x:c>
      <x:c r="D115" s="20" t="str">
        <x:f>IF('MEMBRES'!D115="","",'MEMBRES'!D115)</x:f>
      </x:c>
      <x:c r="E115" s="20" t="str">
        <x:f>IF(A115="","",UPPER(TRIM(A115&amp;" "&amp;B115)))</x:f>
      </x:c>
      <x:c r="F115" s="28" t="str">
        <x:f>IF(E115="","",COUNTIFS('REPONSES'!$V$4:$V$2003,E115,'REPONSES'!$D$4:$D$2003,'PARAMETRES'!$B$4,'REPONSES'!$O$4:$O$2003,"Présent"))</x:f>
      </x:c>
      <x:c r="G115" s="28" t="str">
        <x:f>IF(E115="","",COUNTIFS('REPONSES'!$V$4:$V$2003,E115,'REPONSES'!$D$4:$D$2003,'PARAMETRES'!$B$4,'REPONSES'!$O$4:$O$2003,"Absent excusé"))</x:f>
      </x:c>
      <x:c r="H115" s="28" t="str">
        <x:f>IF(E115="","",MAX(0,COUNTIFS('CALENDRIER'!$B$4:$B$503,'PARAMETRES'!$B$4,'CALENDRIER'!$K$4:$K$503,"Oui")-F115-G115))</x:f>
      </x:c>
      <x:c r="I115" s="28" t="str">
        <x:f>IF(E115="","",COUNTIFS('REPONSES'!$V$4:$V$2003,E115,'REPONSES'!$D$4:$D$2003,'PARAMETRES'!$B$4,'REPONSES'!$R$4:$R$2003,"Oui"))</x:f>
      </x:c>
      <x:c r="J115" s="31" t="str">
        <x:f>IF(E115="","",IFERROR(F115/(F115+G115+H115),0))</x:f>
      </x:c>
      <x:c r="K115" s="32" t="str">
        <x:f>IF(E115="","",IFERROR(MAXIFS('REPONSES'!$B$4:$B$2003,'REPONSES'!$V$4:$V$2003,E115,'REPONSES'!$D$4:$D$2003,'PARAMETRES'!$B$4),""))</x:f>
      </x:c>
    </x:row>
    <x:row r="116">
      <x:c r="A116" s="19" t="str">
        <x:f>IF('MEMBRES'!A116="","",'MEMBRES'!A116)</x:f>
      </x:c>
      <x:c r="B116" s="20" t="str">
        <x:f>IF('MEMBRES'!B116="","",'MEMBRES'!B116)</x:f>
      </x:c>
      <x:c r="C116" s="20" t="str">
        <x:f>IF('MEMBRES'!C116="","",'MEMBRES'!C116)</x:f>
      </x:c>
      <x:c r="D116" s="20" t="str">
        <x:f>IF('MEMBRES'!D116="","",'MEMBRES'!D116)</x:f>
      </x:c>
      <x:c r="E116" s="20" t="str">
        <x:f>IF(A116="","",UPPER(TRIM(A116&amp;" "&amp;B116)))</x:f>
      </x:c>
      <x:c r="F116" s="28" t="str">
        <x:f>IF(E116="","",COUNTIFS('REPONSES'!$V$4:$V$2003,E116,'REPONSES'!$D$4:$D$2003,'PARAMETRES'!$B$4,'REPONSES'!$O$4:$O$2003,"Présent"))</x:f>
      </x:c>
      <x:c r="G116" s="28" t="str">
        <x:f>IF(E116="","",COUNTIFS('REPONSES'!$V$4:$V$2003,E116,'REPONSES'!$D$4:$D$2003,'PARAMETRES'!$B$4,'REPONSES'!$O$4:$O$2003,"Absent excusé"))</x:f>
      </x:c>
      <x:c r="H116" s="28" t="str">
        <x:f>IF(E116="","",MAX(0,COUNTIFS('CALENDRIER'!$B$4:$B$503,'PARAMETRES'!$B$4,'CALENDRIER'!$K$4:$K$503,"Oui")-F116-G116))</x:f>
      </x:c>
      <x:c r="I116" s="28" t="str">
        <x:f>IF(E116="","",COUNTIFS('REPONSES'!$V$4:$V$2003,E116,'REPONSES'!$D$4:$D$2003,'PARAMETRES'!$B$4,'REPONSES'!$R$4:$R$2003,"Oui"))</x:f>
      </x:c>
      <x:c r="J116" s="31" t="str">
        <x:f>IF(E116="","",IFERROR(F116/(F116+G116+H116),0))</x:f>
      </x:c>
      <x:c r="K116" s="32" t="str">
        <x:f>IF(E116="","",IFERROR(MAXIFS('REPONSES'!$B$4:$B$2003,'REPONSES'!$V$4:$V$2003,E116,'REPONSES'!$D$4:$D$2003,'PARAMETRES'!$B$4),""))</x:f>
      </x:c>
    </x:row>
    <x:row r="117">
      <x:c r="A117" s="19" t="str">
        <x:f>IF('MEMBRES'!A117="","",'MEMBRES'!A117)</x:f>
      </x:c>
      <x:c r="B117" s="20" t="str">
        <x:f>IF('MEMBRES'!B117="","",'MEMBRES'!B117)</x:f>
      </x:c>
      <x:c r="C117" s="20" t="str">
        <x:f>IF('MEMBRES'!C117="","",'MEMBRES'!C117)</x:f>
      </x:c>
      <x:c r="D117" s="20" t="str">
        <x:f>IF('MEMBRES'!D117="","",'MEMBRES'!D117)</x:f>
      </x:c>
      <x:c r="E117" s="20" t="str">
        <x:f>IF(A117="","",UPPER(TRIM(A117&amp;" "&amp;B117)))</x:f>
      </x:c>
      <x:c r="F117" s="28" t="str">
        <x:f>IF(E117="","",COUNTIFS('REPONSES'!$V$4:$V$2003,E117,'REPONSES'!$D$4:$D$2003,'PARAMETRES'!$B$4,'REPONSES'!$O$4:$O$2003,"Présent"))</x:f>
      </x:c>
      <x:c r="G117" s="28" t="str">
        <x:f>IF(E117="","",COUNTIFS('REPONSES'!$V$4:$V$2003,E117,'REPONSES'!$D$4:$D$2003,'PARAMETRES'!$B$4,'REPONSES'!$O$4:$O$2003,"Absent excusé"))</x:f>
      </x:c>
      <x:c r="H117" s="28" t="str">
        <x:f>IF(E117="","",MAX(0,COUNTIFS('CALENDRIER'!$B$4:$B$503,'PARAMETRES'!$B$4,'CALENDRIER'!$K$4:$K$503,"Oui")-F117-G117))</x:f>
      </x:c>
      <x:c r="I117" s="28" t="str">
        <x:f>IF(E117="","",COUNTIFS('REPONSES'!$V$4:$V$2003,E117,'REPONSES'!$D$4:$D$2003,'PARAMETRES'!$B$4,'REPONSES'!$R$4:$R$2003,"Oui"))</x:f>
      </x:c>
      <x:c r="J117" s="31" t="str">
        <x:f>IF(E117="","",IFERROR(F117/(F117+G117+H117),0))</x:f>
      </x:c>
      <x:c r="K117" s="32" t="str">
        <x:f>IF(E117="","",IFERROR(MAXIFS('REPONSES'!$B$4:$B$2003,'REPONSES'!$V$4:$V$2003,E117,'REPONSES'!$D$4:$D$2003,'PARAMETRES'!$B$4),""))</x:f>
      </x:c>
    </x:row>
    <x:row r="118">
      <x:c r="A118" s="19" t="str">
        <x:f>IF('MEMBRES'!A118="","",'MEMBRES'!A118)</x:f>
      </x:c>
      <x:c r="B118" s="20" t="str">
        <x:f>IF('MEMBRES'!B118="","",'MEMBRES'!B118)</x:f>
      </x:c>
      <x:c r="C118" s="20" t="str">
        <x:f>IF('MEMBRES'!C118="","",'MEMBRES'!C118)</x:f>
      </x:c>
      <x:c r="D118" s="20" t="str">
        <x:f>IF('MEMBRES'!D118="","",'MEMBRES'!D118)</x:f>
      </x:c>
      <x:c r="E118" s="20" t="str">
        <x:f>IF(A118="","",UPPER(TRIM(A118&amp;" "&amp;B118)))</x:f>
      </x:c>
      <x:c r="F118" s="28" t="str">
        <x:f>IF(E118="","",COUNTIFS('REPONSES'!$V$4:$V$2003,E118,'REPONSES'!$D$4:$D$2003,'PARAMETRES'!$B$4,'REPONSES'!$O$4:$O$2003,"Présent"))</x:f>
      </x:c>
      <x:c r="G118" s="28" t="str">
        <x:f>IF(E118="","",COUNTIFS('REPONSES'!$V$4:$V$2003,E118,'REPONSES'!$D$4:$D$2003,'PARAMETRES'!$B$4,'REPONSES'!$O$4:$O$2003,"Absent excusé"))</x:f>
      </x:c>
      <x:c r="H118" s="28" t="str">
        <x:f>IF(E118="","",MAX(0,COUNTIFS('CALENDRIER'!$B$4:$B$503,'PARAMETRES'!$B$4,'CALENDRIER'!$K$4:$K$503,"Oui")-F118-G118))</x:f>
      </x:c>
      <x:c r="I118" s="28" t="str">
        <x:f>IF(E118="","",COUNTIFS('REPONSES'!$V$4:$V$2003,E118,'REPONSES'!$D$4:$D$2003,'PARAMETRES'!$B$4,'REPONSES'!$R$4:$R$2003,"Oui"))</x:f>
      </x:c>
      <x:c r="J118" s="31" t="str">
        <x:f>IF(E118="","",IFERROR(F118/(F118+G118+H118),0))</x:f>
      </x:c>
      <x:c r="K118" s="32" t="str">
        <x:f>IF(E118="","",IFERROR(MAXIFS('REPONSES'!$B$4:$B$2003,'REPONSES'!$V$4:$V$2003,E118,'REPONSES'!$D$4:$D$2003,'PARAMETRES'!$B$4),""))</x:f>
      </x:c>
    </x:row>
    <x:row r="119">
      <x:c r="A119" s="19" t="str">
        <x:f>IF('MEMBRES'!A119="","",'MEMBRES'!A119)</x:f>
      </x:c>
      <x:c r="B119" s="20" t="str">
        <x:f>IF('MEMBRES'!B119="","",'MEMBRES'!B119)</x:f>
      </x:c>
      <x:c r="C119" s="20" t="str">
        <x:f>IF('MEMBRES'!C119="","",'MEMBRES'!C119)</x:f>
      </x:c>
      <x:c r="D119" s="20" t="str">
        <x:f>IF('MEMBRES'!D119="","",'MEMBRES'!D119)</x:f>
      </x:c>
      <x:c r="E119" s="20" t="str">
        <x:f>IF(A119="","",UPPER(TRIM(A119&amp;" "&amp;B119)))</x:f>
      </x:c>
      <x:c r="F119" s="28" t="str">
        <x:f>IF(E119="","",COUNTIFS('REPONSES'!$V$4:$V$2003,E119,'REPONSES'!$D$4:$D$2003,'PARAMETRES'!$B$4,'REPONSES'!$O$4:$O$2003,"Présent"))</x:f>
      </x:c>
      <x:c r="G119" s="28" t="str">
        <x:f>IF(E119="","",COUNTIFS('REPONSES'!$V$4:$V$2003,E119,'REPONSES'!$D$4:$D$2003,'PARAMETRES'!$B$4,'REPONSES'!$O$4:$O$2003,"Absent excusé"))</x:f>
      </x:c>
      <x:c r="H119" s="28" t="str">
        <x:f>IF(E119="","",MAX(0,COUNTIFS('CALENDRIER'!$B$4:$B$503,'PARAMETRES'!$B$4,'CALENDRIER'!$K$4:$K$503,"Oui")-F119-G119))</x:f>
      </x:c>
      <x:c r="I119" s="28" t="str">
        <x:f>IF(E119="","",COUNTIFS('REPONSES'!$V$4:$V$2003,E119,'REPONSES'!$D$4:$D$2003,'PARAMETRES'!$B$4,'REPONSES'!$R$4:$R$2003,"Oui"))</x:f>
      </x:c>
      <x:c r="J119" s="31" t="str">
        <x:f>IF(E119="","",IFERROR(F119/(F119+G119+H119),0))</x:f>
      </x:c>
      <x:c r="K119" s="32" t="str">
        <x:f>IF(E119="","",IFERROR(MAXIFS('REPONSES'!$B$4:$B$2003,'REPONSES'!$V$4:$V$2003,E119,'REPONSES'!$D$4:$D$2003,'PARAMETRES'!$B$4),""))</x:f>
      </x:c>
    </x:row>
    <x:row r="120">
      <x:c r="A120" s="19" t="str">
        <x:f>IF('MEMBRES'!A120="","",'MEMBRES'!A120)</x:f>
      </x:c>
      <x:c r="B120" s="20" t="str">
        <x:f>IF('MEMBRES'!B120="","",'MEMBRES'!B120)</x:f>
      </x:c>
      <x:c r="C120" s="20" t="str">
        <x:f>IF('MEMBRES'!C120="","",'MEMBRES'!C120)</x:f>
      </x:c>
      <x:c r="D120" s="20" t="str">
        <x:f>IF('MEMBRES'!D120="","",'MEMBRES'!D120)</x:f>
      </x:c>
      <x:c r="E120" s="20" t="str">
        <x:f>IF(A120="","",UPPER(TRIM(A120&amp;" "&amp;B120)))</x:f>
      </x:c>
      <x:c r="F120" s="28" t="str">
        <x:f>IF(E120="","",COUNTIFS('REPONSES'!$V$4:$V$2003,E120,'REPONSES'!$D$4:$D$2003,'PARAMETRES'!$B$4,'REPONSES'!$O$4:$O$2003,"Présent"))</x:f>
      </x:c>
      <x:c r="G120" s="28" t="str">
        <x:f>IF(E120="","",COUNTIFS('REPONSES'!$V$4:$V$2003,E120,'REPONSES'!$D$4:$D$2003,'PARAMETRES'!$B$4,'REPONSES'!$O$4:$O$2003,"Absent excusé"))</x:f>
      </x:c>
      <x:c r="H120" s="28" t="str">
        <x:f>IF(E120="","",MAX(0,COUNTIFS('CALENDRIER'!$B$4:$B$503,'PARAMETRES'!$B$4,'CALENDRIER'!$K$4:$K$503,"Oui")-F120-G120))</x:f>
      </x:c>
      <x:c r="I120" s="28" t="str">
        <x:f>IF(E120="","",COUNTIFS('REPONSES'!$V$4:$V$2003,E120,'REPONSES'!$D$4:$D$2003,'PARAMETRES'!$B$4,'REPONSES'!$R$4:$R$2003,"Oui"))</x:f>
      </x:c>
      <x:c r="J120" s="31" t="str">
        <x:f>IF(E120="","",IFERROR(F120/(F120+G120+H120),0))</x:f>
      </x:c>
      <x:c r="K120" s="32" t="str">
        <x:f>IF(E120="","",IFERROR(MAXIFS('REPONSES'!$B$4:$B$2003,'REPONSES'!$V$4:$V$2003,E120,'REPONSES'!$D$4:$D$2003,'PARAMETRES'!$B$4),""))</x:f>
      </x:c>
    </x:row>
    <x:row r="121">
      <x:c r="A121" s="19" t="str">
        <x:f>IF('MEMBRES'!A121="","",'MEMBRES'!A121)</x:f>
      </x:c>
      <x:c r="B121" s="20" t="str">
        <x:f>IF('MEMBRES'!B121="","",'MEMBRES'!B121)</x:f>
      </x:c>
      <x:c r="C121" s="20" t="str">
        <x:f>IF('MEMBRES'!C121="","",'MEMBRES'!C121)</x:f>
      </x:c>
      <x:c r="D121" s="20" t="str">
        <x:f>IF('MEMBRES'!D121="","",'MEMBRES'!D121)</x:f>
      </x:c>
      <x:c r="E121" s="20" t="str">
        <x:f>IF(A121="","",UPPER(TRIM(A121&amp;" "&amp;B121)))</x:f>
      </x:c>
      <x:c r="F121" s="28" t="str">
        <x:f>IF(E121="","",COUNTIFS('REPONSES'!$V$4:$V$2003,E121,'REPONSES'!$D$4:$D$2003,'PARAMETRES'!$B$4,'REPONSES'!$O$4:$O$2003,"Présent"))</x:f>
      </x:c>
      <x:c r="G121" s="28" t="str">
        <x:f>IF(E121="","",COUNTIFS('REPONSES'!$V$4:$V$2003,E121,'REPONSES'!$D$4:$D$2003,'PARAMETRES'!$B$4,'REPONSES'!$O$4:$O$2003,"Absent excusé"))</x:f>
      </x:c>
      <x:c r="H121" s="28" t="str">
        <x:f>IF(E121="","",MAX(0,COUNTIFS('CALENDRIER'!$B$4:$B$503,'PARAMETRES'!$B$4,'CALENDRIER'!$K$4:$K$503,"Oui")-F121-G121))</x:f>
      </x:c>
      <x:c r="I121" s="28" t="str">
        <x:f>IF(E121="","",COUNTIFS('REPONSES'!$V$4:$V$2003,E121,'REPONSES'!$D$4:$D$2003,'PARAMETRES'!$B$4,'REPONSES'!$R$4:$R$2003,"Oui"))</x:f>
      </x:c>
      <x:c r="J121" s="31" t="str">
        <x:f>IF(E121="","",IFERROR(F121/(F121+G121+H121),0))</x:f>
      </x:c>
      <x:c r="K121" s="32" t="str">
        <x:f>IF(E121="","",IFERROR(MAXIFS('REPONSES'!$B$4:$B$2003,'REPONSES'!$V$4:$V$2003,E121,'REPONSES'!$D$4:$D$2003,'PARAMETRES'!$B$4),""))</x:f>
      </x:c>
    </x:row>
    <x:row r="122">
      <x:c r="A122" s="19" t="str">
        <x:f>IF('MEMBRES'!A122="","",'MEMBRES'!A122)</x:f>
      </x:c>
      <x:c r="B122" s="20" t="str">
        <x:f>IF('MEMBRES'!B122="","",'MEMBRES'!B122)</x:f>
      </x:c>
      <x:c r="C122" s="20" t="str">
        <x:f>IF('MEMBRES'!C122="","",'MEMBRES'!C122)</x:f>
      </x:c>
      <x:c r="D122" s="20" t="str">
        <x:f>IF('MEMBRES'!D122="","",'MEMBRES'!D122)</x:f>
      </x:c>
      <x:c r="E122" s="20" t="str">
        <x:f>IF(A122="","",UPPER(TRIM(A122&amp;" "&amp;B122)))</x:f>
      </x:c>
      <x:c r="F122" s="28" t="str">
        <x:f>IF(E122="","",COUNTIFS('REPONSES'!$V$4:$V$2003,E122,'REPONSES'!$D$4:$D$2003,'PARAMETRES'!$B$4,'REPONSES'!$O$4:$O$2003,"Présent"))</x:f>
      </x:c>
      <x:c r="G122" s="28" t="str">
        <x:f>IF(E122="","",COUNTIFS('REPONSES'!$V$4:$V$2003,E122,'REPONSES'!$D$4:$D$2003,'PARAMETRES'!$B$4,'REPONSES'!$O$4:$O$2003,"Absent excusé"))</x:f>
      </x:c>
      <x:c r="H122" s="28" t="str">
        <x:f>IF(E122="","",MAX(0,COUNTIFS('CALENDRIER'!$B$4:$B$503,'PARAMETRES'!$B$4,'CALENDRIER'!$K$4:$K$503,"Oui")-F122-G122))</x:f>
      </x:c>
      <x:c r="I122" s="28" t="str">
        <x:f>IF(E122="","",COUNTIFS('REPONSES'!$V$4:$V$2003,E122,'REPONSES'!$D$4:$D$2003,'PARAMETRES'!$B$4,'REPONSES'!$R$4:$R$2003,"Oui"))</x:f>
      </x:c>
      <x:c r="J122" s="31" t="str">
        <x:f>IF(E122="","",IFERROR(F122/(F122+G122+H122),0))</x:f>
      </x:c>
      <x:c r="K122" s="32" t="str">
        <x:f>IF(E122="","",IFERROR(MAXIFS('REPONSES'!$B$4:$B$2003,'REPONSES'!$V$4:$V$2003,E122,'REPONSES'!$D$4:$D$2003,'PARAMETRES'!$B$4),""))</x:f>
      </x:c>
    </x:row>
    <x:row r="123">
      <x:c r="A123" s="19" t="str">
        <x:f>IF('MEMBRES'!A123="","",'MEMBRES'!A123)</x:f>
      </x:c>
      <x:c r="B123" s="20" t="str">
        <x:f>IF('MEMBRES'!B123="","",'MEMBRES'!B123)</x:f>
      </x:c>
      <x:c r="C123" s="20" t="str">
        <x:f>IF('MEMBRES'!C123="","",'MEMBRES'!C123)</x:f>
      </x:c>
      <x:c r="D123" s="20" t="str">
        <x:f>IF('MEMBRES'!D123="","",'MEMBRES'!D123)</x:f>
      </x:c>
      <x:c r="E123" s="20" t="str">
        <x:f>IF(A123="","",UPPER(TRIM(A123&amp;" "&amp;B123)))</x:f>
      </x:c>
      <x:c r="F123" s="28" t="str">
        <x:f>IF(E123="","",COUNTIFS('REPONSES'!$V$4:$V$2003,E123,'REPONSES'!$D$4:$D$2003,'PARAMETRES'!$B$4,'REPONSES'!$O$4:$O$2003,"Présent"))</x:f>
      </x:c>
      <x:c r="G123" s="28" t="str">
        <x:f>IF(E123="","",COUNTIFS('REPONSES'!$V$4:$V$2003,E123,'REPONSES'!$D$4:$D$2003,'PARAMETRES'!$B$4,'REPONSES'!$O$4:$O$2003,"Absent excusé"))</x:f>
      </x:c>
      <x:c r="H123" s="28" t="str">
        <x:f>IF(E123="","",MAX(0,COUNTIFS('CALENDRIER'!$B$4:$B$503,'PARAMETRES'!$B$4,'CALENDRIER'!$K$4:$K$503,"Oui")-F123-G123))</x:f>
      </x:c>
      <x:c r="I123" s="28" t="str">
        <x:f>IF(E123="","",COUNTIFS('REPONSES'!$V$4:$V$2003,E123,'REPONSES'!$D$4:$D$2003,'PARAMETRES'!$B$4,'REPONSES'!$R$4:$R$2003,"Oui"))</x:f>
      </x:c>
      <x:c r="J123" s="31" t="str">
        <x:f>IF(E123="","",IFERROR(F123/(F123+G123+H123),0))</x:f>
      </x:c>
      <x:c r="K123" s="32" t="str">
        <x:f>IF(E123="","",IFERROR(MAXIFS('REPONSES'!$B$4:$B$2003,'REPONSES'!$V$4:$V$2003,E123,'REPONSES'!$D$4:$D$2003,'PARAMETRES'!$B$4),""))</x:f>
      </x:c>
    </x:row>
    <x:row r="124">
      <x:c r="A124" s="19" t="str">
        <x:f>IF('MEMBRES'!A124="","",'MEMBRES'!A124)</x:f>
      </x:c>
      <x:c r="B124" s="20" t="str">
        <x:f>IF('MEMBRES'!B124="","",'MEMBRES'!B124)</x:f>
      </x:c>
      <x:c r="C124" s="20" t="str">
        <x:f>IF('MEMBRES'!C124="","",'MEMBRES'!C124)</x:f>
      </x:c>
      <x:c r="D124" s="20" t="str">
        <x:f>IF('MEMBRES'!D124="","",'MEMBRES'!D124)</x:f>
      </x:c>
      <x:c r="E124" s="20" t="str">
        <x:f>IF(A124="","",UPPER(TRIM(A124&amp;" "&amp;B124)))</x:f>
      </x:c>
      <x:c r="F124" s="28" t="str">
        <x:f>IF(E124="","",COUNTIFS('REPONSES'!$V$4:$V$2003,E124,'REPONSES'!$D$4:$D$2003,'PARAMETRES'!$B$4,'REPONSES'!$O$4:$O$2003,"Présent"))</x:f>
      </x:c>
      <x:c r="G124" s="28" t="str">
        <x:f>IF(E124="","",COUNTIFS('REPONSES'!$V$4:$V$2003,E124,'REPONSES'!$D$4:$D$2003,'PARAMETRES'!$B$4,'REPONSES'!$O$4:$O$2003,"Absent excusé"))</x:f>
      </x:c>
      <x:c r="H124" s="28" t="str">
        <x:f>IF(E124="","",MAX(0,COUNTIFS('CALENDRIER'!$B$4:$B$503,'PARAMETRES'!$B$4,'CALENDRIER'!$K$4:$K$503,"Oui")-F124-G124))</x:f>
      </x:c>
      <x:c r="I124" s="28" t="str">
        <x:f>IF(E124="","",COUNTIFS('REPONSES'!$V$4:$V$2003,E124,'REPONSES'!$D$4:$D$2003,'PARAMETRES'!$B$4,'REPONSES'!$R$4:$R$2003,"Oui"))</x:f>
      </x:c>
      <x:c r="J124" s="31" t="str">
        <x:f>IF(E124="","",IFERROR(F124/(F124+G124+H124),0))</x:f>
      </x:c>
      <x:c r="K124" s="32" t="str">
        <x:f>IF(E124="","",IFERROR(MAXIFS('REPONSES'!$B$4:$B$2003,'REPONSES'!$V$4:$V$2003,E124,'REPONSES'!$D$4:$D$2003,'PARAMETRES'!$B$4),""))</x:f>
      </x:c>
    </x:row>
    <x:row r="125">
      <x:c r="A125" s="19" t="str">
        <x:f>IF('MEMBRES'!A125="","",'MEMBRES'!A125)</x:f>
      </x:c>
      <x:c r="B125" s="20" t="str">
        <x:f>IF('MEMBRES'!B125="","",'MEMBRES'!B125)</x:f>
      </x:c>
      <x:c r="C125" s="20" t="str">
        <x:f>IF('MEMBRES'!C125="","",'MEMBRES'!C125)</x:f>
      </x:c>
      <x:c r="D125" s="20" t="str">
        <x:f>IF('MEMBRES'!D125="","",'MEMBRES'!D125)</x:f>
      </x:c>
      <x:c r="E125" s="20" t="str">
        <x:f>IF(A125="","",UPPER(TRIM(A125&amp;" "&amp;B125)))</x:f>
      </x:c>
      <x:c r="F125" s="28" t="str">
        <x:f>IF(E125="","",COUNTIFS('REPONSES'!$V$4:$V$2003,E125,'REPONSES'!$D$4:$D$2003,'PARAMETRES'!$B$4,'REPONSES'!$O$4:$O$2003,"Présent"))</x:f>
      </x:c>
      <x:c r="G125" s="28" t="str">
        <x:f>IF(E125="","",COUNTIFS('REPONSES'!$V$4:$V$2003,E125,'REPONSES'!$D$4:$D$2003,'PARAMETRES'!$B$4,'REPONSES'!$O$4:$O$2003,"Absent excusé"))</x:f>
      </x:c>
      <x:c r="H125" s="28" t="str">
        <x:f>IF(E125="","",MAX(0,COUNTIFS('CALENDRIER'!$B$4:$B$503,'PARAMETRES'!$B$4,'CALENDRIER'!$K$4:$K$503,"Oui")-F125-G125))</x:f>
      </x:c>
      <x:c r="I125" s="28" t="str">
        <x:f>IF(E125="","",COUNTIFS('REPONSES'!$V$4:$V$2003,E125,'REPONSES'!$D$4:$D$2003,'PARAMETRES'!$B$4,'REPONSES'!$R$4:$R$2003,"Oui"))</x:f>
      </x:c>
      <x:c r="J125" s="31" t="str">
        <x:f>IF(E125="","",IFERROR(F125/(F125+G125+H125),0))</x:f>
      </x:c>
      <x:c r="K125" s="32" t="str">
        <x:f>IF(E125="","",IFERROR(MAXIFS('REPONSES'!$B$4:$B$2003,'REPONSES'!$V$4:$V$2003,E125,'REPONSES'!$D$4:$D$2003,'PARAMETRES'!$B$4),""))</x:f>
      </x:c>
    </x:row>
    <x:row r="126">
      <x:c r="A126" s="19" t="str">
        <x:f>IF('MEMBRES'!A126="","",'MEMBRES'!A126)</x:f>
      </x:c>
      <x:c r="B126" s="20" t="str">
        <x:f>IF('MEMBRES'!B126="","",'MEMBRES'!B126)</x:f>
      </x:c>
      <x:c r="C126" s="20" t="str">
        <x:f>IF('MEMBRES'!C126="","",'MEMBRES'!C126)</x:f>
      </x:c>
      <x:c r="D126" s="20" t="str">
        <x:f>IF('MEMBRES'!D126="","",'MEMBRES'!D126)</x:f>
      </x:c>
      <x:c r="E126" s="20" t="str">
        <x:f>IF(A126="","",UPPER(TRIM(A126&amp;" "&amp;B126)))</x:f>
      </x:c>
      <x:c r="F126" s="28" t="str">
        <x:f>IF(E126="","",COUNTIFS('REPONSES'!$V$4:$V$2003,E126,'REPONSES'!$D$4:$D$2003,'PARAMETRES'!$B$4,'REPONSES'!$O$4:$O$2003,"Présent"))</x:f>
      </x:c>
      <x:c r="G126" s="28" t="str">
        <x:f>IF(E126="","",COUNTIFS('REPONSES'!$V$4:$V$2003,E126,'REPONSES'!$D$4:$D$2003,'PARAMETRES'!$B$4,'REPONSES'!$O$4:$O$2003,"Absent excusé"))</x:f>
      </x:c>
      <x:c r="H126" s="28" t="str">
        <x:f>IF(E126="","",MAX(0,COUNTIFS('CALENDRIER'!$B$4:$B$503,'PARAMETRES'!$B$4,'CALENDRIER'!$K$4:$K$503,"Oui")-F126-G126))</x:f>
      </x:c>
      <x:c r="I126" s="28" t="str">
        <x:f>IF(E126="","",COUNTIFS('REPONSES'!$V$4:$V$2003,E126,'REPONSES'!$D$4:$D$2003,'PARAMETRES'!$B$4,'REPONSES'!$R$4:$R$2003,"Oui"))</x:f>
      </x:c>
      <x:c r="J126" s="31" t="str">
        <x:f>IF(E126="","",IFERROR(F126/(F126+G126+H126),0))</x:f>
      </x:c>
      <x:c r="K126" s="32" t="str">
        <x:f>IF(E126="","",IFERROR(MAXIFS('REPONSES'!$B$4:$B$2003,'REPONSES'!$V$4:$V$2003,E126,'REPONSES'!$D$4:$D$2003,'PARAMETRES'!$B$4),""))</x:f>
      </x:c>
    </x:row>
    <x:row r="127">
      <x:c r="A127" s="19" t="str">
        <x:f>IF('MEMBRES'!A127="","",'MEMBRES'!A127)</x:f>
      </x:c>
      <x:c r="B127" s="20" t="str">
        <x:f>IF('MEMBRES'!B127="","",'MEMBRES'!B127)</x:f>
      </x:c>
      <x:c r="C127" s="20" t="str">
        <x:f>IF('MEMBRES'!C127="","",'MEMBRES'!C127)</x:f>
      </x:c>
      <x:c r="D127" s="20" t="str">
        <x:f>IF('MEMBRES'!D127="","",'MEMBRES'!D127)</x:f>
      </x:c>
      <x:c r="E127" s="20" t="str">
        <x:f>IF(A127="","",UPPER(TRIM(A127&amp;" "&amp;B127)))</x:f>
      </x:c>
      <x:c r="F127" s="28" t="str">
        <x:f>IF(E127="","",COUNTIFS('REPONSES'!$V$4:$V$2003,E127,'REPONSES'!$D$4:$D$2003,'PARAMETRES'!$B$4,'REPONSES'!$O$4:$O$2003,"Présent"))</x:f>
      </x:c>
      <x:c r="G127" s="28" t="str">
        <x:f>IF(E127="","",COUNTIFS('REPONSES'!$V$4:$V$2003,E127,'REPONSES'!$D$4:$D$2003,'PARAMETRES'!$B$4,'REPONSES'!$O$4:$O$2003,"Absent excusé"))</x:f>
      </x:c>
      <x:c r="H127" s="28" t="str">
        <x:f>IF(E127="","",MAX(0,COUNTIFS('CALENDRIER'!$B$4:$B$503,'PARAMETRES'!$B$4,'CALENDRIER'!$K$4:$K$503,"Oui")-F127-G127))</x:f>
      </x:c>
      <x:c r="I127" s="28" t="str">
        <x:f>IF(E127="","",COUNTIFS('REPONSES'!$V$4:$V$2003,E127,'REPONSES'!$D$4:$D$2003,'PARAMETRES'!$B$4,'REPONSES'!$R$4:$R$2003,"Oui"))</x:f>
      </x:c>
      <x:c r="J127" s="31" t="str">
        <x:f>IF(E127="","",IFERROR(F127/(F127+G127+H127),0))</x:f>
      </x:c>
      <x:c r="K127" s="32" t="str">
        <x:f>IF(E127="","",IFERROR(MAXIFS('REPONSES'!$B$4:$B$2003,'REPONSES'!$V$4:$V$2003,E127,'REPONSES'!$D$4:$D$2003,'PARAMETRES'!$B$4),""))</x:f>
      </x:c>
    </x:row>
    <x:row r="128">
      <x:c r="A128" s="19" t="str">
        <x:f>IF('MEMBRES'!A128="","",'MEMBRES'!A128)</x:f>
      </x:c>
      <x:c r="B128" s="20" t="str">
        <x:f>IF('MEMBRES'!B128="","",'MEMBRES'!B128)</x:f>
      </x:c>
      <x:c r="C128" s="20" t="str">
        <x:f>IF('MEMBRES'!C128="","",'MEMBRES'!C128)</x:f>
      </x:c>
      <x:c r="D128" s="20" t="str">
        <x:f>IF('MEMBRES'!D128="","",'MEMBRES'!D128)</x:f>
      </x:c>
      <x:c r="E128" s="20" t="str">
        <x:f>IF(A128="","",UPPER(TRIM(A128&amp;" "&amp;B128)))</x:f>
      </x:c>
      <x:c r="F128" s="28" t="str">
        <x:f>IF(E128="","",COUNTIFS('REPONSES'!$V$4:$V$2003,E128,'REPONSES'!$D$4:$D$2003,'PARAMETRES'!$B$4,'REPONSES'!$O$4:$O$2003,"Présent"))</x:f>
      </x:c>
      <x:c r="G128" s="28" t="str">
        <x:f>IF(E128="","",COUNTIFS('REPONSES'!$V$4:$V$2003,E128,'REPONSES'!$D$4:$D$2003,'PARAMETRES'!$B$4,'REPONSES'!$O$4:$O$2003,"Absent excusé"))</x:f>
      </x:c>
      <x:c r="H128" s="28" t="str">
        <x:f>IF(E128="","",MAX(0,COUNTIFS('CALENDRIER'!$B$4:$B$503,'PARAMETRES'!$B$4,'CALENDRIER'!$K$4:$K$503,"Oui")-F128-G128))</x:f>
      </x:c>
      <x:c r="I128" s="28" t="str">
        <x:f>IF(E128="","",COUNTIFS('REPONSES'!$V$4:$V$2003,E128,'REPONSES'!$D$4:$D$2003,'PARAMETRES'!$B$4,'REPONSES'!$R$4:$R$2003,"Oui"))</x:f>
      </x:c>
      <x:c r="J128" s="31" t="str">
        <x:f>IF(E128="","",IFERROR(F128/(F128+G128+H128),0))</x:f>
      </x:c>
      <x:c r="K128" s="32" t="str">
        <x:f>IF(E128="","",IFERROR(MAXIFS('REPONSES'!$B$4:$B$2003,'REPONSES'!$V$4:$V$2003,E128,'REPONSES'!$D$4:$D$2003,'PARAMETRES'!$B$4),""))</x:f>
      </x:c>
    </x:row>
    <x:row r="129">
      <x:c r="A129" s="19" t="str">
        <x:f>IF('MEMBRES'!A129="","",'MEMBRES'!A129)</x:f>
      </x:c>
      <x:c r="B129" s="20" t="str">
        <x:f>IF('MEMBRES'!B129="","",'MEMBRES'!B129)</x:f>
      </x:c>
      <x:c r="C129" s="20" t="str">
        <x:f>IF('MEMBRES'!C129="","",'MEMBRES'!C129)</x:f>
      </x:c>
      <x:c r="D129" s="20" t="str">
        <x:f>IF('MEMBRES'!D129="","",'MEMBRES'!D129)</x:f>
      </x:c>
      <x:c r="E129" s="20" t="str">
        <x:f>IF(A129="","",UPPER(TRIM(A129&amp;" "&amp;B129)))</x:f>
      </x:c>
      <x:c r="F129" s="28" t="str">
        <x:f>IF(E129="","",COUNTIFS('REPONSES'!$V$4:$V$2003,E129,'REPONSES'!$D$4:$D$2003,'PARAMETRES'!$B$4,'REPONSES'!$O$4:$O$2003,"Présent"))</x:f>
      </x:c>
      <x:c r="G129" s="28" t="str">
        <x:f>IF(E129="","",COUNTIFS('REPONSES'!$V$4:$V$2003,E129,'REPONSES'!$D$4:$D$2003,'PARAMETRES'!$B$4,'REPONSES'!$O$4:$O$2003,"Absent excusé"))</x:f>
      </x:c>
      <x:c r="H129" s="28" t="str">
        <x:f>IF(E129="","",MAX(0,COUNTIFS('CALENDRIER'!$B$4:$B$503,'PARAMETRES'!$B$4,'CALENDRIER'!$K$4:$K$503,"Oui")-F129-G129))</x:f>
      </x:c>
      <x:c r="I129" s="28" t="str">
        <x:f>IF(E129="","",COUNTIFS('REPONSES'!$V$4:$V$2003,E129,'REPONSES'!$D$4:$D$2003,'PARAMETRES'!$B$4,'REPONSES'!$R$4:$R$2003,"Oui"))</x:f>
      </x:c>
      <x:c r="J129" s="31" t="str">
        <x:f>IF(E129="","",IFERROR(F129/(F129+G129+H129),0))</x:f>
      </x:c>
      <x:c r="K129" s="32" t="str">
        <x:f>IF(E129="","",IFERROR(MAXIFS('REPONSES'!$B$4:$B$2003,'REPONSES'!$V$4:$V$2003,E129,'REPONSES'!$D$4:$D$2003,'PARAMETRES'!$B$4),""))</x:f>
      </x:c>
    </x:row>
    <x:row r="130">
      <x:c r="A130" s="19" t="str">
        <x:f>IF('MEMBRES'!A130="","",'MEMBRES'!A130)</x:f>
      </x:c>
      <x:c r="B130" s="20" t="str">
        <x:f>IF('MEMBRES'!B130="","",'MEMBRES'!B130)</x:f>
      </x:c>
      <x:c r="C130" s="20" t="str">
        <x:f>IF('MEMBRES'!C130="","",'MEMBRES'!C130)</x:f>
      </x:c>
      <x:c r="D130" s="20" t="str">
        <x:f>IF('MEMBRES'!D130="","",'MEMBRES'!D130)</x:f>
      </x:c>
      <x:c r="E130" s="20" t="str">
        <x:f>IF(A130="","",UPPER(TRIM(A130&amp;" "&amp;B130)))</x:f>
      </x:c>
      <x:c r="F130" s="28" t="str">
        <x:f>IF(E130="","",COUNTIFS('REPONSES'!$V$4:$V$2003,E130,'REPONSES'!$D$4:$D$2003,'PARAMETRES'!$B$4,'REPONSES'!$O$4:$O$2003,"Présent"))</x:f>
      </x:c>
      <x:c r="G130" s="28" t="str">
        <x:f>IF(E130="","",COUNTIFS('REPONSES'!$V$4:$V$2003,E130,'REPONSES'!$D$4:$D$2003,'PARAMETRES'!$B$4,'REPONSES'!$O$4:$O$2003,"Absent excusé"))</x:f>
      </x:c>
      <x:c r="H130" s="28" t="str">
        <x:f>IF(E130="","",MAX(0,COUNTIFS('CALENDRIER'!$B$4:$B$503,'PARAMETRES'!$B$4,'CALENDRIER'!$K$4:$K$503,"Oui")-F130-G130))</x:f>
      </x:c>
      <x:c r="I130" s="28" t="str">
        <x:f>IF(E130="","",COUNTIFS('REPONSES'!$V$4:$V$2003,E130,'REPONSES'!$D$4:$D$2003,'PARAMETRES'!$B$4,'REPONSES'!$R$4:$R$2003,"Oui"))</x:f>
      </x:c>
      <x:c r="J130" s="31" t="str">
        <x:f>IF(E130="","",IFERROR(F130/(F130+G130+H130),0))</x:f>
      </x:c>
      <x:c r="K130" s="32" t="str">
        <x:f>IF(E130="","",IFERROR(MAXIFS('REPONSES'!$B$4:$B$2003,'REPONSES'!$V$4:$V$2003,E130,'REPONSES'!$D$4:$D$2003,'PARAMETRES'!$B$4),""))</x:f>
      </x:c>
    </x:row>
    <x:row r="131">
      <x:c r="A131" s="19" t="str">
        <x:f>IF('MEMBRES'!A131="","",'MEMBRES'!A131)</x:f>
      </x:c>
      <x:c r="B131" s="20" t="str">
        <x:f>IF('MEMBRES'!B131="","",'MEMBRES'!B131)</x:f>
      </x:c>
      <x:c r="C131" s="20" t="str">
        <x:f>IF('MEMBRES'!C131="","",'MEMBRES'!C131)</x:f>
      </x:c>
      <x:c r="D131" s="20" t="str">
        <x:f>IF('MEMBRES'!D131="","",'MEMBRES'!D131)</x:f>
      </x:c>
      <x:c r="E131" s="20" t="str">
        <x:f>IF(A131="","",UPPER(TRIM(A131&amp;" "&amp;B131)))</x:f>
      </x:c>
      <x:c r="F131" s="28" t="str">
        <x:f>IF(E131="","",COUNTIFS('REPONSES'!$V$4:$V$2003,E131,'REPONSES'!$D$4:$D$2003,'PARAMETRES'!$B$4,'REPONSES'!$O$4:$O$2003,"Présent"))</x:f>
      </x:c>
      <x:c r="G131" s="28" t="str">
        <x:f>IF(E131="","",COUNTIFS('REPONSES'!$V$4:$V$2003,E131,'REPONSES'!$D$4:$D$2003,'PARAMETRES'!$B$4,'REPONSES'!$O$4:$O$2003,"Absent excusé"))</x:f>
      </x:c>
      <x:c r="H131" s="28" t="str">
        <x:f>IF(E131="","",MAX(0,COUNTIFS('CALENDRIER'!$B$4:$B$503,'PARAMETRES'!$B$4,'CALENDRIER'!$K$4:$K$503,"Oui")-F131-G131))</x:f>
      </x:c>
      <x:c r="I131" s="28" t="str">
        <x:f>IF(E131="","",COUNTIFS('REPONSES'!$V$4:$V$2003,E131,'REPONSES'!$D$4:$D$2003,'PARAMETRES'!$B$4,'REPONSES'!$R$4:$R$2003,"Oui"))</x:f>
      </x:c>
      <x:c r="J131" s="31" t="str">
        <x:f>IF(E131="","",IFERROR(F131/(F131+G131+H131),0))</x:f>
      </x:c>
      <x:c r="K131" s="32" t="str">
        <x:f>IF(E131="","",IFERROR(MAXIFS('REPONSES'!$B$4:$B$2003,'REPONSES'!$V$4:$V$2003,E131,'REPONSES'!$D$4:$D$2003,'PARAMETRES'!$B$4),""))</x:f>
      </x:c>
    </x:row>
    <x:row r="132">
      <x:c r="A132" s="19" t="str">
        <x:f>IF('MEMBRES'!A132="","",'MEMBRES'!A132)</x:f>
      </x:c>
      <x:c r="B132" s="20" t="str">
        <x:f>IF('MEMBRES'!B132="","",'MEMBRES'!B132)</x:f>
      </x:c>
      <x:c r="C132" s="20" t="str">
        <x:f>IF('MEMBRES'!C132="","",'MEMBRES'!C132)</x:f>
      </x:c>
      <x:c r="D132" s="20" t="str">
        <x:f>IF('MEMBRES'!D132="","",'MEMBRES'!D132)</x:f>
      </x:c>
      <x:c r="E132" s="20" t="str">
        <x:f>IF(A132="","",UPPER(TRIM(A132&amp;" "&amp;B132)))</x:f>
      </x:c>
      <x:c r="F132" s="28" t="str">
        <x:f>IF(E132="","",COUNTIFS('REPONSES'!$V$4:$V$2003,E132,'REPONSES'!$D$4:$D$2003,'PARAMETRES'!$B$4,'REPONSES'!$O$4:$O$2003,"Présent"))</x:f>
      </x:c>
      <x:c r="G132" s="28" t="str">
        <x:f>IF(E132="","",COUNTIFS('REPONSES'!$V$4:$V$2003,E132,'REPONSES'!$D$4:$D$2003,'PARAMETRES'!$B$4,'REPONSES'!$O$4:$O$2003,"Absent excusé"))</x:f>
      </x:c>
      <x:c r="H132" s="28" t="str">
        <x:f>IF(E132="","",MAX(0,COUNTIFS('CALENDRIER'!$B$4:$B$503,'PARAMETRES'!$B$4,'CALENDRIER'!$K$4:$K$503,"Oui")-F132-G132))</x:f>
      </x:c>
      <x:c r="I132" s="28" t="str">
        <x:f>IF(E132="","",COUNTIFS('REPONSES'!$V$4:$V$2003,E132,'REPONSES'!$D$4:$D$2003,'PARAMETRES'!$B$4,'REPONSES'!$R$4:$R$2003,"Oui"))</x:f>
      </x:c>
      <x:c r="J132" s="31" t="str">
        <x:f>IF(E132="","",IFERROR(F132/(F132+G132+H132),0))</x:f>
      </x:c>
      <x:c r="K132" s="32" t="str">
        <x:f>IF(E132="","",IFERROR(MAXIFS('REPONSES'!$B$4:$B$2003,'REPONSES'!$V$4:$V$2003,E132,'REPONSES'!$D$4:$D$2003,'PARAMETRES'!$B$4),""))</x:f>
      </x:c>
    </x:row>
    <x:row r="133">
      <x:c r="A133" s="19" t="str">
        <x:f>IF('MEMBRES'!A133="","",'MEMBRES'!A133)</x:f>
      </x:c>
      <x:c r="B133" s="20" t="str">
        <x:f>IF('MEMBRES'!B133="","",'MEMBRES'!B133)</x:f>
      </x:c>
      <x:c r="C133" s="20" t="str">
        <x:f>IF('MEMBRES'!C133="","",'MEMBRES'!C133)</x:f>
      </x:c>
      <x:c r="D133" s="20" t="str">
        <x:f>IF('MEMBRES'!D133="","",'MEMBRES'!D133)</x:f>
      </x:c>
      <x:c r="E133" s="20" t="str">
        <x:f>IF(A133="","",UPPER(TRIM(A133&amp;" "&amp;B133)))</x:f>
      </x:c>
      <x:c r="F133" s="28" t="str">
        <x:f>IF(E133="","",COUNTIFS('REPONSES'!$V$4:$V$2003,E133,'REPONSES'!$D$4:$D$2003,'PARAMETRES'!$B$4,'REPONSES'!$O$4:$O$2003,"Présent"))</x:f>
      </x:c>
      <x:c r="G133" s="28" t="str">
        <x:f>IF(E133="","",COUNTIFS('REPONSES'!$V$4:$V$2003,E133,'REPONSES'!$D$4:$D$2003,'PARAMETRES'!$B$4,'REPONSES'!$O$4:$O$2003,"Absent excusé"))</x:f>
      </x:c>
      <x:c r="H133" s="28" t="str">
        <x:f>IF(E133="","",MAX(0,COUNTIFS('CALENDRIER'!$B$4:$B$503,'PARAMETRES'!$B$4,'CALENDRIER'!$K$4:$K$503,"Oui")-F133-G133))</x:f>
      </x:c>
      <x:c r="I133" s="28" t="str">
        <x:f>IF(E133="","",COUNTIFS('REPONSES'!$V$4:$V$2003,E133,'REPONSES'!$D$4:$D$2003,'PARAMETRES'!$B$4,'REPONSES'!$R$4:$R$2003,"Oui"))</x:f>
      </x:c>
      <x:c r="J133" s="31" t="str">
        <x:f>IF(E133="","",IFERROR(F133/(F133+G133+H133),0))</x:f>
      </x:c>
      <x:c r="K133" s="32" t="str">
        <x:f>IF(E133="","",IFERROR(MAXIFS('REPONSES'!$B$4:$B$2003,'REPONSES'!$V$4:$V$2003,E133,'REPONSES'!$D$4:$D$2003,'PARAMETRES'!$B$4),""))</x:f>
      </x:c>
    </x:row>
    <x:row r="134">
      <x:c r="A134" s="19" t="str">
        <x:f>IF('MEMBRES'!A134="","",'MEMBRES'!A134)</x:f>
      </x:c>
      <x:c r="B134" s="20" t="str">
        <x:f>IF('MEMBRES'!B134="","",'MEMBRES'!B134)</x:f>
      </x:c>
      <x:c r="C134" s="20" t="str">
        <x:f>IF('MEMBRES'!C134="","",'MEMBRES'!C134)</x:f>
      </x:c>
      <x:c r="D134" s="20" t="str">
        <x:f>IF('MEMBRES'!D134="","",'MEMBRES'!D134)</x:f>
      </x:c>
      <x:c r="E134" s="20" t="str">
        <x:f>IF(A134="","",UPPER(TRIM(A134&amp;" "&amp;B134)))</x:f>
      </x:c>
      <x:c r="F134" s="28" t="str">
        <x:f>IF(E134="","",COUNTIFS('REPONSES'!$V$4:$V$2003,E134,'REPONSES'!$D$4:$D$2003,'PARAMETRES'!$B$4,'REPONSES'!$O$4:$O$2003,"Présent"))</x:f>
      </x:c>
      <x:c r="G134" s="28" t="str">
        <x:f>IF(E134="","",COUNTIFS('REPONSES'!$V$4:$V$2003,E134,'REPONSES'!$D$4:$D$2003,'PARAMETRES'!$B$4,'REPONSES'!$O$4:$O$2003,"Absent excusé"))</x:f>
      </x:c>
      <x:c r="H134" s="28" t="str">
        <x:f>IF(E134="","",MAX(0,COUNTIFS('CALENDRIER'!$B$4:$B$503,'PARAMETRES'!$B$4,'CALENDRIER'!$K$4:$K$503,"Oui")-F134-G134))</x:f>
      </x:c>
      <x:c r="I134" s="28" t="str">
        <x:f>IF(E134="","",COUNTIFS('REPONSES'!$V$4:$V$2003,E134,'REPONSES'!$D$4:$D$2003,'PARAMETRES'!$B$4,'REPONSES'!$R$4:$R$2003,"Oui"))</x:f>
      </x:c>
      <x:c r="J134" s="31" t="str">
        <x:f>IF(E134="","",IFERROR(F134/(F134+G134+H134),0))</x:f>
      </x:c>
      <x:c r="K134" s="32" t="str">
        <x:f>IF(E134="","",IFERROR(MAXIFS('REPONSES'!$B$4:$B$2003,'REPONSES'!$V$4:$V$2003,E134,'REPONSES'!$D$4:$D$2003,'PARAMETRES'!$B$4),""))</x:f>
      </x:c>
    </x:row>
    <x:row r="135">
      <x:c r="A135" s="19" t="str">
        <x:f>IF('MEMBRES'!A135="","",'MEMBRES'!A135)</x:f>
      </x:c>
      <x:c r="B135" s="20" t="str">
        <x:f>IF('MEMBRES'!B135="","",'MEMBRES'!B135)</x:f>
      </x:c>
      <x:c r="C135" s="20" t="str">
        <x:f>IF('MEMBRES'!C135="","",'MEMBRES'!C135)</x:f>
      </x:c>
      <x:c r="D135" s="20" t="str">
        <x:f>IF('MEMBRES'!D135="","",'MEMBRES'!D135)</x:f>
      </x:c>
      <x:c r="E135" s="20" t="str">
        <x:f>IF(A135="","",UPPER(TRIM(A135&amp;" "&amp;B135)))</x:f>
      </x:c>
      <x:c r="F135" s="28" t="str">
        <x:f>IF(E135="","",COUNTIFS('REPONSES'!$V$4:$V$2003,E135,'REPONSES'!$D$4:$D$2003,'PARAMETRES'!$B$4,'REPONSES'!$O$4:$O$2003,"Présent"))</x:f>
      </x:c>
      <x:c r="G135" s="28" t="str">
        <x:f>IF(E135="","",COUNTIFS('REPONSES'!$V$4:$V$2003,E135,'REPONSES'!$D$4:$D$2003,'PARAMETRES'!$B$4,'REPONSES'!$O$4:$O$2003,"Absent excusé"))</x:f>
      </x:c>
      <x:c r="H135" s="28" t="str">
        <x:f>IF(E135="","",MAX(0,COUNTIFS('CALENDRIER'!$B$4:$B$503,'PARAMETRES'!$B$4,'CALENDRIER'!$K$4:$K$503,"Oui")-F135-G135))</x:f>
      </x:c>
      <x:c r="I135" s="28" t="str">
        <x:f>IF(E135="","",COUNTIFS('REPONSES'!$V$4:$V$2003,E135,'REPONSES'!$D$4:$D$2003,'PARAMETRES'!$B$4,'REPONSES'!$R$4:$R$2003,"Oui"))</x:f>
      </x:c>
      <x:c r="J135" s="31" t="str">
        <x:f>IF(E135="","",IFERROR(F135/(F135+G135+H135),0))</x:f>
      </x:c>
      <x:c r="K135" s="32" t="str">
        <x:f>IF(E135="","",IFERROR(MAXIFS('REPONSES'!$B$4:$B$2003,'REPONSES'!$V$4:$V$2003,E135,'REPONSES'!$D$4:$D$2003,'PARAMETRES'!$B$4),""))</x:f>
      </x:c>
    </x:row>
    <x:row r="136">
      <x:c r="A136" s="19" t="str">
        <x:f>IF('MEMBRES'!A136="","",'MEMBRES'!A136)</x:f>
      </x:c>
      <x:c r="B136" s="20" t="str">
        <x:f>IF('MEMBRES'!B136="","",'MEMBRES'!B136)</x:f>
      </x:c>
      <x:c r="C136" s="20" t="str">
        <x:f>IF('MEMBRES'!C136="","",'MEMBRES'!C136)</x:f>
      </x:c>
      <x:c r="D136" s="20" t="str">
        <x:f>IF('MEMBRES'!D136="","",'MEMBRES'!D136)</x:f>
      </x:c>
      <x:c r="E136" s="20" t="str">
        <x:f>IF(A136="","",UPPER(TRIM(A136&amp;" "&amp;B136)))</x:f>
      </x:c>
      <x:c r="F136" s="28" t="str">
        <x:f>IF(E136="","",COUNTIFS('REPONSES'!$V$4:$V$2003,E136,'REPONSES'!$D$4:$D$2003,'PARAMETRES'!$B$4,'REPONSES'!$O$4:$O$2003,"Présent"))</x:f>
      </x:c>
      <x:c r="G136" s="28" t="str">
        <x:f>IF(E136="","",COUNTIFS('REPONSES'!$V$4:$V$2003,E136,'REPONSES'!$D$4:$D$2003,'PARAMETRES'!$B$4,'REPONSES'!$O$4:$O$2003,"Absent excusé"))</x:f>
      </x:c>
      <x:c r="H136" s="28" t="str">
        <x:f>IF(E136="","",MAX(0,COUNTIFS('CALENDRIER'!$B$4:$B$503,'PARAMETRES'!$B$4,'CALENDRIER'!$K$4:$K$503,"Oui")-F136-G136))</x:f>
      </x:c>
      <x:c r="I136" s="28" t="str">
        <x:f>IF(E136="","",COUNTIFS('REPONSES'!$V$4:$V$2003,E136,'REPONSES'!$D$4:$D$2003,'PARAMETRES'!$B$4,'REPONSES'!$R$4:$R$2003,"Oui"))</x:f>
      </x:c>
      <x:c r="J136" s="31" t="str">
        <x:f>IF(E136="","",IFERROR(F136/(F136+G136+H136),0))</x:f>
      </x:c>
      <x:c r="K136" s="32" t="str">
        <x:f>IF(E136="","",IFERROR(MAXIFS('REPONSES'!$B$4:$B$2003,'REPONSES'!$V$4:$V$2003,E136,'REPONSES'!$D$4:$D$2003,'PARAMETRES'!$B$4),""))</x:f>
      </x:c>
    </x:row>
    <x:row r="137">
      <x:c r="A137" s="19" t="str">
        <x:f>IF('MEMBRES'!A137="","",'MEMBRES'!A137)</x:f>
      </x:c>
      <x:c r="B137" s="20" t="str">
        <x:f>IF('MEMBRES'!B137="","",'MEMBRES'!B137)</x:f>
      </x:c>
      <x:c r="C137" s="20" t="str">
        <x:f>IF('MEMBRES'!C137="","",'MEMBRES'!C137)</x:f>
      </x:c>
      <x:c r="D137" s="20" t="str">
        <x:f>IF('MEMBRES'!D137="","",'MEMBRES'!D137)</x:f>
      </x:c>
      <x:c r="E137" s="20" t="str">
        <x:f>IF(A137="","",UPPER(TRIM(A137&amp;" "&amp;B137)))</x:f>
      </x:c>
      <x:c r="F137" s="28" t="str">
        <x:f>IF(E137="","",COUNTIFS('REPONSES'!$V$4:$V$2003,E137,'REPONSES'!$D$4:$D$2003,'PARAMETRES'!$B$4,'REPONSES'!$O$4:$O$2003,"Présent"))</x:f>
      </x:c>
      <x:c r="G137" s="28" t="str">
        <x:f>IF(E137="","",COUNTIFS('REPONSES'!$V$4:$V$2003,E137,'REPONSES'!$D$4:$D$2003,'PARAMETRES'!$B$4,'REPONSES'!$O$4:$O$2003,"Absent excusé"))</x:f>
      </x:c>
      <x:c r="H137" s="28" t="str">
        <x:f>IF(E137="","",MAX(0,COUNTIFS('CALENDRIER'!$B$4:$B$503,'PARAMETRES'!$B$4,'CALENDRIER'!$K$4:$K$503,"Oui")-F137-G137))</x:f>
      </x:c>
      <x:c r="I137" s="28" t="str">
        <x:f>IF(E137="","",COUNTIFS('REPONSES'!$V$4:$V$2003,E137,'REPONSES'!$D$4:$D$2003,'PARAMETRES'!$B$4,'REPONSES'!$R$4:$R$2003,"Oui"))</x:f>
      </x:c>
      <x:c r="J137" s="31" t="str">
        <x:f>IF(E137="","",IFERROR(F137/(F137+G137+H137),0))</x:f>
      </x:c>
      <x:c r="K137" s="32" t="str">
        <x:f>IF(E137="","",IFERROR(MAXIFS('REPONSES'!$B$4:$B$2003,'REPONSES'!$V$4:$V$2003,E137,'REPONSES'!$D$4:$D$2003,'PARAMETRES'!$B$4),""))</x:f>
      </x:c>
    </x:row>
    <x:row r="138">
      <x:c r="A138" s="19" t="str">
        <x:f>IF('MEMBRES'!A138="","",'MEMBRES'!A138)</x:f>
      </x:c>
      <x:c r="B138" s="20" t="str">
        <x:f>IF('MEMBRES'!B138="","",'MEMBRES'!B138)</x:f>
      </x:c>
      <x:c r="C138" s="20" t="str">
        <x:f>IF('MEMBRES'!C138="","",'MEMBRES'!C138)</x:f>
      </x:c>
      <x:c r="D138" s="20" t="str">
        <x:f>IF('MEMBRES'!D138="","",'MEMBRES'!D138)</x:f>
      </x:c>
      <x:c r="E138" s="20" t="str">
        <x:f>IF(A138="","",UPPER(TRIM(A138&amp;" "&amp;B138)))</x:f>
      </x:c>
      <x:c r="F138" s="28" t="str">
        <x:f>IF(E138="","",COUNTIFS('REPONSES'!$V$4:$V$2003,E138,'REPONSES'!$D$4:$D$2003,'PARAMETRES'!$B$4,'REPONSES'!$O$4:$O$2003,"Présent"))</x:f>
      </x:c>
      <x:c r="G138" s="28" t="str">
        <x:f>IF(E138="","",COUNTIFS('REPONSES'!$V$4:$V$2003,E138,'REPONSES'!$D$4:$D$2003,'PARAMETRES'!$B$4,'REPONSES'!$O$4:$O$2003,"Absent excusé"))</x:f>
      </x:c>
      <x:c r="H138" s="28" t="str">
        <x:f>IF(E138="","",MAX(0,COUNTIFS('CALENDRIER'!$B$4:$B$503,'PARAMETRES'!$B$4,'CALENDRIER'!$K$4:$K$503,"Oui")-F138-G138))</x:f>
      </x:c>
      <x:c r="I138" s="28" t="str">
        <x:f>IF(E138="","",COUNTIFS('REPONSES'!$V$4:$V$2003,E138,'REPONSES'!$D$4:$D$2003,'PARAMETRES'!$B$4,'REPONSES'!$R$4:$R$2003,"Oui"))</x:f>
      </x:c>
      <x:c r="J138" s="31" t="str">
        <x:f>IF(E138="","",IFERROR(F138/(F138+G138+H138),0))</x:f>
      </x:c>
      <x:c r="K138" s="32" t="str">
        <x:f>IF(E138="","",IFERROR(MAXIFS('REPONSES'!$B$4:$B$2003,'REPONSES'!$V$4:$V$2003,E138,'REPONSES'!$D$4:$D$2003,'PARAMETRES'!$B$4),""))</x:f>
      </x:c>
    </x:row>
    <x:row r="139">
      <x:c r="A139" s="19" t="str">
        <x:f>IF('MEMBRES'!A139="","",'MEMBRES'!A139)</x:f>
      </x:c>
      <x:c r="B139" s="20" t="str">
        <x:f>IF('MEMBRES'!B139="","",'MEMBRES'!B139)</x:f>
      </x:c>
      <x:c r="C139" s="20" t="str">
        <x:f>IF('MEMBRES'!C139="","",'MEMBRES'!C139)</x:f>
      </x:c>
      <x:c r="D139" s="20" t="str">
        <x:f>IF('MEMBRES'!D139="","",'MEMBRES'!D139)</x:f>
      </x:c>
      <x:c r="E139" s="20" t="str">
        <x:f>IF(A139="","",UPPER(TRIM(A139&amp;" "&amp;B139)))</x:f>
      </x:c>
      <x:c r="F139" s="28" t="str">
        <x:f>IF(E139="","",COUNTIFS('REPONSES'!$V$4:$V$2003,E139,'REPONSES'!$D$4:$D$2003,'PARAMETRES'!$B$4,'REPONSES'!$O$4:$O$2003,"Présent"))</x:f>
      </x:c>
      <x:c r="G139" s="28" t="str">
        <x:f>IF(E139="","",COUNTIFS('REPONSES'!$V$4:$V$2003,E139,'REPONSES'!$D$4:$D$2003,'PARAMETRES'!$B$4,'REPONSES'!$O$4:$O$2003,"Absent excusé"))</x:f>
      </x:c>
      <x:c r="H139" s="28" t="str">
        <x:f>IF(E139="","",MAX(0,COUNTIFS('CALENDRIER'!$B$4:$B$503,'PARAMETRES'!$B$4,'CALENDRIER'!$K$4:$K$503,"Oui")-F139-G139))</x:f>
      </x:c>
      <x:c r="I139" s="28" t="str">
        <x:f>IF(E139="","",COUNTIFS('REPONSES'!$V$4:$V$2003,E139,'REPONSES'!$D$4:$D$2003,'PARAMETRES'!$B$4,'REPONSES'!$R$4:$R$2003,"Oui"))</x:f>
      </x:c>
      <x:c r="J139" s="31" t="str">
        <x:f>IF(E139="","",IFERROR(F139/(F139+G139+H139),0))</x:f>
      </x:c>
      <x:c r="K139" s="32" t="str">
        <x:f>IF(E139="","",IFERROR(MAXIFS('REPONSES'!$B$4:$B$2003,'REPONSES'!$V$4:$V$2003,E139,'REPONSES'!$D$4:$D$2003,'PARAMETRES'!$B$4),""))</x:f>
      </x:c>
    </x:row>
    <x:row r="140">
      <x:c r="A140" s="19" t="str">
        <x:f>IF('MEMBRES'!A140="","",'MEMBRES'!A140)</x:f>
      </x:c>
      <x:c r="B140" s="20" t="str">
        <x:f>IF('MEMBRES'!B140="","",'MEMBRES'!B140)</x:f>
      </x:c>
      <x:c r="C140" s="20" t="str">
        <x:f>IF('MEMBRES'!C140="","",'MEMBRES'!C140)</x:f>
      </x:c>
      <x:c r="D140" s="20" t="str">
        <x:f>IF('MEMBRES'!D140="","",'MEMBRES'!D140)</x:f>
      </x:c>
      <x:c r="E140" s="20" t="str">
        <x:f>IF(A140="","",UPPER(TRIM(A140&amp;" "&amp;B140)))</x:f>
      </x:c>
      <x:c r="F140" s="28" t="str">
        <x:f>IF(E140="","",COUNTIFS('REPONSES'!$V$4:$V$2003,E140,'REPONSES'!$D$4:$D$2003,'PARAMETRES'!$B$4,'REPONSES'!$O$4:$O$2003,"Présent"))</x:f>
      </x:c>
      <x:c r="G140" s="28" t="str">
        <x:f>IF(E140="","",COUNTIFS('REPONSES'!$V$4:$V$2003,E140,'REPONSES'!$D$4:$D$2003,'PARAMETRES'!$B$4,'REPONSES'!$O$4:$O$2003,"Absent excusé"))</x:f>
      </x:c>
      <x:c r="H140" s="28" t="str">
        <x:f>IF(E140="","",MAX(0,COUNTIFS('CALENDRIER'!$B$4:$B$503,'PARAMETRES'!$B$4,'CALENDRIER'!$K$4:$K$503,"Oui")-F140-G140))</x:f>
      </x:c>
      <x:c r="I140" s="28" t="str">
        <x:f>IF(E140="","",COUNTIFS('REPONSES'!$V$4:$V$2003,E140,'REPONSES'!$D$4:$D$2003,'PARAMETRES'!$B$4,'REPONSES'!$R$4:$R$2003,"Oui"))</x:f>
      </x:c>
      <x:c r="J140" s="31" t="str">
        <x:f>IF(E140="","",IFERROR(F140/(F140+G140+H140),0))</x:f>
      </x:c>
      <x:c r="K140" s="32" t="str">
        <x:f>IF(E140="","",IFERROR(MAXIFS('REPONSES'!$B$4:$B$2003,'REPONSES'!$V$4:$V$2003,E140,'REPONSES'!$D$4:$D$2003,'PARAMETRES'!$B$4),""))</x:f>
      </x:c>
    </x:row>
    <x:row r="141">
      <x:c r="A141" s="19" t="str">
        <x:f>IF('MEMBRES'!A141="","",'MEMBRES'!A141)</x:f>
      </x:c>
      <x:c r="B141" s="20" t="str">
        <x:f>IF('MEMBRES'!B141="","",'MEMBRES'!B141)</x:f>
      </x:c>
      <x:c r="C141" s="20" t="str">
        <x:f>IF('MEMBRES'!C141="","",'MEMBRES'!C141)</x:f>
      </x:c>
      <x:c r="D141" s="20" t="str">
        <x:f>IF('MEMBRES'!D141="","",'MEMBRES'!D141)</x:f>
      </x:c>
      <x:c r="E141" s="20" t="str">
        <x:f>IF(A141="","",UPPER(TRIM(A141&amp;" "&amp;B141)))</x:f>
      </x:c>
      <x:c r="F141" s="28" t="str">
        <x:f>IF(E141="","",COUNTIFS('REPONSES'!$V$4:$V$2003,E141,'REPONSES'!$D$4:$D$2003,'PARAMETRES'!$B$4,'REPONSES'!$O$4:$O$2003,"Présent"))</x:f>
      </x:c>
      <x:c r="G141" s="28" t="str">
        <x:f>IF(E141="","",COUNTIFS('REPONSES'!$V$4:$V$2003,E141,'REPONSES'!$D$4:$D$2003,'PARAMETRES'!$B$4,'REPONSES'!$O$4:$O$2003,"Absent excusé"))</x:f>
      </x:c>
      <x:c r="H141" s="28" t="str">
        <x:f>IF(E141="","",MAX(0,COUNTIFS('CALENDRIER'!$B$4:$B$503,'PARAMETRES'!$B$4,'CALENDRIER'!$K$4:$K$503,"Oui")-F141-G141))</x:f>
      </x:c>
      <x:c r="I141" s="28" t="str">
        <x:f>IF(E141="","",COUNTIFS('REPONSES'!$V$4:$V$2003,E141,'REPONSES'!$D$4:$D$2003,'PARAMETRES'!$B$4,'REPONSES'!$R$4:$R$2003,"Oui"))</x:f>
      </x:c>
      <x:c r="J141" s="31" t="str">
        <x:f>IF(E141="","",IFERROR(F141/(F141+G141+H141),0))</x:f>
      </x:c>
      <x:c r="K141" s="32" t="str">
        <x:f>IF(E141="","",IFERROR(MAXIFS('REPONSES'!$B$4:$B$2003,'REPONSES'!$V$4:$V$2003,E141,'REPONSES'!$D$4:$D$2003,'PARAMETRES'!$B$4),""))</x:f>
      </x:c>
    </x:row>
    <x:row r="142">
      <x:c r="A142" s="19" t="str">
        <x:f>IF('MEMBRES'!A142="","",'MEMBRES'!A142)</x:f>
      </x:c>
      <x:c r="B142" s="20" t="str">
        <x:f>IF('MEMBRES'!B142="","",'MEMBRES'!B142)</x:f>
      </x:c>
      <x:c r="C142" s="20" t="str">
        <x:f>IF('MEMBRES'!C142="","",'MEMBRES'!C142)</x:f>
      </x:c>
      <x:c r="D142" s="20" t="str">
        <x:f>IF('MEMBRES'!D142="","",'MEMBRES'!D142)</x:f>
      </x:c>
      <x:c r="E142" s="20" t="str">
        <x:f>IF(A142="","",UPPER(TRIM(A142&amp;" "&amp;B142)))</x:f>
      </x:c>
      <x:c r="F142" s="28" t="str">
        <x:f>IF(E142="","",COUNTIFS('REPONSES'!$V$4:$V$2003,E142,'REPONSES'!$D$4:$D$2003,'PARAMETRES'!$B$4,'REPONSES'!$O$4:$O$2003,"Présent"))</x:f>
      </x:c>
      <x:c r="G142" s="28" t="str">
        <x:f>IF(E142="","",COUNTIFS('REPONSES'!$V$4:$V$2003,E142,'REPONSES'!$D$4:$D$2003,'PARAMETRES'!$B$4,'REPONSES'!$O$4:$O$2003,"Absent excusé"))</x:f>
      </x:c>
      <x:c r="H142" s="28" t="str">
        <x:f>IF(E142="","",MAX(0,COUNTIFS('CALENDRIER'!$B$4:$B$503,'PARAMETRES'!$B$4,'CALENDRIER'!$K$4:$K$503,"Oui")-F142-G142))</x:f>
      </x:c>
      <x:c r="I142" s="28" t="str">
        <x:f>IF(E142="","",COUNTIFS('REPONSES'!$V$4:$V$2003,E142,'REPONSES'!$D$4:$D$2003,'PARAMETRES'!$B$4,'REPONSES'!$R$4:$R$2003,"Oui"))</x:f>
      </x:c>
      <x:c r="J142" s="31" t="str">
        <x:f>IF(E142="","",IFERROR(F142/(F142+G142+H142),0))</x:f>
      </x:c>
      <x:c r="K142" s="32" t="str">
        <x:f>IF(E142="","",IFERROR(MAXIFS('REPONSES'!$B$4:$B$2003,'REPONSES'!$V$4:$V$2003,E142,'REPONSES'!$D$4:$D$2003,'PARAMETRES'!$B$4),""))</x:f>
      </x:c>
    </x:row>
    <x:row r="143">
      <x:c r="A143" s="19" t="str">
        <x:f>IF('MEMBRES'!A143="","",'MEMBRES'!A143)</x:f>
      </x:c>
      <x:c r="B143" s="20" t="str">
        <x:f>IF('MEMBRES'!B143="","",'MEMBRES'!B143)</x:f>
      </x:c>
      <x:c r="C143" s="20" t="str">
        <x:f>IF('MEMBRES'!C143="","",'MEMBRES'!C143)</x:f>
      </x:c>
      <x:c r="D143" s="20" t="str">
        <x:f>IF('MEMBRES'!D143="","",'MEMBRES'!D143)</x:f>
      </x:c>
      <x:c r="E143" s="20" t="str">
        <x:f>IF(A143="","",UPPER(TRIM(A143&amp;" "&amp;B143)))</x:f>
      </x:c>
      <x:c r="F143" s="28" t="str">
        <x:f>IF(E143="","",COUNTIFS('REPONSES'!$V$4:$V$2003,E143,'REPONSES'!$D$4:$D$2003,'PARAMETRES'!$B$4,'REPONSES'!$O$4:$O$2003,"Présent"))</x:f>
      </x:c>
      <x:c r="G143" s="28" t="str">
        <x:f>IF(E143="","",COUNTIFS('REPONSES'!$V$4:$V$2003,E143,'REPONSES'!$D$4:$D$2003,'PARAMETRES'!$B$4,'REPONSES'!$O$4:$O$2003,"Absent excusé"))</x:f>
      </x:c>
      <x:c r="H143" s="28" t="str">
        <x:f>IF(E143="","",MAX(0,COUNTIFS('CALENDRIER'!$B$4:$B$503,'PARAMETRES'!$B$4,'CALENDRIER'!$K$4:$K$503,"Oui")-F143-G143))</x:f>
      </x:c>
      <x:c r="I143" s="28" t="str">
        <x:f>IF(E143="","",COUNTIFS('REPONSES'!$V$4:$V$2003,E143,'REPONSES'!$D$4:$D$2003,'PARAMETRES'!$B$4,'REPONSES'!$R$4:$R$2003,"Oui"))</x:f>
      </x:c>
      <x:c r="J143" s="31" t="str">
        <x:f>IF(E143="","",IFERROR(F143/(F143+G143+H143),0))</x:f>
      </x:c>
      <x:c r="K143" s="32" t="str">
        <x:f>IF(E143="","",IFERROR(MAXIFS('REPONSES'!$B$4:$B$2003,'REPONSES'!$V$4:$V$2003,E143,'REPONSES'!$D$4:$D$2003,'PARAMETRES'!$B$4),""))</x:f>
      </x:c>
    </x:row>
    <x:row r="144">
      <x:c r="A144" s="19" t="str">
        <x:f>IF('MEMBRES'!A144="","",'MEMBRES'!A144)</x:f>
      </x:c>
      <x:c r="B144" s="20" t="str">
        <x:f>IF('MEMBRES'!B144="","",'MEMBRES'!B144)</x:f>
      </x:c>
      <x:c r="C144" s="20" t="str">
        <x:f>IF('MEMBRES'!C144="","",'MEMBRES'!C144)</x:f>
      </x:c>
      <x:c r="D144" s="20" t="str">
        <x:f>IF('MEMBRES'!D144="","",'MEMBRES'!D144)</x:f>
      </x:c>
      <x:c r="E144" s="20" t="str">
        <x:f>IF(A144="","",UPPER(TRIM(A144&amp;" "&amp;B144)))</x:f>
      </x:c>
      <x:c r="F144" s="28" t="str">
        <x:f>IF(E144="","",COUNTIFS('REPONSES'!$V$4:$V$2003,E144,'REPONSES'!$D$4:$D$2003,'PARAMETRES'!$B$4,'REPONSES'!$O$4:$O$2003,"Présent"))</x:f>
      </x:c>
      <x:c r="G144" s="28" t="str">
        <x:f>IF(E144="","",COUNTIFS('REPONSES'!$V$4:$V$2003,E144,'REPONSES'!$D$4:$D$2003,'PARAMETRES'!$B$4,'REPONSES'!$O$4:$O$2003,"Absent excusé"))</x:f>
      </x:c>
      <x:c r="H144" s="28" t="str">
        <x:f>IF(E144="","",MAX(0,COUNTIFS('CALENDRIER'!$B$4:$B$503,'PARAMETRES'!$B$4,'CALENDRIER'!$K$4:$K$503,"Oui")-F144-G144))</x:f>
      </x:c>
      <x:c r="I144" s="28" t="str">
        <x:f>IF(E144="","",COUNTIFS('REPONSES'!$V$4:$V$2003,E144,'REPONSES'!$D$4:$D$2003,'PARAMETRES'!$B$4,'REPONSES'!$R$4:$R$2003,"Oui"))</x:f>
      </x:c>
      <x:c r="J144" s="31" t="str">
        <x:f>IF(E144="","",IFERROR(F144/(F144+G144+H144),0))</x:f>
      </x:c>
      <x:c r="K144" s="32" t="str">
        <x:f>IF(E144="","",IFERROR(MAXIFS('REPONSES'!$B$4:$B$2003,'REPONSES'!$V$4:$V$2003,E144,'REPONSES'!$D$4:$D$2003,'PARAMETRES'!$B$4),""))</x:f>
      </x:c>
    </x:row>
    <x:row r="145">
      <x:c r="A145" s="19" t="str">
        <x:f>IF('MEMBRES'!A145="","",'MEMBRES'!A145)</x:f>
      </x:c>
      <x:c r="B145" s="20" t="str">
        <x:f>IF('MEMBRES'!B145="","",'MEMBRES'!B145)</x:f>
      </x:c>
      <x:c r="C145" s="20" t="str">
        <x:f>IF('MEMBRES'!C145="","",'MEMBRES'!C145)</x:f>
      </x:c>
      <x:c r="D145" s="20" t="str">
        <x:f>IF('MEMBRES'!D145="","",'MEMBRES'!D145)</x:f>
      </x:c>
      <x:c r="E145" s="20" t="str">
        <x:f>IF(A145="","",UPPER(TRIM(A145&amp;" "&amp;B145)))</x:f>
      </x:c>
      <x:c r="F145" s="28" t="str">
        <x:f>IF(E145="","",COUNTIFS('REPONSES'!$V$4:$V$2003,E145,'REPONSES'!$D$4:$D$2003,'PARAMETRES'!$B$4,'REPONSES'!$O$4:$O$2003,"Présent"))</x:f>
      </x:c>
      <x:c r="G145" s="28" t="str">
        <x:f>IF(E145="","",COUNTIFS('REPONSES'!$V$4:$V$2003,E145,'REPONSES'!$D$4:$D$2003,'PARAMETRES'!$B$4,'REPONSES'!$O$4:$O$2003,"Absent excusé"))</x:f>
      </x:c>
      <x:c r="H145" s="28" t="str">
        <x:f>IF(E145="","",MAX(0,COUNTIFS('CALENDRIER'!$B$4:$B$503,'PARAMETRES'!$B$4,'CALENDRIER'!$K$4:$K$503,"Oui")-F145-G145))</x:f>
      </x:c>
      <x:c r="I145" s="28" t="str">
        <x:f>IF(E145="","",COUNTIFS('REPONSES'!$V$4:$V$2003,E145,'REPONSES'!$D$4:$D$2003,'PARAMETRES'!$B$4,'REPONSES'!$R$4:$R$2003,"Oui"))</x:f>
      </x:c>
      <x:c r="J145" s="31" t="str">
        <x:f>IF(E145="","",IFERROR(F145/(F145+G145+H145),0))</x:f>
      </x:c>
      <x:c r="K145" s="32" t="str">
        <x:f>IF(E145="","",IFERROR(MAXIFS('REPONSES'!$B$4:$B$2003,'REPONSES'!$V$4:$V$2003,E145,'REPONSES'!$D$4:$D$2003,'PARAMETRES'!$B$4),""))</x:f>
      </x:c>
    </x:row>
    <x:row r="146">
      <x:c r="A146" s="19" t="str">
        <x:f>IF('MEMBRES'!A146="","",'MEMBRES'!A146)</x:f>
      </x:c>
      <x:c r="B146" s="20" t="str">
        <x:f>IF('MEMBRES'!B146="","",'MEMBRES'!B146)</x:f>
      </x:c>
      <x:c r="C146" s="20" t="str">
        <x:f>IF('MEMBRES'!C146="","",'MEMBRES'!C146)</x:f>
      </x:c>
      <x:c r="D146" s="20" t="str">
        <x:f>IF('MEMBRES'!D146="","",'MEMBRES'!D146)</x:f>
      </x:c>
      <x:c r="E146" s="20" t="str">
        <x:f>IF(A146="","",UPPER(TRIM(A146&amp;" "&amp;B146)))</x:f>
      </x:c>
      <x:c r="F146" s="28" t="str">
        <x:f>IF(E146="","",COUNTIFS('REPONSES'!$V$4:$V$2003,E146,'REPONSES'!$D$4:$D$2003,'PARAMETRES'!$B$4,'REPONSES'!$O$4:$O$2003,"Présent"))</x:f>
      </x:c>
      <x:c r="G146" s="28" t="str">
        <x:f>IF(E146="","",COUNTIFS('REPONSES'!$V$4:$V$2003,E146,'REPONSES'!$D$4:$D$2003,'PARAMETRES'!$B$4,'REPONSES'!$O$4:$O$2003,"Absent excusé"))</x:f>
      </x:c>
      <x:c r="H146" s="28" t="str">
        <x:f>IF(E146="","",MAX(0,COUNTIFS('CALENDRIER'!$B$4:$B$503,'PARAMETRES'!$B$4,'CALENDRIER'!$K$4:$K$503,"Oui")-F146-G146))</x:f>
      </x:c>
      <x:c r="I146" s="28" t="str">
        <x:f>IF(E146="","",COUNTIFS('REPONSES'!$V$4:$V$2003,E146,'REPONSES'!$D$4:$D$2003,'PARAMETRES'!$B$4,'REPONSES'!$R$4:$R$2003,"Oui"))</x:f>
      </x:c>
      <x:c r="J146" s="31" t="str">
        <x:f>IF(E146="","",IFERROR(F146/(F146+G146+H146),0))</x:f>
      </x:c>
      <x:c r="K146" s="32" t="str">
        <x:f>IF(E146="","",IFERROR(MAXIFS('REPONSES'!$B$4:$B$2003,'REPONSES'!$V$4:$V$2003,E146,'REPONSES'!$D$4:$D$2003,'PARAMETRES'!$B$4),""))</x:f>
      </x:c>
    </x:row>
    <x:row r="147">
      <x:c r="A147" s="19" t="str">
        <x:f>IF('MEMBRES'!A147="","",'MEMBRES'!A147)</x:f>
      </x:c>
      <x:c r="B147" s="20" t="str">
        <x:f>IF('MEMBRES'!B147="","",'MEMBRES'!B147)</x:f>
      </x:c>
      <x:c r="C147" s="20" t="str">
        <x:f>IF('MEMBRES'!C147="","",'MEMBRES'!C147)</x:f>
      </x:c>
      <x:c r="D147" s="20" t="str">
        <x:f>IF('MEMBRES'!D147="","",'MEMBRES'!D147)</x:f>
      </x:c>
      <x:c r="E147" s="20" t="str">
        <x:f>IF(A147="","",UPPER(TRIM(A147&amp;" "&amp;B147)))</x:f>
      </x:c>
      <x:c r="F147" s="28" t="str">
        <x:f>IF(E147="","",COUNTIFS('REPONSES'!$V$4:$V$2003,E147,'REPONSES'!$D$4:$D$2003,'PARAMETRES'!$B$4,'REPONSES'!$O$4:$O$2003,"Présent"))</x:f>
      </x:c>
      <x:c r="G147" s="28" t="str">
        <x:f>IF(E147="","",COUNTIFS('REPONSES'!$V$4:$V$2003,E147,'REPONSES'!$D$4:$D$2003,'PARAMETRES'!$B$4,'REPONSES'!$O$4:$O$2003,"Absent excusé"))</x:f>
      </x:c>
      <x:c r="H147" s="28" t="str">
        <x:f>IF(E147="","",MAX(0,COUNTIFS('CALENDRIER'!$B$4:$B$503,'PARAMETRES'!$B$4,'CALENDRIER'!$K$4:$K$503,"Oui")-F147-G147))</x:f>
      </x:c>
      <x:c r="I147" s="28" t="str">
        <x:f>IF(E147="","",COUNTIFS('REPONSES'!$V$4:$V$2003,E147,'REPONSES'!$D$4:$D$2003,'PARAMETRES'!$B$4,'REPONSES'!$R$4:$R$2003,"Oui"))</x:f>
      </x:c>
      <x:c r="J147" s="31" t="str">
        <x:f>IF(E147="","",IFERROR(F147/(F147+G147+H147),0))</x:f>
      </x:c>
      <x:c r="K147" s="32" t="str">
        <x:f>IF(E147="","",IFERROR(MAXIFS('REPONSES'!$B$4:$B$2003,'REPONSES'!$V$4:$V$2003,E147,'REPONSES'!$D$4:$D$2003,'PARAMETRES'!$B$4),""))</x:f>
      </x:c>
    </x:row>
    <x:row r="148">
      <x:c r="A148" s="19" t="str">
        <x:f>IF('MEMBRES'!A148="","",'MEMBRES'!A148)</x:f>
      </x:c>
      <x:c r="B148" s="20" t="str">
        <x:f>IF('MEMBRES'!B148="","",'MEMBRES'!B148)</x:f>
      </x:c>
      <x:c r="C148" s="20" t="str">
        <x:f>IF('MEMBRES'!C148="","",'MEMBRES'!C148)</x:f>
      </x:c>
      <x:c r="D148" s="20" t="str">
        <x:f>IF('MEMBRES'!D148="","",'MEMBRES'!D148)</x:f>
      </x:c>
      <x:c r="E148" s="20" t="str">
        <x:f>IF(A148="","",UPPER(TRIM(A148&amp;" "&amp;B148)))</x:f>
      </x:c>
      <x:c r="F148" s="28" t="str">
        <x:f>IF(E148="","",COUNTIFS('REPONSES'!$V$4:$V$2003,E148,'REPONSES'!$D$4:$D$2003,'PARAMETRES'!$B$4,'REPONSES'!$O$4:$O$2003,"Présent"))</x:f>
      </x:c>
      <x:c r="G148" s="28" t="str">
        <x:f>IF(E148="","",COUNTIFS('REPONSES'!$V$4:$V$2003,E148,'REPONSES'!$D$4:$D$2003,'PARAMETRES'!$B$4,'REPONSES'!$O$4:$O$2003,"Absent excusé"))</x:f>
      </x:c>
      <x:c r="H148" s="28" t="str">
        <x:f>IF(E148="","",MAX(0,COUNTIFS('CALENDRIER'!$B$4:$B$503,'PARAMETRES'!$B$4,'CALENDRIER'!$K$4:$K$503,"Oui")-F148-G148))</x:f>
      </x:c>
      <x:c r="I148" s="28" t="str">
        <x:f>IF(E148="","",COUNTIFS('REPONSES'!$V$4:$V$2003,E148,'REPONSES'!$D$4:$D$2003,'PARAMETRES'!$B$4,'REPONSES'!$R$4:$R$2003,"Oui"))</x:f>
      </x:c>
      <x:c r="J148" s="31" t="str">
        <x:f>IF(E148="","",IFERROR(F148/(F148+G148+H148),0))</x:f>
      </x:c>
      <x:c r="K148" s="32" t="str">
        <x:f>IF(E148="","",IFERROR(MAXIFS('REPONSES'!$B$4:$B$2003,'REPONSES'!$V$4:$V$2003,E148,'REPONSES'!$D$4:$D$2003,'PARAMETRES'!$B$4),""))</x:f>
      </x:c>
    </x:row>
    <x:row r="149">
      <x:c r="A149" s="19" t="str">
        <x:f>IF('MEMBRES'!A149="","",'MEMBRES'!A149)</x:f>
      </x:c>
      <x:c r="B149" s="20" t="str">
        <x:f>IF('MEMBRES'!B149="","",'MEMBRES'!B149)</x:f>
      </x:c>
      <x:c r="C149" s="20" t="str">
        <x:f>IF('MEMBRES'!C149="","",'MEMBRES'!C149)</x:f>
      </x:c>
      <x:c r="D149" s="20" t="str">
        <x:f>IF('MEMBRES'!D149="","",'MEMBRES'!D149)</x:f>
      </x:c>
      <x:c r="E149" s="20" t="str">
        <x:f>IF(A149="","",UPPER(TRIM(A149&amp;" "&amp;B149)))</x:f>
      </x:c>
      <x:c r="F149" s="28" t="str">
        <x:f>IF(E149="","",COUNTIFS('REPONSES'!$V$4:$V$2003,E149,'REPONSES'!$D$4:$D$2003,'PARAMETRES'!$B$4,'REPONSES'!$O$4:$O$2003,"Présent"))</x:f>
      </x:c>
      <x:c r="G149" s="28" t="str">
        <x:f>IF(E149="","",COUNTIFS('REPONSES'!$V$4:$V$2003,E149,'REPONSES'!$D$4:$D$2003,'PARAMETRES'!$B$4,'REPONSES'!$O$4:$O$2003,"Absent excusé"))</x:f>
      </x:c>
      <x:c r="H149" s="28" t="str">
        <x:f>IF(E149="","",MAX(0,COUNTIFS('CALENDRIER'!$B$4:$B$503,'PARAMETRES'!$B$4,'CALENDRIER'!$K$4:$K$503,"Oui")-F149-G149))</x:f>
      </x:c>
      <x:c r="I149" s="28" t="str">
        <x:f>IF(E149="","",COUNTIFS('REPONSES'!$V$4:$V$2003,E149,'REPONSES'!$D$4:$D$2003,'PARAMETRES'!$B$4,'REPONSES'!$R$4:$R$2003,"Oui"))</x:f>
      </x:c>
      <x:c r="J149" s="31" t="str">
        <x:f>IF(E149="","",IFERROR(F149/(F149+G149+H149),0))</x:f>
      </x:c>
      <x:c r="K149" s="32" t="str">
        <x:f>IF(E149="","",IFERROR(MAXIFS('REPONSES'!$B$4:$B$2003,'REPONSES'!$V$4:$V$2003,E149,'REPONSES'!$D$4:$D$2003,'PARAMETRES'!$B$4),""))</x:f>
      </x:c>
    </x:row>
    <x:row r="150">
      <x:c r="A150" s="19" t="str">
        <x:f>IF('MEMBRES'!A150="","",'MEMBRES'!A150)</x:f>
      </x:c>
      <x:c r="B150" s="20" t="str">
        <x:f>IF('MEMBRES'!B150="","",'MEMBRES'!B150)</x:f>
      </x:c>
      <x:c r="C150" s="20" t="str">
        <x:f>IF('MEMBRES'!C150="","",'MEMBRES'!C150)</x:f>
      </x:c>
      <x:c r="D150" s="20" t="str">
        <x:f>IF('MEMBRES'!D150="","",'MEMBRES'!D150)</x:f>
      </x:c>
      <x:c r="E150" s="20" t="str">
        <x:f>IF(A150="","",UPPER(TRIM(A150&amp;" "&amp;B150)))</x:f>
      </x:c>
      <x:c r="F150" s="28" t="str">
        <x:f>IF(E150="","",COUNTIFS('REPONSES'!$V$4:$V$2003,E150,'REPONSES'!$D$4:$D$2003,'PARAMETRES'!$B$4,'REPONSES'!$O$4:$O$2003,"Présent"))</x:f>
      </x:c>
      <x:c r="G150" s="28" t="str">
        <x:f>IF(E150="","",COUNTIFS('REPONSES'!$V$4:$V$2003,E150,'REPONSES'!$D$4:$D$2003,'PARAMETRES'!$B$4,'REPONSES'!$O$4:$O$2003,"Absent excusé"))</x:f>
      </x:c>
      <x:c r="H150" s="28" t="str">
        <x:f>IF(E150="","",MAX(0,COUNTIFS('CALENDRIER'!$B$4:$B$503,'PARAMETRES'!$B$4,'CALENDRIER'!$K$4:$K$503,"Oui")-F150-G150))</x:f>
      </x:c>
      <x:c r="I150" s="28" t="str">
        <x:f>IF(E150="","",COUNTIFS('REPONSES'!$V$4:$V$2003,E150,'REPONSES'!$D$4:$D$2003,'PARAMETRES'!$B$4,'REPONSES'!$R$4:$R$2003,"Oui"))</x:f>
      </x:c>
      <x:c r="J150" s="31" t="str">
        <x:f>IF(E150="","",IFERROR(F150/(F150+G150+H150),0))</x:f>
      </x:c>
      <x:c r="K150" s="32" t="str">
        <x:f>IF(E150="","",IFERROR(MAXIFS('REPONSES'!$B$4:$B$2003,'REPONSES'!$V$4:$V$2003,E150,'REPONSES'!$D$4:$D$2003,'PARAMETRES'!$B$4),""))</x:f>
      </x:c>
    </x:row>
    <x:row r="151">
      <x:c r="A151" s="19" t="str">
        <x:f>IF('MEMBRES'!A151="","",'MEMBRES'!A151)</x:f>
      </x:c>
      <x:c r="B151" s="20" t="str">
        <x:f>IF('MEMBRES'!B151="","",'MEMBRES'!B151)</x:f>
      </x:c>
      <x:c r="C151" s="20" t="str">
        <x:f>IF('MEMBRES'!C151="","",'MEMBRES'!C151)</x:f>
      </x:c>
      <x:c r="D151" s="20" t="str">
        <x:f>IF('MEMBRES'!D151="","",'MEMBRES'!D151)</x:f>
      </x:c>
      <x:c r="E151" s="20" t="str">
        <x:f>IF(A151="","",UPPER(TRIM(A151&amp;" "&amp;B151)))</x:f>
      </x:c>
      <x:c r="F151" s="28" t="str">
        <x:f>IF(E151="","",COUNTIFS('REPONSES'!$V$4:$V$2003,E151,'REPONSES'!$D$4:$D$2003,'PARAMETRES'!$B$4,'REPONSES'!$O$4:$O$2003,"Présent"))</x:f>
      </x:c>
      <x:c r="G151" s="28" t="str">
        <x:f>IF(E151="","",COUNTIFS('REPONSES'!$V$4:$V$2003,E151,'REPONSES'!$D$4:$D$2003,'PARAMETRES'!$B$4,'REPONSES'!$O$4:$O$2003,"Absent excusé"))</x:f>
      </x:c>
      <x:c r="H151" s="28" t="str">
        <x:f>IF(E151="","",MAX(0,COUNTIFS('CALENDRIER'!$B$4:$B$503,'PARAMETRES'!$B$4,'CALENDRIER'!$K$4:$K$503,"Oui")-F151-G151))</x:f>
      </x:c>
      <x:c r="I151" s="28" t="str">
        <x:f>IF(E151="","",COUNTIFS('REPONSES'!$V$4:$V$2003,E151,'REPONSES'!$D$4:$D$2003,'PARAMETRES'!$B$4,'REPONSES'!$R$4:$R$2003,"Oui"))</x:f>
      </x:c>
      <x:c r="J151" s="31" t="str">
        <x:f>IF(E151="","",IFERROR(F151/(F151+G151+H151),0))</x:f>
      </x:c>
      <x:c r="K151" s="32" t="str">
        <x:f>IF(E151="","",IFERROR(MAXIFS('REPONSES'!$B$4:$B$2003,'REPONSES'!$V$4:$V$2003,E151,'REPONSES'!$D$4:$D$2003,'PARAMETRES'!$B$4),""))</x:f>
      </x:c>
    </x:row>
    <x:row r="152">
      <x:c r="A152" s="19" t="str">
        <x:f>IF('MEMBRES'!A152="","",'MEMBRES'!A152)</x:f>
      </x:c>
      <x:c r="B152" s="20" t="str">
        <x:f>IF('MEMBRES'!B152="","",'MEMBRES'!B152)</x:f>
      </x:c>
      <x:c r="C152" s="20" t="str">
        <x:f>IF('MEMBRES'!C152="","",'MEMBRES'!C152)</x:f>
      </x:c>
      <x:c r="D152" s="20" t="str">
        <x:f>IF('MEMBRES'!D152="","",'MEMBRES'!D152)</x:f>
      </x:c>
      <x:c r="E152" s="20" t="str">
        <x:f>IF(A152="","",UPPER(TRIM(A152&amp;" "&amp;B152)))</x:f>
      </x:c>
      <x:c r="F152" s="28" t="str">
        <x:f>IF(E152="","",COUNTIFS('REPONSES'!$V$4:$V$2003,E152,'REPONSES'!$D$4:$D$2003,'PARAMETRES'!$B$4,'REPONSES'!$O$4:$O$2003,"Présent"))</x:f>
      </x:c>
      <x:c r="G152" s="28" t="str">
        <x:f>IF(E152="","",COUNTIFS('REPONSES'!$V$4:$V$2003,E152,'REPONSES'!$D$4:$D$2003,'PARAMETRES'!$B$4,'REPONSES'!$O$4:$O$2003,"Absent excusé"))</x:f>
      </x:c>
      <x:c r="H152" s="28" t="str">
        <x:f>IF(E152="","",MAX(0,COUNTIFS('CALENDRIER'!$B$4:$B$503,'PARAMETRES'!$B$4,'CALENDRIER'!$K$4:$K$503,"Oui")-F152-G152))</x:f>
      </x:c>
      <x:c r="I152" s="28" t="str">
        <x:f>IF(E152="","",COUNTIFS('REPONSES'!$V$4:$V$2003,E152,'REPONSES'!$D$4:$D$2003,'PARAMETRES'!$B$4,'REPONSES'!$R$4:$R$2003,"Oui"))</x:f>
      </x:c>
      <x:c r="J152" s="31" t="str">
        <x:f>IF(E152="","",IFERROR(F152/(F152+G152+H152),0))</x:f>
      </x:c>
      <x:c r="K152" s="32" t="str">
        <x:f>IF(E152="","",IFERROR(MAXIFS('REPONSES'!$B$4:$B$2003,'REPONSES'!$V$4:$V$2003,E152,'REPONSES'!$D$4:$D$2003,'PARAMETRES'!$B$4),""))</x:f>
      </x:c>
    </x:row>
    <x:row r="153">
      <x:c r="A153" s="19" t="str">
        <x:f>IF('MEMBRES'!A153="","",'MEMBRES'!A153)</x:f>
      </x:c>
      <x:c r="B153" s="20" t="str">
        <x:f>IF('MEMBRES'!B153="","",'MEMBRES'!B153)</x:f>
      </x:c>
      <x:c r="C153" s="20" t="str">
        <x:f>IF('MEMBRES'!C153="","",'MEMBRES'!C153)</x:f>
      </x:c>
      <x:c r="D153" s="20" t="str">
        <x:f>IF('MEMBRES'!D153="","",'MEMBRES'!D153)</x:f>
      </x:c>
      <x:c r="E153" s="20" t="str">
        <x:f>IF(A153="","",UPPER(TRIM(A153&amp;" "&amp;B153)))</x:f>
      </x:c>
      <x:c r="F153" s="28" t="str">
        <x:f>IF(E153="","",COUNTIFS('REPONSES'!$V$4:$V$2003,E153,'REPONSES'!$D$4:$D$2003,'PARAMETRES'!$B$4,'REPONSES'!$O$4:$O$2003,"Présent"))</x:f>
      </x:c>
      <x:c r="G153" s="28" t="str">
        <x:f>IF(E153="","",COUNTIFS('REPONSES'!$V$4:$V$2003,E153,'REPONSES'!$D$4:$D$2003,'PARAMETRES'!$B$4,'REPONSES'!$O$4:$O$2003,"Absent excusé"))</x:f>
      </x:c>
      <x:c r="H153" s="28" t="str">
        <x:f>IF(E153="","",MAX(0,COUNTIFS('CALENDRIER'!$B$4:$B$503,'PARAMETRES'!$B$4,'CALENDRIER'!$K$4:$K$503,"Oui")-F153-G153))</x:f>
      </x:c>
      <x:c r="I153" s="28" t="str">
        <x:f>IF(E153="","",COUNTIFS('REPONSES'!$V$4:$V$2003,E153,'REPONSES'!$D$4:$D$2003,'PARAMETRES'!$B$4,'REPONSES'!$R$4:$R$2003,"Oui"))</x:f>
      </x:c>
      <x:c r="J153" s="31" t="str">
        <x:f>IF(E153="","",IFERROR(F153/(F153+G153+H153),0))</x:f>
      </x:c>
      <x:c r="K153" s="32" t="str">
        <x:f>IF(E153="","",IFERROR(MAXIFS('REPONSES'!$B$4:$B$2003,'REPONSES'!$V$4:$V$2003,E153,'REPONSES'!$D$4:$D$2003,'PARAMETRES'!$B$4),""))</x:f>
      </x:c>
    </x:row>
    <x:row r="154">
      <x:c r="A154" s="19" t="str">
        <x:f>IF('MEMBRES'!A154="","",'MEMBRES'!A154)</x:f>
      </x:c>
      <x:c r="B154" s="20" t="str">
        <x:f>IF('MEMBRES'!B154="","",'MEMBRES'!B154)</x:f>
      </x:c>
      <x:c r="C154" s="20" t="str">
        <x:f>IF('MEMBRES'!C154="","",'MEMBRES'!C154)</x:f>
      </x:c>
      <x:c r="D154" s="20" t="str">
        <x:f>IF('MEMBRES'!D154="","",'MEMBRES'!D154)</x:f>
      </x:c>
      <x:c r="E154" s="20" t="str">
        <x:f>IF(A154="","",UPPER(TRIM(A154&amp;" "&amp;B154)))</x:f>
      </x:c>
      <x:c r="F154" s="28" t="str">
        <x:f>IF(E154="","",COUNTIFS('REPONSES'!$V$4:$V$2003,E154,'REPONSES'!$D$4:$D$2003,'PARAMETRES'!$B$4,'REPONSES'!$O$4:$O$2003,"Présent"))</x:f>
      </x:c>
      <x:c r="G154" s="28" t="str">
        <x:f>IF(E154="","",COUNTIFS('REPONSES'!$V$4:$V$2003,E154,'REPONSES'!$D$4:$D$2003,'PARAMETRES'!$B$4,'REPONSES'!$O$4:$O$2003,"Absent excusé"))</x:f>
      </x:c>
      <x:c r="H154" s="28" t="str">
        <x:f>IF(E154="","",MAX(0,COUNTIFS('CALENDRIER'!$B$4:$B$503,'PARAMETRES'!$B$4,'CALENDRIER'!$K$4:$K$503,"Oui")-F154-G154))</x:f>
      </x:c>
      <x:c r="I154" s="28" t="str">
        <x:f>IF(E154="","",COUNTIFS('REPONSES'!$V$4:$V$2003,E154,'REPONSES'!$D$4:$D$2003,'PARAMETRES'!$B$4,'REPONSES'!$R$4:$R$2003,"Oui"))</x:f>
      </x:c>
      <x:c r="J154" s="31" t="str">
        <x:f>IF(E154="","",IFERROR(F154/(F154+G154+H154),0))</x:f>
      </x:c>
      <x:c r="K154" s="32" t="str">
        <x:f>IF(E154="","",IFERROR(MAXIFS('REPONSES'!$B$4:$B$2003,'REPONSES'!$V$4:$V$2003,E154,'REPONSES'!$D$4:$D$2003,'PARAMETRES'!$B$4),""))</x:f>
      </x:c>
    </x:row>
    <x:row r="155">
      <x:c r="A155" s="19" t="str">
        <x:f>IF('MEMBRES'!A155="","",'MEMBRES'!A155)</x:f>
      </x:c>
      <x:c r="B155" s="20" t="str">
        <x:f>IF('MEMBRES'!B155="","",'MEMBRES'!B155)</x:f>
      </x:c>
      <x:c r="C155" s="20" t="str">
        <x:f>IF('MEMBRES'!C155="","",'MEMBRES'!C155)</x:f>
      </x:c>
      <x:c r="D155" s="20" t="str">
        <x:f>IF('MEMBRES'!D155="","",'MEMBRES'!D155)</x:f>
      </x:c>
      <x:c r="E155" s="20" t="str">
        <x:f>IF(A155="","",UPPER(TRIM(A155&amp;" "&amp;B155)))</x:f>
      </x:c>
      <x:c r="F155" s="28" t="str">
        <x:f>IF(E155="","",COUNTIFS('REPONSES'!$V$4:$V$2003,E155,'REPONSES'!$D$4:$D$2003,'PARAMETRES'!$B$4,'REPONSES'!$O$4:$O$2003,"Présent"))</x:f>
      </x:c>
      <x:c r="G155" s="28" t="str">
        <x:f>IF(E155="","",COUNTIFS('REPONSES'!$V$4:$V$2003,E155,'REPONSES'!$D$4:$D$2003,'PARAMETRES'!$B$4,'REPONSES'!$O$4:$O$2003,"Absent excusé"))</x:f>
      </x:c>
      <x:c r="H155" s="28" t="str">
        <x:f>IF(E155="","",MAX(0,COUNTIFS('CALENDRIER'!$B$4:$B$503,'PARAMETRES'!$B$4,'CALENDRIER'!$K$4:$K$503,"Oui")-F155-G155))</x:f>
      </x:c>
      <x:c r="I155" s="28" t="str">
        <x:f>IF(E155="","",COUNTIFS('REPONSES'!$V$4:$V$2003,E155,'REPONSES'!$D$4:$D$2003,'PARAMETRES'!$B$4,'REPONSES'!$R$4:$R$2003,"Oui"))</x:f>
      </x:c>
      <x:c r="J155" s="31" t="str">
        <x:f>IF(E155="","",IFERROR(F155/(F155+G155+H155),0))</x:f>
      </x:c>
      <x:c r="K155" s="32" t="str">
        <x:f>IF(E155="","",IFERROR(MAXIFS('REPONSES'!$B$4:$B$2003,'REPONSES'!$V$4:$V$2003,E155,'REPONSES'!$D$4:$D$2003,'PARAMETRES'!$B$4),""))</x:f>
      </x:c>
    </x:row>
    <x:row r="156">
      <x:c r="A156" s="19" t="str">
        <x:f>IF('MEMBRES'!A156="","",'MEMBRES'!A156)</x:f>
      </x:c>
      <x:c r="B156" s="20" t="str">
        <x:f>IF('MEMBRES'!B156="","",'MEMBRES'!B156)</x:f>
      </x:c>
      <x:c r="C156" s="20" t="str">
        <x:f>IF('MEMBRES'!C156="","",'MEMBRES'!C156)</x:f>
      </x:c>
      <x:c r="D156" s="20" t="str">
        <x:f>IF('MEMBRES'!D156="","",'MEMBRES'!D156)</x:f>
      </x:c>
      <x:c r="E156" s="20" t="str">
        <x:f>IF(A156="","",UPPER(TRIM(A156&amp;" "&amp;B156)))</x:f>
      </x:c>
      <x:c r="F156" s="28" t="str">
        <x:f>IF(E156="","",COUNTIFS('REPONSES'!$V$4:$V$2003,E156,'REPONSES'!$D$4:$D$2003,'PARAMETRES'!$B$4,'REPONSES'!$O$4:$O$2003,"Présent"))</x:f>
      </x:c>
      <x:c r="G156" s="28" t="str">
        <x:f>IF(E156="","",COUNTIFS('REPONSES'!$V$4:$V$2003,E156,'REPONSES'!$D$4:$D$2003,'PARAMETRES'!$B$4,'REPONSES'!$O$4:$O$2003,"Absent excusé"))</x:f>
      </x:c>
      <x:c r="H156" s="28" t="str">
        <x:f>IF(E156="","",MAX(0,COUNTIFS('CALENDRIER'!$B$4:$B$503,'PARAMETRES'!$B$4,'CALENDRIER'!$K$4:$K$503,"Oui")-F156-G156))</x:f>
      </x:c>
      <x:c r="I156" s="28" t="str">
        <x:f>IF(E156="","",COUNTIFS('REPONSES'!$V$4:$V$2003,E156,'REPONSES'!$D$4:$D$2003,'PARAMETRES'!$B$4,'REPONSES'!$R$4:$R$2003,"Oui"))</x:f>
      </x:c>
      <x:c r="J156" s="31" t="str">
        <x:f>IF(E156="","",IFERROR(F156/(F156+G156+H156),0))</x:f>
      </x:c>
      <x:c r="K156" s="32" t="str">
        <x:f>IF(E156="","",IFERROR(MAXIFS('REPONSES'!$B$4:$B$2003,'REPONSES'!$V$4:$V$2003,E156,'REPONSES'!$D$4:$D$2003,'PARAMETRES'!$B$4),""))</x:f>
      </x:c>
    </x:row>
    <x:row r="157">
      <x:c r="A157" s="19" t="str">
        <x:f>IF('MEMBRES'!A157="","",'MEMBRES'!A157)</x:f>
      </x:c>
      <x:c r="B157" s="20" t="str">
        <x:f>IF('MEMBRES'!B157="","",'MEMBRES'!B157)</x:f>
      </x:c>
      <x:c r="C157" s="20" t="str">
        <x:f>IF('MEMBRES'!C157="","",'MEMBRES'!C157)</x:f>
      </x:c>
      <x:c r="D157" s="20" t="str">
        <x:f>IF('MEMBRES'!D157="","",'MEMBRES'!D157)</x:f>
      </x:c>
      <x:c r="E157" s="20" t="str">
        <x:f>IF(A157="","",UPPER(TRIM(A157&amp;" "&amp;B157)))</x:f>
      </x:c>
      <x:c r="F157" s="28" t="str">
        <x:f>IF(E157="","",COUNTIFS('REPONSES'!$V$4:$V$2003,E157,'REPONSES'!$D$4:$D$2003,'PARAMETRES'!$B$4,'REPONSES'!$O$4:$O$2003,"Présent"))</x:f>
      </x:c>
      <x:c r="G157" s="28" t="str">
        <x:f>IF(E157="","",COUNTIFS('REPONSES'!$V$4:$V$2003,E157,'REPONSES'!$D$4:$D$2003,'PARAMETRES'!$B$4,'REPONSES'!$O$4:$O$2003,"Absent excusé"))</x:f>
      </x:c>
      <x:c r="H157" s="28" t="str">
        <x:f>IF(E157="","",MAX(0,COUNTIFS('CALENDRIER'!$B$4:$B$503,'PARAMETRES'!$B$4,'CALENDRIER'!$K$4:$K$503,"Oui")-F157-G157))</x:f>
      </x:c>
      <x:c r="I157" s="28" t="str">
        <x:f>IF(E157="","",COUNTIFS('REPONSES'!$V$4:$V$2003,E157,'REPONSES'!$D$4:$D$2003,'PARAMETRES'!$B$4,'REPONSES'!$R$4:$R$2003,"Oui"))</x:f>
      </x:c>
      <x:c r="J157" s="31" t="str">
        <x:f>IF(E157="","",IFERROR(F157/(F157+G157+H157),0))</x:f>
      </x:c>
      <x:c r="K157" s="32" t="str">
        <x:f>IF(E157="","",IFERROR(MAXIFS('REPONSES'!$B$4:$B$2003,'REPONSES'!$V$4:$V$2003,E157,'REPONSES'!$D$4:$D$2003,'PARAMETRES'!$B$4),""))</x:f>
      </x:c>
    </x:row>
    <x:row r="158">
      <x:c r="A158" s="19" t="str">
        <x:f>IF('MEMBRES'!A158="","",'MEMBRES'!A158)</x:f>
      </x:c>
      <x:c r="B158" s="20" t="str">
        <x:f>IF('MEMBRES'!B158="","",'MEMBRES'!B158)</x:f>
      </x:c>
      <x:c r="C158" s="20" t="str">
        <x:f>IF('MEMBRES'!C158="","",'MEMBRES'!C158)</x:f>
      </x:c>
      <x:c r="D158" s="20" t="str">
        <x:f>IF('MEMBRES'!D158="","",'MEMBRES'!D158)</x:f>
      </x:c>
      <x:c r="E158" s="20" t="str">
        <x:f>IF(A158="","",UPPER(TRIM(A158&amp;" "&amp;B158)))</x:f>
      </x:c>
      <x:c r="F158" s="28" t="str">
        <x:f>IF(E158="","",COUNTIFS('REPONSES'!$V$4:$V$2003,E158,'REPONSES'!$D$4:$D$2003,'PARAMETRES'!$B$4,'REPONSES'!$O$4:$O$2003,"Présent"))</x:f>
      </x:c>
      <x:c r="G158" s="28" t="str">
        <x:f>IF(E158="","",COUNTIFS('REPONSES'!$V$4:$V$2003,E158,'REPONSES'!$D$4:$D$2003,'PARAMETRES'!$B$4,'REPONSES'!$O$4:$O$2003,"Absent excusé"))</x:f>
      </x:c>
      <x:c r="H158" s="28" t="str">
        <x:f>IF(E158="","",MAX(0,COUNTIFS('CALENDRIER'!$B$4:$B$503,'PARAMETRES'!$B$4,'CALENDRIER'!$K$4:$K$503,"Oui")-F158-G158))</x:f>
      </x:c>
      <x:c r="I158" s="28" t="str">
        <x:f>IF(E158="","",COUNTIFS('REPONSES'!$V$4:$V$2003,E158,'REPONSES'!$D$4:$D$2003,'PARAMETRES'!$B$4,'REPONSES'!$R$4:$R$2003,"Oui"))</x:f>
      </x:c>
      <x:c r="J158" s="31" t="str">
        <x:f>IF(E158="","",IFERROR(F158/(F158+G158+H158),0))</x:f>
      </x:c>
      <x:c r="K158" s="32" t="str">
        <x:f>IF(E158="","",IFERROR(MAXIFS('REPONSES'!$B$4:$B$2003,'REPONSES'!$V$4:$V$2003,E158,'REPONSES'!$D$4:$D$2003,'PARAMETRES'!$B$4),""))</x:f>
      </x:c>
    </x:row>
    <x:row r="159">
      <x:c r="A159" s="19" t="str">
        <x:f>IF('MEMBRES'!A159="","",'MEMBRES'!A159)</x:f>
      </x:c>
      <x:c r="B159" s="20" t="str">
        <x:f>IF('MEMBRES'!B159="","",'MEMBRES'!B159)</x:f>
      </x:c>
      <x:c r="C159" s="20" t="str">
        <x:f>IF('MEMBRES'!C159="","",'MEMBRES'!C159)</x:f>
      </x:c>
      <x:c r="D159" s="20" t="str">
        <x:f>IF('MEMBRES'!D159="","",'MEMBRES'!D159)</x:f>
      </x:c>
      <x:c r="E159" s="20" t="str">
        <x:f>IF(A159="","",UPPER(TRIM(A159&amp;" "&amp;B159)))</x:f>
      </x:c>
      <x:c r="F159" s="28" t="str">
        <x:f>IF(E159="","",COUNTIFS('REPONSES'!$V$4:$V$2003,E159,'REPONSES'!$D$4:$D$2003,'PARAMETRES'!$B$4,'REPONSES'!$O$4:$O$2003,"Présent"))</x:f>
      </x:c>
      <x:c r="G159" s="28" t="str">
        <x:f>IF(E159="","",COUNTIFS('REPONSES'!$V$4:$V$2003,E159,'REPONSES'!$D$4:$D$2003,'PARAMETRES'!$B$4,'REPONSES'!$O$4:$O$2003,"Absent excusé"))</x:f>
      </x:c>
      <x:c r="H159" s="28" t="str">
        <x:f>IF(E159="","",MAX(0,COUNTIFS('CALENDRIER'!$B$4:$B$503,'PARAMETRES'!$B$4,'CALENDRIER'!$K$4:$K$503,"Oui")-F159-G159))</x:f>
      </x:c>
      <x:c r="I159" s="28" t="str">
        <x:f>IF(E159="","",COUNTIFS('REPONSES'!$V$4:$V$2003,E159,'REPONSES'!$D$4:$D$2003,'PARAMETRES'!$B$4,'REPONSES'!$R$4:$R$2003,"Oui"))</x:f>
      </x:c>
      <x:c r="J159" s="31" t="str">
        <x:f>IF(E159="","",IFERROR(F159/(F159+G159+H159),0))</x:f>
      </x:c>
      <x:c r="K159" s="32" t="str">
        <x:f>IF(E159="","",IFERROR(MAXIFS('REPONSES'!$B$4:$B$2003,'REPONSES'!$V$4:$V$2003,E159,'REPONSES'!$D$4:$D$2003,'PARAMETRES'!$B$4),""))</x:f>
      </x:c>
    </x:row>
    <x:row r="160">
      <x:c r="A160" s="19" t="str">
        <x:f>IF('MEMBRES'!A160="","",'MEMBRES'!A160)</x:f>
      </x:c>
      <x:c r="B160" s="20" t="str">
        <x:f>IF('MEMBRES'!B160="","",'MEMBRES'!B160)</x:f>
      </x:c>
      <x:c r="C160" s="20" t="str">
        <x:f>IF('MEMBRES'!C160="","",'MEMBRES'!C160)</x:f>
      </x:c>
      <x:c r="D160" s="20" t="str">
        <x:f>IF('MEMBRES'!D160="","",'MEMBRES'!D160)</x:f>
      </x:c>
      <x:c r="E160" s="20" t="str">
        <x:f>IF(A160="","",UPPER(TRIM(A160&amp;" "&amp;B160)))</x:f>
      </x:c>
      <x:c r="F160" s="28" t="str">
        <x:f>IF(E160="","",COUNTIFS('REPONSES'!$V$4:$V$2003,E160,'REPONSES'!$D$4:$D$2003,'PARAMETRES'!$B$4,'REPONSES'!$O$4:$O$2003,"Présent"))</x:f>
      </x:c>
      <x:c r="G160" s="28" t="str">
        <x:f>IF(E160="","",COUNTIFS('REPONSES'!$V$4:$V$2003,E160,'REPONSES'!$D$4:$D$2003,'PARAMETRES'!$B$4,'REPONSES'!$O$4:$O$2003,"Absent excusé"))</x:f>
      </x:c>
      <x:c r="H160" s="28" t="str">
        <x:f>IF(E160="","",MAX(0,COUNTIFS('CALENDRIER'!$B$4:$B$503,'PARAMETRES'!$B$4,'CALENDRIER'!$K$4:$K$503,"Oui")-F160-G160))</x:f>
      </x:c>
      <x:c r="I160" s="28" t="str">
        <x:f>IF(E160="","",COUNTIFS('REPONSES'!$V$4:$V$2003,E160,'REPONSES'!$D$4:$D$2003,'PARAMETRES'!$B$4,'REPONSES'!$R$4:$R$2003,"Oui"))</x:f>
      </x:c>
      <x:c r="J160" s="31" t="str">
        <x:f>IF(E160="","",IFERROR(F160/(F160+G160+H160),0))</x:f>
      </x:c>
      <x:c r="K160" s="32" t="str">
        <x:f>IF(E160="","",IFERROR(MAXIFS('REPONSES'!$B$4:$B$2003,'REPONSES'!$V$4:$V$2003,E160,'REPONSES'!$D$4:$D$2003,'PARAMETRES'!$B$4),""))</x:f>
      </x:c>
    </x:row>
    <x:row r="161">
      <x:c r="A161" s="19" t="str">
        <x:f>IF('MEMBRES'!A161="","",'MEMBRES'!A161)</x:f>
      </x:c>
      <x:c r="B161" s="20" t="str">
        <x:f>IF('MEMBRES'!B161="","",'MEMBRES'!B161)</x:f>
      </x:c>
      <x:c r="C161" s="20" t="str">
        <x:f>IF('MEMBRES'!C161="","",'MEMBRES'!C161)</x:f>
      </x:c>
      <x:c r="D161" s="20" t="str">
        <x:f>IF('MEMBRES'!D161="","",'MEMBRES'!D161)</x:f>
      </x:c>
      <x:c r="E161" s="20" t="str">
        <x:f>IF(A161="","",UPPER(TRIM(A161&amp;" "&amp;B161)))</x:f>
      </x:c>
      <x:c r="F161" s="28" t="str">
        <x:f>IF(E161="","",COUNTIFS('REPONSES'!$V$4:$V$2003,E161,'REPONSES'!$D$4:$D$2003,'PARAMETRES'!$B$4,'REPONSES'!$O$4:$O$2003,"Présent"))</x:f>
      </x:c>
      <x:c r="G161" s="28" t="str">
        <x:f>IF(E161="","",COUNTIFS('REPONSES'!$V$4:$V$2003,E161,'REPONSES'!$D$4:$D$2003,'PARAMETRES'!$B$4,'REPONSES'!$O$4:$O$2003,"Absent excusé"))</x:f>
      </x:c>
      <x:c r="H161" s="28" t="str">
        <x:f>IF(E161="","",MAX(0,COUNTIFS('CALENDRIER'!$B$4:$B$503,'PARAMETRES'!$B$4,'CALENDRIER'!$K$4:$K$503,"Oui")-F161-G161))</x:f>
      </x:c>
      <x:c r="I161" s="28" t="str">
        <x:f>IF(E161="","",COUNTIFS('REPONSES'!$V$4:$V$2003,E161,'REPONSES'!$D$4:$D$2003,'PARAMETRES'!$B$4,'REPONSES'!$R$4:$R$2003,"Oui"))</x:f>
      </x:c>
      <x:c r="J161" s="31" t="str">
        <x:f>IF(E161="","",IFERROR(F161/(F161+G161+H161),0))</x:f>
      </x:c>
      <x:c r="K161" s="32" t="str">
        <x:f>IF(E161="","",IFERROR(MAXIFS('REPONSES'!$B$4:$B$2003,'REPONSES'!$V$4:$V$2003,E161,'REPONSES'!$D$4:$D$2003,'PARAMETRES'!$B$4),""))</x:f>
      </x:c>
    </x:row>
    <x:row r="162">
      <x:c r="A162" s="19" t="str">
        <x:f>IF('MEMBRES'!A162="","",'MEMBRES'!A162)</x:f>
      </x:c>
      <x:c r="B162" s="20" t="str">
        <x:f>IF('MEMBRES'!B162="","",'MEMBRES'!B162)</x:f>
      </x:c>
      <x:c r="C162" s="20" t="str">
        <x:f>IF('MEMBRES'!C162="","",'MEMBRES'!C162)</x:f>
      </x:c>
      <x:c r="D162" s="20" t="str">
        <x:f>IF('MEMBRES'!D162="","",'MEMBRES'!D162)</x:f>
      </x:c>
      <x:c r="E162" s="20" t="str">
        <x:f>IF(A162="","",UPPER(TRIM(A162&amp;" "&amp;B162)))</x:f>
      </x:c>
      <x:c r="F162" s="28" t="str">
        <x:f>IF(E162="","",COUNTIFS('REPONSES'!$V$4:$V$2003,E162,'REPONSES'!$D$4:$D$2003,'PARAMETRES'!$B$4,'REPONSES'!$O$4:$O$2003,"Présent"))</x:f>
      </x:c>
      <x:c r="G162" s="28" t="str">
        <x:f>IF(E162="","",COUNTIFS('REPONSES'!$V$4:$V$2003,E162,'REPONSES'!$D$4:$D$2003,'PARAMETRES'!$B$4,'REPONSES'!$O$4:$O$2003,"Absent excusé"))</x:f>
      </x:c>
      <x:c r="H162" s="28" t="str">
        <x:f>IF(E162="","",MAX(0,COUNTIFS('CALENDRIER'!$B$4:$B$503,'PARAMETRES'!$B$4,'CALENDRIER'!$K$4:$K$503,"Oui")-F162-G162))</x:f>
      </x:c>
      <x:c r="I162" s="28" t="str">
        <x:f>IF(E162="","",COUNTIFS('REPONSES'!$V$4:$V$2003,E162,'REPONSES'!$D$4:$D$2003,'PARAMETRES'!$B$4,'REPONSES'!$R$4:$R$2003,"Oui"))</x:f>
      </x:c>
      <x:c r="J162" s="31" t="str">
        <x:f>IF(E162="","",IFERROR(F162/(F162+G162+H162),0))</x:f>
      </x:c>
      <x:c r="K162" s="32" t="str">
        <x:f>IF(E162="","",IFERROR(MAXIFS('REPONSES'!$B$4:$B$2003,'REPONSES'!$V$4:$V$2003,E162,'REPONSES'!$D$4:$D$2003,'PARAMETRES'!$B$4),""))</x:f>
      </x:c>
    </x:row>
    <x:row r="163">
      <x:c r="A163" s="19" t="str">
        <x:f>IF('MEMBRES'!A163="","",'MEMBRES'!A163)</x:f>
      </x:c>
      <x:c r="B163" s="20" t="str">
        <x:f>IF('MEMBRES'!B163="","",'MEMBRES'!B163)</x:f>
      </x:c>
      <x:c r="C163" s="20" t="str">
        <x:f>IF('MEMBRES'!C163="","",'MEMBRES'!C163)</x:f>
      </x:c>
      <x:c r="D163" s="20" t="str">
        <x:f>IF('MEMBRES'!D163="","",'MEMBRES'!D163)</x:f>
      </x:c>
      <x:c r="E163" s="20" t="str">
        <x:f>IF(A163="","",UPPER(TRIM(A163&amp;" "&amp;B163)))</x:f>
      </x:c>
      <x:c r="F163" s="28" t="str">
        <x:f>IF(E163="","",COUNTIFS('REPONSES'!$V$4:$V$2003,E163,'REPONSES'!$D$4:$D$2003,'PARAMETRES'!$B$4,'REPONSES'!$O$4:$O$2003,"Présent"))</x:f>
      </x:c>
      <x:c r="G163" s="28" t="str">
        <x:f>IF(E163="","",COUNTIFS('REPONSES'!$V$4:$V$2003,E163,'REPONSES'!$D$4:$D$2003,'PARAMETRES'!$B$4,'REPONSES'!$O$4:$O$2003,"Absent excusé"))</x:f>
      </x:c>
      <x:c r="H163" s="28" t="str">
        <x:f>IF(E163="","",MAX(0,COUNTIFS('CALENDRIER'!$B$4:$B$503,'PARAMETRES'!$B$4,'CALENDRIER'!$K$4:$K$503,"Oui")-F163-G163))</x:f>
      </x:c>
      <x:c r="I163" s="28" t="str">
        <x:f>IF(E163="","",COUNTIFS('REPONSES'!$V$4:$V$2003,E163,'REPONSES'!$D$4:$D$2003,'PARAMETRES'!$B$4,'REPONSES'!$R$4:$R$2003,"Oui"))</x:f>
      </x:c>
      <x:c r="J163" s="31" t="str">
        <x:f>IF(E163="","",IFERROR(F163/(F163+G163+H163),0))</x:f>
      </x:c>
      <x:c r="K163" s="32" t="str">
        <x:f>IF(E163="","",IFERROR(MAXIFS('REPONSES'!$B$4:$B$2003,'REPONSES'!$V$4:$V$2003,E163,'REPONSES'!$D$4:$D$2003,'PARAMETRES'!$B$4),""))</x:f>
      </x:c>
    </x:row>
    <x:row r="164">
      <x:c r="A164" s="19" t="str">
        <x:f>IF('MEMBRES'!A164="","",'MEMBRES'!A164)</x:f>
      </x:c>
      <x:c r="B164" s="20" t="str">
        <x:f>IF('MEMBRES'!B164="","",'MEMBRES'!B164)</x:f>
      </x:c>
      <x:c r="C164" s="20" t="str">
        <x:f>IF('MEMBRES'!C164="","",'MEMBRES'!C164)</x:f>
      </x:c>
      <x:c r="D164" s="20" t="str">
        <x:f>IF('MEMBRES'!D164="","",'MEMBRES'!D164)</x:f>
      </x:c>
      <x:c r="E164" s="20" t="str">
        <x:f>IF(A164="","",UPPER(TRIM(A164&amp;" "&amp;B164)))</x:f>
      </x:c>
      <x:c r="F164" s="28" t="str">
        <x:f>IF(E164="","",COUNTIFS('REPONSES'!$V$4:$V$2003,E164,'REPONSES'!$D$4:$D$2003,'PARAMETRES'!$B$4,'REPONSES'!$O$4:$O$2003,"Présent"))</x:f>
      </x:c>
      <x:c r="G164" s="28" t="str">
        <x:f>IF(E164="","",COUNTIFS('REPONSES'!$V$4:$V$2003,E164,'REPONSES'!$D$4:$D$2003,'PARAMETRES'!$B$4,'REPONSES'!$O$4:$O$2003,"Absent excusé"))</x:f>
      </x:c>
      <x:c r="H164" s="28" t="str">
        <x:f>IF(E164="","",MAX(0,COUNTIFS('CALENDRIER'!$B$4:$B$503,'PARAMETRES'!$B$4,'CALENDRIER'!$K$4:$K$503,"Oui")-F164-G164))</x:f>
      </x:c>
      <x:c r="I164" s="28" t="str">
        <x:f>IF(E164="","",COUNTIFS('REPONSES'!$V$4:$V$2003,E164,'REPONSES'!$D$4:$D$2003,'PARAMETRES'!$B$4,'REPONSES'!$R$4:$R$2003,"Oui"))</x:f>
      </x:c>
      <x:c r="J164" s="31" t="str">
        <x:f>IF(E164="","",IFERROR(F164/(F164+G164+H164),0))</x:f>
      </x:c>
      <x:c r="K164" s="32" t="str">
        <x:f>IF(E164="","",IFERROR(MAXIFS('REPONSES'!$B$4:$B$2003,'REPONSES'!$V$4:$V$2003,E164,'REPONSES'!$D$4:$D$2003,'PARAMETRES'!$B$4),""))</x:f>
      </x:c>
    </x:row>
    <x:row r="165">
      <x:c r="A165" s="19" t="str">
        <x:f>IF('MEMBRES'!A165="","",'MEMBRES'!A165)</x:f>
      </x:c>
      <x:c r="B165" s="20" t="str">
        <x:f>IF('MEMBRES'!B165="","",'MEMBRES'!B165)</x:f>
      </x:c>
      <x:c r="C165" s="20" t="str">
        <x:f>IF('MEMBRES'!C165="","",'MEMBRES'!C165)</x:f>
      </x:c>
      <x:c r="D165" s="20" t="str">
        <x:f>IF('MEMBRES'!D165="","",'MEMBRES'!D165)</x:f>
      </x:c>
      <x:c r="E165" s="20" t="str">
        <x:f>IF(A165="","",UPPER(TRIM(A165&amp;" "&amp;B165)))</x:f>
      </x:c>
      <x:c r="F165" s="28" t="str">
        <x:f>IF(E165="","",COUNTIFS('REPONSES'!$V$4:$V$2003,E165,'REPONSES'!$D$4:$D$2003,'PARAMETRES'!$B$4,'REPONSES'!$O$4:$O$2003,"Présent"))</x:f>
      </x:c>
      <x:c r="G165" s="28" t="str">
        <x:f>IF(E165="","",COUNTIFS('REPONSES'!$V$4:$V$2003,E165,'REPONSES'!$D$4:$D$2003,'PARAMETRES'!$B$4,'REPONSES'!$O$4:$O$2003,"Absent excusé"))</x:f>
      </x:c>
      <x:c r="H165" s="28" t="str">
        <x:f>IF(E165="","",MAX(0,COUNTIFS('CALENDRIER'!$B$4:$B$503,'PARAMETRES'!$B$4,'CALENDRIER'!$K$4:$K$503,"Oui")-F165-G165))</x:f>
      </x:c>
      <x:c r="I165" s="28" t="str">
        <x:f>IF(E165="","",COUNTIFS('REPONSES'!$V$4:$V$2003,E165,'REPONSES'!$D$4:$D$2003,'PARAMETRES'!$B$4,'REPONSES'!$R$4:$R$2003,"Oui"))</x:f>
      </x:c>
      <x:c r="J165" s="31" t="str">
        <x:f>IF(E165="","",IFERROR(F165/(F165+G165+H165),0))</x:f>
      </x:c>
      <x:c r="K165" s="32" t="str">
        <x:f>IF(E165="","",IFERROR(MAXIFS('REPONSES'!$B$4:$B$2003,'REPONSES'!$V$4:$V$2003,E165,'REPONSES'!$D$4:$D$2003,'PARAMETRES'!$B$4),""))</x:f>
      </x:c>
    </x:row>
    <x:row r="166">
      <x:c r="A166" s="19" t="str">
        <x:f>IF('MEMBRES'!A166="","",'MEMBRES'!A166)</x:f>
      </x:c>
      <x:c r="B166" s="20" t="str">
        <x:f>IF('MEMBRES'!B166="","",'MEMBRES'!B166)</x:f>
      </x:c>
      <x:c r="C166" s="20" t="str">
        <x:f>IF('MEMBRES'!C166="","",'MEMBRES'!C166)</x:f>
      </x:c>
      <x:c r="D166" s="20" t="str">
        <x:f>IF('MEMBRES'!D166="","",'MEMBRES'!D166)</x:f>
      </x:c>
      <x:c r="E166" s="20" t="str">
        <x:f>IF(A166="","",UPPER(TRIM(A166&amp;" "&amp;B166)))</x:f>
      </x:c>
      <x:c r="F166" s="28" t="str">
        <x:f>IF(E166="","",COUNTIFS('REPONSES'!$V$4:$V$2003,E166,'REPONSES'!$D$4:$D$2003,'PARAMETRES'!$B$4,'REPONSES'!$O$4:$O$2003,"Présent"))</x:f>
      </x:c>
      <x:c r="G166" s="28" t="str">
        <x:f>IF(E166="","",COUNTIFS('REPONSES'!$V$4:$V$2003,E166,'REPONSES'!$D$4:$D$2003,'PARAMETRES'!$B$4,'REPONSES'!$O$4:$O$2003,"Absent excusé"))</x:f>
      </x:c>
      <x:c r="H166" s="28" t="str">
        <x:f>IF(E166="","",MAX(0,COUNTIFS('CALENDRIER'!$B$4:$B$503,'PARAMETRES'!$B$4,'CALENDRIER'!$K$4:$K$503,"Oui")-F166-G166))</x:f>
      </x:c>
      <x:c r="I166" s="28" t="str">
        <x:f>IF(E166="","",COUNTIFS('REPONSES'!$V$4:$V$2003,E166,'REPONSES'!$D$4:$D$2003,'PARAMETRES'!$B$4,'REPONSES'!$R$4:$R$2003,"Oui"))</x:f>
      </x:c>
      <x:c r="J166" s="31" t="str">
        <x:f>IF(E166="","",IFERROR(F166/(F166+G166+H166),0))</x:f>
      </x:c>
      <x:c r="K166" s="32" t="str">
        <x:f>IF(E166="","",IFERROR(MAXIFS('REPONSES'!$B$4:$B$2003,'REPONSES'!$V$4:$V$2003,E166,'REPONSES'!$D$4:$D$2003,'PARAMETRES'!$B$4),""))</x:f>
      </x:c>
    </x:row>
    <x:row r="167">
      <x:c r="A167" s="19" t="str">
        <x:f>IF('MEMBRES'!A167="","",'MEMBRES'!A167)</x:f>
      </x:c>
      <x:c r="B167" s="20" t="str">
        <x:f>IF('MEMBRES'!B167="","",'MEMBRES'!B167)</x:f>
      </x:c>
      <x:c r="C167" s="20" t="str">
        <x:f>IF('MEMBRES'!C167="","",'MEMBRES'!C167)</x:f>
      </x:c>
      <x:c r="D167" s="20" t="str">
        <x:f>IF('MEMBRES'!D167="","",'MEMBRES'!D167)</x:f>
      </x:c>
      <x:c r="E167" s="20" t="str">
        <x:f>IF(A167="","",UPPER(TRIM(A167&amp;" "&amp;B167)))</x:f>
      </x:c>
      <x:c r="F167" s="28" t="str">
        <x:f>IF(E167="","",COUNTIFS('REPONSES'!$V$4:$V$2003,E167,'REPONSES'!$D$4:$D$2003,'PARAMETRES'!$B$4,'REPONSES'!$O$4:$O$2003,"Présent"))</x:f>
      </x:c>
      <x:c r="G167" s="28" t="str">
        <x:f>IF(E167="","",COUNTIFS('REPONSES'!$V$4:$V$2003,E167,'REPONSES'!$D$4:$D$2003,'PARAMETRES'!$B$4,'REPONSES'!$O$4:$O$2003,"Absent excusé"))</x:f>
      </x:c>
      <x:c r="H167" s="28" t="str">
        <x:f>IF(E167="","",MAX(0,COUNTIFS('CALENDRIER'!$B$4:$B$503,'PARAMETRES'!$B$4,'CALENDRIER'!$K$4:$K$503,"Oui")-F167-G167))</x:f>
      </x:c>
      <x:c r="I167" s="28" t="str">
        <x:f>IF(E167="","",COUNTIFS('REPONSES'!$V$4:$V$2003,E167,'REPONSES'!$D$4:$D$2003,'PARAMETRES'!$B$4,'REPONSES'!$R$4:$R$2003,"Oui"))</x:f>
      </x:c>
      <x:c r="J167" s="31" t="str">
        <x:f>IF(E167="","",IFERROR(F167/(F167+G167+H167),0))</x:f>
      </x:c>
      <x:c r="K167" s="32" t="str">
        <x:f>IF(E167="","",IFERROR(MAXIFS('REPONSES'!$B$4:$B$2003,'REPONSES'!$V$4:$V$2003,E167,'REPONSES'!$D$4:$D$2003,'PARAMETRES'!$B$4),""))</x:f>
      </x:c>
    </x:row>
    <x:row r="168">
      <x:c r="A168" s="19" t="str">
        <x:f>IF('MEMBRES'!A168="","",'MEMBRES'!A168)</x:f>
      </x:c>
      <x:c r="B168" s="20" t="str">
        <x:f>IF('MEMBRES'!B168="","",'MEMBRES'!B168)</x:f>
      </x:c>
      <x:c r="C168" s="20" t="str">
        <x:f>IF('MEMBRES'!C168="","",'MEMBRES'!C168)</x:f>
      </x:c>
      <x:c r="D168" s="20" t="str">
        <x:f>IF('MEMBRES'!D168="","",'MEMBRES'!D168)</x:f>
      </x:c>
      <x:c r="E168" s="20" t="str">
        <x:f>IF(A168="","",UPPER(TRIM(A168&amp;" "&amp;B168)))</x:f>
      </x:c>
      <x:c r="F168" s="28" t="str">
        <x:f>IF(E168="","",COUNTIFS('REPONSES'!$V$4:$V$2003,E168,'REPONSES'!$D$4:$D$2003,'PARAMETRES'!$B$4,'REPONSES'!$O$4:$O$2003,"Présent"))</x:f>
      </x:c>
      <x:c r="G168" s="28" t="str">
        <x:f>IF(E168="","",COUNTIFS('REPONSES'!$V$4:$V$2003,E168,'REPONSES'!$D$4:$D$2003,'PARAMETRES'!$B$4,'REPONSES'!$O$4:$O$2003,"Absent excusé"))</x:f>
      </x:c>
      <x:c r="H168" s="28" t="str">
        <x:f>IF(E168="","",MAX(0,COUNTIFS('CALENDRIER'!$B$4:$B$503,'PARAMETRES'!$B$4,'CALENDRIER'!$K$4:$K$503,"Oui")-F168-G168))</x:f>
      </x:c>
      <x:c r="I168" s="28" t="str">
        <x:f>IF(E168="","",COUNTIFS('REPONSES'!$V$4:$V$2003,E168,'REPONSES'!$D$4:$D$2003,'PARAMETRES'!$B$4,'REPONSES'!$R$4:$R$2003,"Oui"))</x:f>
      </x:c>
      <x:c r="J168" s="31" t="str">
        <x:f>IF(E168="","",IFERROR(F168/(F168+G168+H168),0))</x:f>
      </x:c>
      <x:c r="K168" s="32" t="str">
        <x:f>IF(E168="","",IFERROR(MAXIFS('REPONSES'!$B$4:$B$2003,'REPONSES'!$V$4:$V$2003,E168,'REPONSES'!$D$4:$D$2003,'PARAMETRES'!$B$4),""))</x:f>
      </x:c>
    </x:row>
    <x:row r="169">
      <x:c r="A169" s="19" t="str">
        <x:f>IF('MEMBRES'!A169="","",'MEMBRES'!A169)</x:f>
      </x:c>
      <x:c r="B169" s="20" t="str">
        <x:f>IF('MEMBRES'!B169="","",'MEMBRES'!B169)</x:f>
      </x:c>
      <x:c r="C169" s="20" t="str">
        <x:f>IF('MEMBRES'!C169="","",'MEMBRES'!C169)</x:f>
      </x:c>
      <x:c r="D169" s="20" t="str">
        <x:f>IF('MEMBRES'!D169="","",'MEMBRES'!D169)</x:f>
      </x:c>
      <x:c r="E169" s="20" t="str">
        <x:f>IF(A169="","",UPPER(TRIM(A169&amp;" "&amp;B169)))</x:f>
      </x:c>
      <x:c r="F169" s="28" t="str">
        <x:f>IF(E169="","",COUNTIFS('REPONSES'!$V$4:$V$2003,E169,'REPONSES'!$D$4:$D$2003,'PARAMETRES'!$B$4,'REPONSES'!$O$4:$O$2003,"Présent"))</x:f>
      </x:c>
      <x:c r="G169" s="28" t="str">
        <x:f>IF(E169="","",COUNTIFS('REPONSES'!$V$4:$V$2003,E169,'REPONSES'!$D$4:$D$2003,'PARAMETRES'!$B$4,'REPONSES'!$O$4:$O$2003,"Absent excusé"))</x:f>
      </x:c>
      <x:c r="H169" s="28" t="str">
        <x:f>IF(E169="","",MAX(0,COUNTIFS('CALENDRIER'!$B$4:$B$503,'PARAMETRES'!$B$4,'CALENDRIER'!$K$4:$K$503,"Oui")-F169-G169))</x:f>
      </x:c>
      <x:c r="I169" s="28" t="str">
        <x:f>IF(E169="","",COUNTIFS('REPONSES'!$V$4:$V$2003,E169,'REPONSES'!$D$4:$D$2003,'PARAMETRES'!$B$4,'REPONSES'!$R$4:$R$2003,"Oui"))</x:f>
      </x:c>
      <x:c r="J169" s="31" t="str">
        <x:f>IF(E169="","",IFERROR(F169/(F169+G169+H169),0))</x:f>
      </x:c>
      <x:c r="K169" s="32" t="str">
        <x:f>IF(E169="","",IFERROR(MAXIFS('REPONSES'!$B$4:$B$2003,'REPONSES'!$V$4:$V$2003,E169,'REPONSES'!$D$4:$D$2003,'PARAMETRES'!$B$4),""))</x:f>
      </x:c>
    </x:row>
    <x:row r="170">
      <x:c r="A170" s="19" t="str">
        <x:f>IF('MEMBRES'!A170="","",'MEMBRES'!A170)</x:f>
      </x:c>
      <x:c r="B170" s="20" t="str">
        <x:f>IF('MEMBRES'!B170="","",'MEMBRES'!B170)</x:f>
      </x:c>
      <x:c r="C170" s="20" t="str">
        <x:f>IF('MEMBRES'!C170="","",'MEMBRES'!C170)</x:f>
      </x:c>
      <x:c r="D170" s="20" t="str">
        <x:f>IF('MEMBRES'!D170="","",'MEMBRES'!D170)</x:f>
      </x:c>
      <x:c r="E170" s="20" t="str">
        <x:f>IF(A170="","",UPPER(TRIM(A170&amp;" "&amp;B170)))</x:f>
      </x:c>
      <x:c r="F170" s="28" t="str">
        <x:f>IF(E170="","",COUNTIFS('REPONSES'!$V$4:$V$2003,E170,'REPONSES'!$D$4:$D$2003,'PARAMETRES'!$B$4,'REPONSES'!$O$4:$O$2003,"Présent"))</x:f>
      </x:c>
      <x:c r="G170" s="28" t="str">
        <x:f>IF(E170="","",COUNTIFS('REPONSES'!$V$4:$V$2003,E170,'REPONSES'!$D$4:$D$2003,'PARAMETRES'!$B$4,'REPONSES'!$O$4:$O$2003,"Absent excusé"))</x:f>
      </x:c>
      <x:c r="H170" s="28" t="str">
        <x:f>IF(E170="","",MAX(0,COUNTIFS('CALENDRIER'!$B$4:$B$503,'PARAMETRES'!$B$4,'CALENDRIER'!$K$4:$K$503,"Oui")-F170-G170))</x:f>
      </x:c>
      <x:c r="I170" s="28" t="str">
        <x:f>IF(E170="","",COUNTIFS('REPONSES'!$V$4:$V$2003,E170,'REPONSES'!$D$4:$D$2003,'PARAMETRES'!$B$4,'REPONSES'!$R$4:$R$2003,"Oui"))</x:f>
      </x:c>
      <x:c r="J170" s="31" t="str">
        <x:f>IF(E170="","",IFERROR(F170/(F170+G170+H170),0))</x:f>
      </x:c>
      <x:c r="K170" s="32" t="str">
        <x:f>IF(E170="","",IFERROR(MAXIFS('REPONSES'!$B$4:$B$2003,'REPONSES'!$V$4:$V$2003,E170,'REPONSES'!$D$4:$D$2003,'PARAMETRES'!$B$4),""))</x:f>
      </x:c>
    </x:row>
    <x:row r="171">
      <x:c r="A171" s="19" t="str">
        <x:f>IF('MEMBRES'!A171="","",'MEMBRES'!A171)</x:f>
      </x:c>
      <x:c r="B171" s="20" t="str">
        <x:f>IF('MEMBRES'!B171="","",'MEMBRES'!B171)</x:f>
      </x:c>
      <x:c r="C171" s="20" t="str">
        <x:f>IF('MEMBRES'!C171="","",'MEMBRES'!C171)</x:f>
      </x:c>
      <x:c r="D171" s="20" t="str">
        <x:f>IF('MEMBRES'!D171="","",'MEMBRES'!D171)</x:f>
      </x:c>
      <x:c r="E171" s="20" t="str">
        <x:f>IF(A171="","",UPPER(TRIM(A171&amp;" "&amp;B171)))</x:f>
      </x:c>
      <x:c r="F171" s="28" t="str">
        <x:f>IF(E171="","",COUNTIFS('REPONSES'!$V$4:$V$2003,E171,'REPONSES'!$D$4:$D$2003,'PARAMETRES'!$B$4,'REPONSES'!$O$4:$O$2003,"Présent"))</x:f>
      </x:c>
      <x:c r="G171" s="28" t="str">
        <x:f>IF(E171="","",COUNTIFS('REPONSES'!$V$4:$V$2003,E171,'REPONSES'!$D$4:$D$2003,'PARAMETRES'!$B$4,'REPONSES'!$O$4:$O$2003,"Absent excusé"))</x:f>
      </x:c>
      <x:c r="H171" s="28" t="str">
        <x:f>IF(E171="","",MAX(0,COUNTIFS('CALENDRIER'!$B$4:$B$503,'PARAMETRES'!$B$4,'CALENDRIER'!$K$4:$K$503,"Oui")-F171-G171))</x:f>
      </x:c>
      <x:c r="I171" s="28" t="str">
        <x:f>IF(E171="","",COUNTIFS('REPONSES'!$V$4:$V$2003,E171,'REPONSES'!$D$4:$D$2003,'PARAMETRES'!$B$4,'REPONSES'!$R$4:$R$2003,"Oui"))</x:f>
      </x:c>
      <x:c r="J171" s="31" t="str">
        <x:f>IF(E171="","",IFERROR(F171/(F171+G171+H171),0))</x:f>
      </x:c>
      <x:c r="K171" s="32" t="str">
        <x:f>IF(E171="","",IFERROR(MAXIFS('REPONSES'!$B$4:$B$2003,'REPONSES'!$V$4:$V$2003,E171,'REPONSES'!$D$4:$D$2003,'PARAMETRES'!$B$4),""))</x:f>
      </x:c>
    </x:row>
    <x:row r="172">
      <x:c r="A172" s="19" t="str">
        <x:f>IF('MEMBRES'!A172="","",'MEMBRES'!A172)</x:f>
      </x:c>
      <x:c r="B172" s="20" t="str">
        <x:f>IF('MEMBRES'!B172="","",'MEMBRES'!B172)</x:f>
      </x:c>
      <x:c r="C172" s="20" t="str">
        <x:f>IF('MEMBRES'!C172="","",'MEMBRES'!C172)</x:f>
      </x:c>
      <x:c r="D172" s="20" t="str">
        <x:f>IF('MEMBRES'!D172="","",'MEMBRES'!D172)</x:f>
      </x:c>
      <x:c r="E172" s="20" t="str">
        <x:f>IF(A172="","",UPPER(TRIM(A172&amp;" "&amp;B172)))</x:f>
      </x:c>
      <x:c r="F172" s="28" t="str">
        <x:f>IF(E172="","",COUNTIFS('REPONSES'!$V$4:$V$2003,E172,'REPONSES'!$D$4:$D$2003,'PARAMETRES'!$B$4,'REPONSES'!$O$4:$O$2003,"Présent"))</x:f>
      </x:c>
      <x:c r="G172" s="28" t="str">
        <x:f>IF(E172="","",COUNTIFS('REPONSES'!$V$4:$V$2003,E172,'REPONSES'!$D$4:$D$2003,'PARAMETRES'!$B$4,'REPONSES'!$O$4:$O$2003,"Absent excusé"))</x:f>
      </x:c>
      <x:c r="H172" s="28" t="str">
        <x:f>IF(E172="","",MAX(0,COUNTIFS('CALENDRIER'!$B$4:$B$503,'PARAMETRES'!$B$4,'CALENDRIER'!$K$4:$K$503,"Oui")-F172-G172))</x:f>
      </x:c>
      <x:c r="I172" s="28" t="str">
        <x:f>IF(E172="","",COUNTIFS('REPONSES'!$V$4:$V$2003,E172,'REPONSES'!$D$4:$D$2003,'PARAMETRES'!$B$4,'REPONSES'!$R$4:$R$2003,"Oui"))</x:f>
      </x:c>
      <x:c r="J172" s="31" t="str">
        <x:f>IF(E172="","",IFERROR(F172/(F172+G172+H172),0))</x:f>
      </x:c>
      <x:c r="K172" s="32" t="str">
        <x:f>IF(E172="","",IFERROR(MAXIFS('REPONSES'!$B$4:$B$2003,'REPONSES'!$V$4:$V$2003,E172,'REPONSES'!$D$4:$D$2003,'PARAMETRES'!$B$4),""))</x:f>
      </x:c>
    </x:row>
    <x:row r="173">
      <x:c r="A173" s="19" t="str">
        <x:f>IF('MEMBRES'!A173="","",'MEMBRES'!A173)</x:f>
      </x:c>
      <x:c r="B173" s="20" t="str">
        <x:f>IF('MEMBRES'!B173="","",'MEMBRES'!B173)</x:f>
      </x:c>
      <x:c r="C173" s="20" t="str">
        <x:f>IF('MEMBRES'!C173="","",'MEMBRES'!C173)</x:f>
      </x:c>
      <x:c r="D173" s="20" t="str">
        <x:f>IF('MEMBRES'!D173="","",'MEMBRES'!D173)</x:f>
      </x:c>
      <x:c r="E173" s="20" t="str">
        <x:f>IF(A173="","",UPPER(TRIM(A173&amp;" "&amp;B173)))</x:f>
      </x:c>
      <x:c r="F173" s="28" t="str">
        <x:f>IF(E173="","",COUNTIFS('REPONSES'!$V$4:$V$2003,E173,'REPONSES'!$D$4:$D$2003,'PARAMETRES'!$B$4,'REPONSES'!$O$4:$O$2003,"Présent"))</x:f>
      </x:c>
      <x:c r="G173" s="28" t="str">
        <x:f>IF(E173="","",COUNTIFS('REPONSES'!$V$4:$V$2003,E173,'REPONSES'!$D$4:$D$2003,'PARAMETRES'!$B$4,'REPONSES'!$O$4:$O$2003,"Absent excusé"))</x:f>
      </x:c>
      <x:c r="H173" s="28" t="str">
        <x:f>IF(E173="","",MAX(0,COUNTIFS('CALENDRIER'!$B$4:$B$503,'PARAMETRES'!$B$4,'CALENDRIER'!$K$4:$K$503,"Oui")-F173-G173))</x:f>
      </x:c>
      <x:c r="I173" s="28" t="str">
        <x:f>IF(E173="","",COUNTIFS('REPONSES'!$V$4:$V$2003,E173,'REPONSES'!$D$4:$D$2003,'PARAMETRES'!$B$4,'REPONSES'!$R$4:$R$2003,"Oui"))</x:f>
      </x:c>
      <x:c r="J173" s="31" t="str">
        <x:f>IF(E173="","",IFERROR(F173/(F173+G173+H173),0))</x:f>
      </x:c>
      <x:c r="K173" s="32" t="str">
        <x:f>IF(E173="","",IFERROR(MAXIFS('REPONSES'!$B$4:$B$2003,'REPONSES'!$V$4:$V$2003,E173,'REPONSES'!$D$4:$D$2003,'PARAMETRES'!$B$4),""))</x:f>
      </x:c>
    </x:row>
    <x:row r="174">
      <x:c r="A174" s="19" t="str">
        <x:f>IF('MEMBRES'!A174="","",'MEMBRES'!A174)</x:f>
      </x:c>
      <x:c r="B174" s="20" t="str">
        <x:f>IF('MEMBRES'!B174="","",'MEMBRES'!B174)</x:f>
      </x:c>
      <x:c r="C174" s="20" t="str">
        <x:f>IF('MEMBRES'!C174="","",'MEMBRES'!C174)</x:f>
      </x:c>
      <x:c r="D174" s="20" t="str">
        <x:f>IF('MEMBRES'!D174="","",'MEMBRES'!D174)</x:f>
      </x:c>
      <x:c r="E174" s="20" t="str">
        <x:f>IF(A174="","",UPPER(TRIM(A174&amp;" "&amp;B174)))</x:f>
      </x:c>
      <x:c r="F174" s="28" t="str">
        <x:f>IF(E174="","",COUNTIFS('REPONSES'!$V$4:$V$2003,E174,'REPONSES'!$D$4:$D$2003,'PARAMETRES'!$B$4,'REPONSES'!$O$4:$O$2003,"Présent"))</x:f>
      </x:c>
      <x:c r="G174" s="28" t="str">
        <x:f>IF(E174="","",COUNTIFS('REPONSES'!$V$4:$V$2003,E174,'REPONSES'!$D$4:$D$2003,'PARAMETRES'!$B$4,'REPONSES'!$O$4:$O$2003,"Absent excusé"))</x:f>
      </x:c>
      <x:c r="H174" s="28" t="str">
        <x:f>IF(E174="","",MAX(0,COUNTIFS('CALENDRIER'!$B$4:$B$503,'PARAMETRES'!$B$4,'CALENDRIER'!$K$4:$K$503,"Oui")-F174-G174))</x:f>
      </x:c>
      <x:c r="I174" s="28" t="str">
        <x:f>IF(E174="","",COUNTIFS('REPONSES'!$V$4:$V$2003,E174,'REPONSES'!$D$4:$D$2003,'PARAMETRES'!$B$4,'REPONSES'!$R$4:$R$2003,"Oui"))</x:f>
      </x:c>
      <x:c r="J174" s="31" t="str">
        <x:f>IF(E174="","",IFERROR(F174/(F174+G174+H174),0))</x:f>
      </x:c>
      <x:c r="K174" s="32" t="str">
        <x:f>IF(E174="","",IFERROR(MAXIFS('REPONSES'!$B$4:$B$2003,'REPONSES'!$V$4:$V$2003,E174,'REPONSES'!$D$4:$D$2003,'PARAMETRES'!$B$4),""))</x:f>
      </x:c>
    </x:row>
    <x:row r="175">
      <x:c r="A175" s="19" t="str">
        <x:f>IF('MEMBRES'!A175="","",'MEMBRES'!A175)</x:f>
      </x:c>
      <x:c r="B175" s="20" t="str">
        <x:f>IF('MEMBRES'!B175="","",'MEMBRES'!B175)</x:f>
      </x:c>
      <x:c r="C175" s="20" t="str">
        <x:f>IF('MEMBRES'!C175="","",'MEMBRES'!C175)</x:f>
      </x:c>
      <x:c r="D175" s="20" t="str">
        <x:f>IF('MEMBRES'!D175="","",'MEMBRES'!D175)</x:f>
      </x:c>
      <x:c r="E175" s="20" t="str">
        <x:f>IF(A175="","",UPPER(TRIM(A175&amp;" "&amp;B175)))</x:f>
      </x:c>
      <x:c r="F175" s="28" t="str">
        <x:f>IF(E175="","",COUNTIFS('REPONSES'!$V$4:$V$2003,E175,'REPONSES'!$D$4:$D$2003,'PARAMETRES'!$B$4,'REPONSES'!$O$4:$O$2003,"Présent"))</x:f>
      </x:c>
      <x:c r="G175" s="28" t="str">
        <x:f>IF(E175="","",COUNTIFS('REPONSES'!$V$4:$V$2003,E175,'REPONSES'!$D$4:$D$2003,'PARAMETRES'!$B$4,'REPONSES'!$O$4:$O$2003,"Absent excusé"))</x:f>
      </x:c>
      <x:c r="H175" s="28" t="str">
        <x:f>IF(E175="","",MAX(0,COUNTIFS('CALENDRIER'!$B$4:$B$503,'PARAMETRES'!$B$4,'CALENDRIER'!$K$4:$K$503,"Oui")-F175-G175))</x:f>
      </x:c>
      <x:c r="I175" s="28" t="str">
        <x:f>IF(E175="","",COUNTIFS('REPONSES'!$V$4:$V$2003,E175,'REPONSES'!$D$4:$D$2003,'PARAMETRES'!$B$4,'REPONSES'!$R$4:$R$2003,"Oui"))</x:f>
      </x:c>
      <x:c r="J175" s="31" t="str">
        <x:f>IF(E175="","",IFERROR(F175/(F175+G175+H175),0))</x:f>
      </x:c>
      <x:c r="K175" s="32" t="str">
        <x:f>IF(E175="","",IFERROR(MAXIFS('REPONSES'!$B$4:$B$2003,'REPONSES'!$V$4:$V$2003,E175,'REPONSES'!$D$4:$D$2003,'PARAMETRES'!$B$4),""))</x:f>
      </x:c>
    </x:row>
    <x:row r="176">
      <x:c r="A176" s="19" t="str">
        <x:f>IF('MEMBRES'!A176="","",'MEMBRES'!A176)</x:f>
      </x:c>
      <x:c r="B176" s="20" t="str">
        <x:f>IF('MEMBRES'!B176="","",'MEMBRES'!B176)</x:f>
      </x:c>
      <x:c r="C176" s="20" t="str">
        <x:f>IF('MEMBRES'!C176="","",'MEMBRES'!C176)</x:f>
      </x:c>
      <x:c r="D176" s="20" t="str">
        <x:f>IF('MEMBRES'!D176="","",'MEMBRES'!D176)</x:f>
      </x:c>
      <x:c r="E176" s="20" t="str">
        <x:f>IF(A176="","",UPPER(TRIM(A176&amp;" "&amp;B176)))</x:f>
      </x:c>
      <x:c r="F176" s="28" t="str">
        <x:f>IF(E176="","",COUNTIFS('REPONSES'!$V$4:$V$2003,E176,'REPONSES'!$D$4:$D$2003,'PARAMETRES'!$B$4,'REPONSES'!$O$4:$O$2003,"Présent"))</x:f>
      </x:c>
      <x:c r="G176" s="28" t="str">
        <x:f>IF(E176="","",COUNTIFS('REPONSES'!$V$4:$V$2003,E176,'REPONSES'!$D$4:$D$2003,'PARAMETRES'!$B$4,'REPONSES'!$O$4:$O$2003,"Absent excusé"))</x:f>
      </x:c>
      <x:c r="H176" s="28" t="str">
        <x:f>IF(E176="","",MAX(0,COUNTIFS('CALENDRIER'!$B$4:$B$503,'PARAMETRES'!$B$4,'CALENDRIER'!$K$4:$K$503,"Oui")-F176-G176))</x:f>
      </x:c>
      <x:c r="I176" s="28" t="str">
        <x:f>IF(E176="","",COUNTIFS('REPONSES'!$V$4:$V$2003,E176,'REPONSES'!$D$4:$D$2003,'PARAMETRES'!$B$4,'REPONSES'!$R$4:$R$2003,"Oui"))</x:f>
      </x:c>
      <x:c r="J176" s="31" t="str">
        <x:f>IF(E176="","",IFERROR(F176/(F176+G176+H176),0))</x:f>
      </x:c>
      <x:c r="K176" s="32" t="str">
        <x:f>IF(E176="","",IFERROR(MAXIFS('REPONSES'!$B$4:$B$2003,'REPONSES'!$V$4:$V$2003,E176,'REPONSES'!$D$4:$D$2003,'PARAMETRES'!$B$4),""))</x:f>
      </x:c>
    </x:row>
    <x:row r="177">
      <x:c r="A177" s="19" t="str">
        <x:f>IF('MEMBRES'!A177="","",'MEMBRES'!A177)</x:f>
      </x:c>
      <x:c r="B177" s="20" t="str">
        <x:f>IF('MEMBRES'!B177="","",'MEMBRES'!B177)</x:f>
      </x:c>
      <x:c r="C177" s="20" t="str">
        <x:f>IF('MEMBRES'!C177="","",'MEMBRES'!C177)</x:f>
      </x:c>
      <x:c r="D177" s="20" t="str">
        <x:f>IF('MEMBRES'!D177="","",'MEMBRES'!D177)</x:f>
      </x:c>
      <x:c r="E177" s="20" t="str">
        <x:f>IF(A177="","",UPPER(TRIM(A177&amp;" "&amp;B177)))</x:f>
      </x:c>
      <x:c r="F177" s="28" t="str">
        <x:f>IF(E177="","",COUNTIFS('REPONSES'!$V$4:$V$2003,E177,'REPONSES'!$D$4:$D$2003,'PARAMETRES'!$B$4,'REPONSES'!$O$4:$O$2003,"Présent"))</x:f>
      </x:c>
      <x:c r="G177" s="28" t="str">
        <x:f>IF(E177="","",COUNTIFS('REPONSES'!$V$4:$V$2003,E177,'REPONSES'!$D$4:$D$2003,'PARAMETRES'!$B$4,'REPONSES'!$O$4:$O$2003,"Absent excusé"))</x:f>
      </x:c>
      <x:c r="H177" s="28" t="str">
        <x:f>IF(E177="","",MAX(0,COUNTIFS('CALENDRIER'!$B$4:$B$503,'PARAMETRES'!$B$4,'CALENDRIER'!$K$4:$K$503,"Oui")-F177-G177))</x:f>
      </x:c>
      <x:c r="I177" s="28" t="str">
        <x:f>IF(E177="","",COUNTIFS('REPONSES'!$V$4:$V$2003,E177,'REPONSES'!$D$4:$D$2003,'PARAMETRES'!$B$4,'REPONSES'!$R$4:$R$2003,"Oui"))</x:f>
      </x:c>
      <x:c r="J177" s="31" t="str">
        <x:f>IF(E177="","",IFERROR(F177/(F177+G177+H177),0))</x:f>
      </x:c>
      <x:c r="K177" s="32" t="str">
        <x:f>IF(E177="","",IFERROR(MAXIFS('REPONSES'!$B$4:$B$2003,'REPONSES'!$V$4:$V$2003,E177,'REPONSES'!$D$4:$D$2003,'PARAMETRES'!$B$4),""))</x:f>
      </x:c>
    </x:row>
    <x:row r="178">
      <x:c r="A178" s="19" t="str">
        <x:f>IF('MEMBRES'!A178="","",'MEMBRES'!A178)</x:f>
      </x:c>
      <x:c r="B178" s="20" t="str">
        <x:f>IF('MEMBRES'!B178="","",'MEMBRES'!B178)</x:f>
      </x:c>
      <x:c r="C178" s="20" t="str">
        <x:f>IF('MEMBRES'!C178="","",'MEMBRES'!C178)</x:f>
      </x:c>
      <x:c r="D178" s="20" t="str">
        <x:f>IF('MEMBRES'!D178="","",'MEMBRES'!D178)</x:f>
      </x:c>
      <x:c r="E178" s="20" t="str">
        <x:f>IF(A178="","",UPPER(TRIM(A178&amp;" "&amp;B178)))</x:f>
      </x:c>
      <x:c r="F178" s="28" t="str">
        <x:f>IF(E178="","",COUNTIFS('REPONSES'!$V$4:$V$2003,E178,'REPONSES'!$D$4:$D$2003,'PARAMETRES'!$B$4,'REPONSES'!$O$4:$O$2003,"Présent"))</x:f>
      </x:c>
      <x:c r="G178" s="28" t="str">
        <x:f>IF(E178="","",COUNTIFS('REPONSES'!$V$4:$V$2003,E178,'REPONSES'!$D$4:$D$2003,'PARAMETRES'!$B$4,'REPONSES'!$O$4:$O$2003,"Absent excusé"))</x:f>
      </x:c>
      <x:c r="H178" s="28" t="str">
        <x:f>IF(E178="","",MAX(0,COUNTIFS('CALENDRIER'!$B$4:$B$503,'PARAMETRES'!$B$4,'CALENDRIER'!$K$4:$K$503,"Oui")-F178-G178))</x:f>
      </x:c>
      <x:c r="I178" s="28" t="str">
        <x:f>IF(E178="","",COUNTIFS('REPONSES'!$V$4:$V$2003,E178,'REPONSES'!$D$4:$D$2003,'PARAMETRES'!$B$4,'REPONSES'!$R$4:$R$2003,"Oui"))</x:f>
      </x:c>
      <x:c r="J178" s="31" t="str">
        <x:f>IF(E178="","",IFERROR(F178/(F178+G178+H178),0))</x:f>
      </x:c>
      <x:c r="K178" s="32" t="str">
        <x:f>IF(E178="","",IFERROR(MAXIFS('REPONSES'!$B$4:$B$2003,'REPONSES'!$V$4:$V$2003,E178,'REPONSES'!$D$4:$D$2003,'PARAMETRES'!$B$4),""))</x:f>
      </x:c>
    </x:row>
    <x:row r="179">
      <x:c r="A179" s="19" t="str">
        <x:f>IF('MEMBRES'!A179="","",'MEMBRES'!A179)</x:f>
      </x:c>
      <x:c r="B179" s="20" t="str">
        <x:f>IF('MEMBRES'!B179="","",'MEMBRES'!B179)</x:f>
      </x:c>
      <x:c r="C179" s="20" t="str">
        <x:f>IF('MEMBRES'!C179="","",'MEMBRES'!C179)</x:f>
      </x:c>
      <x:c r="D179" s="20" t="str">
        <x:f>IF('MEMBRES'!D179="","",'MEMBRES'!D179)</x:f>
      </x:c>
      <x:c r="E179" s="20" t="str">
        <x:f>IF(A179="","",UPPER(TRIM(A179&amp;" "&amp;B179)))</x:f>
      </x:c>
      <x:c r="F179" s="28" t="str">
        <x:f>IF(E179="","",COUNTIFS('REPONSES'!$V$4:$V$2003,E179,'REPONSES'!$D$4:$D$2003,'PARAMETRES'!$B$4,'REPONSES'!$O$4:$O$2003,"Présent"))</x:f>
      </x:c>
      <x:c r="G179" s="28" t="str">
        <x:f>IF(E179="","",COUNTIFS('REPONSES'!$V$4:$V$2003,E179,'REPONSES'!$D$4:$D$2003,'PARAMETRES'!$B$4,'REPONSES'!$O$4:$O$2003,"Absent excusé"))</x:f>
      </x:c>
      <x:c r="H179" s="28" t="str">
        <x:f>IF(E179="","",MAX(0,COUNTIFS('CALENDRIER'!$B$4:$B$503,'PARAMETRES'!$B$4,'CALENDRIER'!$K$4:$K$503,"Oui")-F179-G179))</x:f>
      </x:c>
      <x:c r="I179" s="28" t="str">
        <x:f>IF(E179="","",COUNTIFS('REPONSES'!$V$4:$V$2003,E179,'REPONSES'!$D$4:$D$2003,'PARAMETRES'!$B$4,'REPONSES'!$R$4:$R$2003,"Oui"))</x:f>
      </x:c>
      <x:c r="J179" s="31" t="str">
        <x:f>IF(E179="","",IFERROR(F179/(F179+G179+H179),0))</x:f>
      </x:c>
      <x:c r="K179" s="32" t="str">
        <x:f>IF(E179="","",IFERROR(MAXIFS('REPONSES'!$B$4:$B$2003,'REPONSES'!$V$4:$V$2003,E179,'REPONSES'!$D$4:$D$2003,'PARAMETRES'!$B$4),""))</x:f>
      </x:c>
    </x:row>
    <x:row r="180">
      <x:c r="A180" s="19" t="str">
        <x:f>IF('MEMBRES'!A180="","",'MEMBRES'!A180)</x:f>
      </x:c>
      <x:c r="B180" s="20" t="str">
        <x:f>IF('MEMBRES'!B180="","",'MEMBRES'!B180)</x:f>
      </x:c>
      <x:c r="C180" s="20" t="str">
        <x:f>IF('MEMBRES'!C180="","",'MEMBRES'!C180)</x:f>
      </x:c>
      <x:c r="D180" s="20" t="str">
        <x:f>IF('MEMBRES'!D180="","",'MEMBRES'!D180)</x:f>
      </x:c>
      <x:c r="E180" s="20" t="str">
        <x:f>IF(A180="","",UPPER(TRIM(A180&amp;" "&amp;B180)))</x:f>
      </x:c>
      <x:c r="F180" s="28" t="str">
        <x:f>IF(E180="","",COUNTIFS('REPONSES'!$V$4:$V$2003,E180,'REPONSES'!$D$4:$D$2003,'PARAMETRES'!$B$4,'REPONSES'!$O$4:$O$2003,"Présent"))</x:f>
      </x:c>
      <x:c r="G180" s="28" t="str">
        <x:f>IF(E180="","",COUNTIFS('REPONSES'!$V$4:$V$2003,E180,'REPONSES'!$D$4:$D$2003,'PARAMETRES'!$B$4,'REPONSES'!$O$4:$O$2003,"Absent excusé"))</x:f>
      </x:c>
      <x:c r="H180" s="28" t="str">
        <x:f>IF(E180="","",MAX(0,COUNTIFS('CALENDRIER'!$B$4:$B$503,'PARAMETRES'!$B$4,'CALENDRIER'!$K$4:$K$503,"Oui")-F180-G180))</x:f>
      </x:c>
      <x:c r="I180" s="28" t="str">
        <x:f>IF(E180="","",COUNTIFS('REPONSES'!$V$4:$V$2003,E180,'REPONSES'!$D$4:$D$2003,'PARAMETRES'!$B$4,'REPONSES'!$R$4:$R$2003,"Oui"))</x:f>
      </x:c>
      <x:c r="J180" s="31" t="str">
        <x:f>IF(E180="","",IFERROR(F180/(F180+G180+H180),0))</x:f>
      </x:c>
      <x:c r="K180" s="32" t="str">
        <x:f>IF(E180="","",IFERROR(MAXIFS('REPONSES'!$B$4:$B$2003,'REPONSES'!$V$4:$V$2003,E180,'REPONSES'!$D$4:$D$2003,'PARAMETRES'!$B$4),""))</x:f>
      </x:c>
    </x:row>
    <x:row r="181">
      <x:c r="A181" s="19" t="str">
        <x:f>IF('MEMBRES'!A181="","",'MEMBRES'!A181)</x:f>
      </x:c>
      <x:c r="B181" s="20" t="str">
        <x:f>IF('MEMBRES'!B181="","",'MEMBRES'!B181)</x:f>
      </x:c>
      <x:c r="C181" s="20" t="str">
        <x:f>IF('MEMBRES'!C181="","",'MEMBRES'!C181)</x:f>
      </x:c>
      <x:c r="D181" s="20" t="str">
        <x:f>IF('MEMBRES'!D181="","",'MEMBRES'!D181)</x:f>
      </x:c>
      <x:c r="E181" s="20" t="str">
        <x:f>IF(A181="","",UPPER(TRIM(A181&amp;" "&amp;B181)))</x:f>
      </x:c>
      <x:c r="F181" s="28" t="str">
        <x:f>IF(E181="","",COUNTIFS('REPONSES'!$V$4:$V$2003,E181,'REPONSES'!$D$4:$D$2003,'PARAMETRES'!$B$4,'REPONSES'!$O$4:$O$2003,"Présent"))</x:f>
      </x:c>
      <x:c r="G181" s="28" t="str">
        <x:f>IF(E181="","",COUNTIFS('REPONSES'!$V$4:$V$2003,E181,'REPONSES'!$D$4:$D$2003,'PARAMETRES'!$B$4,'REPONSES'!$O$4:$O$2003,"Absent excusé"))</x:f>
      </x:c>
      <x:c r="H181" s="28" t="str">
        <x:f>IF(E181="","",MAX(0,COUNTIFS('CALENDRIER'!$B$4:$B$503,'PARAMETRES'!$B$4,'CALENDRIER'!$K$4:$K$503,"Oui")-F181-G181))</x:f>
      </x:c>
      <x:c r="I181" s="28" t="str">
        <x:f>IF(E181="","",COUNTIFS('REPONSES'!$V$4:$V$2003,E181,'REPONSES'!$D$4:$D$2003,'PARAMETRES'!$B$4,'REPONSES'!$R$4:$R$2003,"Oui"))</x:f>
      </x:c>
      <x:c r="J181" s="31" t="str">
        <x:f>IF(E181="","",IFERROR(F181/(F181+G181+H181),0))</x:f>
      </x:c>
      <x:c r="K181" s="32" t="str">
        <x:f>IF(E181="","",IFERROR(MAXIFS('REPONSES'!$B$4:$B$2003,'REPONSES'!$V$4:$V$2003,E181,'REPONSES'!$D$4:$D$2003,'PARAMETRES'!$B$4),""))</x:f>
      </x:c>
    </x:row>
    <x:row r="182">
      <x:c r="A182" s="19" t="str">
        <x:f>IF('MEMBRES'!A182="","",'MEMBRES'!A182)</x:f>
      </x:c>
      <x:c r="B182" s="20" t="str">
        <x:f>IF('MEMBRES'!B182="","",'MEMBRES'!B182)</x:f>
      </x:c>
      <x:c r="C182" s="20" t="str">
        <x:f>IF('MEMBRES'!C182="","",'MEMBRES'!C182)</x:f>
      </x:c>
      <x:c r="D182" s="20" t="str">
        <x:f>IF('MEMBRES'!D182="","",'MEMBRES'!D182)</x:f>
      </x:c>
      <x:c r="E182" s="20" t="str">
        <x:f>IF(A182="","",UPPER(TRIM(A182&amp;" "&amp;B182)))</x:f>
      </x:c>
      <x:c r="F182" s="28" t="str">
        <x:f>IF(E182="","",COUNTIFS('REPONSES'!$V$4:$V$2003,E182,'REPONSES'!$D$4:$D$2003,'PARAMETRES'!$B$4,'REPONSES'!$O$4:$O$2003,"Présent"))</x:f>
      </x:c>
      <x:c r="G182" s="28" t="str">
        <x:f>IF(E182="","",COUNTIFS('REPONSES'!$V$4:$V$2003,E182,'REPONSES'!$D$4:$D$2003,'PARAMETRES'!$B$4,'REPONSES'!$O$4:$O$2003,"Absent excusé"))</x:f>
      </x:c>
      <x:c r="H182" s="28" t="str">
        <x:f>IF(E182="","",MAX(0,COUNTIFS('CALENDRIER'!$B$4:$B$503,'PARAMETRES'!$B$4,'CALENDRIER'!$K$4:$K$503,"Oui")-F182-G182))</x:f>
      </x:c>
      <x:c r="I182" s="28" t="str">
        <x:f>IF(E182="","",COUNTIFS('REPONSES'!$V$4:$V$2003,E182,'REPONSES'!$D$4:$D$2003,'PARAMETRES'!$B$4,'REPONSES'!$R$4:$R$2003,"Oui"))</x:f>
      </x:c>
      <x:c r="J182" s="31" t="str">
        <x:f>IF(E182="","",IFERROR(F182/(F182+G182+H182),0))</x:f>
      </x:c>
      <x:c r="K182" s="32" t="str">
        <x:f>IF(E182="","",IFERROR(MAXIFS('REPONSES'!$B$4:$B$2003,'REPONSES'!$V$4:$V$2003,E182,'REPONSES'!$D$4:$D$2003,'PARAMETRES'!$B$4),""))</x:f>
      </x:c>
    </x:row>
    <x:row r="183">
      <x:c r="A183" s="19" t="str">
        <x:f>IF('MEMBRES'!A183="","",'MEMBRES'!A183)</x:f>
      </x:c>
      <x:c r="B183" s="20" t="str">
        <x:f>IF('MEMBRES'!B183="","",'MEMBRES'!B183)</x:f>
      </x:c>
      <x:c r="C183" s="20" t="str">
        <x:f>IF('MEMBRES'!C183="","",'MEMBRES'!C183)</x:f>
      </x:c>
      <x:c r="D183" s="20" t="str">
        <x:f>IF('MEMBRES'!D183="","",'MEMBRES'!D183)</x:f>
      </x:c>
      <x:c r="E183" s="20" t="str">
        <x:f>IF(A183="","",UPPER(TRIM(A183&amp;" "&amp;B183)))</x:f>
      </x:c>
      <x:c r="F183" s="28" t="str">
        <x:f>IF(E183="","",COUNTIFS('REPONSES'!$V$4:$V$2003,E183,'REPONSES'!$D$4:$D$2003,'PARAMETRES'!$B$4,'REPONSES'!$O$4:$O$2003,"Présent"))</x:f>
      </x:c>
      <x:c r="G183" s="28" t="str">
        <x:f>IF(E183="","",COUNTIFS('REPONSES'!$V$4:$V$2003,E183,'REPONSES'!$D$4:$D$2003,'PARAMETRES'!$B$4,'REPONSES'!$O$4:$O$2003,"Absent excusé"))</x:f>
      </x:c>
      <x:c r="H183" s="28" t="str">
        <x:f>IF(E183="","",MAX(0,COUNTIFS('CALENDRIER'!$B$4:$B$503,'PARAMETRES'!$B$4,'CALENDRIER'!$K$4:$K$503,"Oui")-F183-G183))</x:f>
      </x:c>
      <x:c r="I183" s="28" t="str">
        <x:f>IF(E183="","",COUNTIFS('REPONSES'!$V$4:$V$2003,E183,'REPONSES'!$D$4:$D$2003,'PARAMETRES'!$B$4,'REPONSES'!$R$4:$R$2003,"Oui"))</x:f>
      </x:c>
      <x:c r="J183" s="31" t="str">
        <x:f>IF(E183="","",IFERROR(F183/(F183+G183+H183),0))</x:f>
      </x:c>
      <x:c r="K183" s="32" t="str">
        <x:f>IF(E183="","",IFERROR(MAXIFS('REPONSES'!$B$4:$B$2003,'REPONSES'!$V$4:$V$2003,E183,'REPONSES'!$D$4:$D$2003,'PARAMETRES'!$B$4),""))</x:f>
      </x:c>
    </x:row>
    <x:row r="184">
      <x:c r="A184" s="19" t="str">
        <x:f>IF('MEMBRES'!A184="","",'MEMBRES'!A184)</x:f>
      </x:c>
      <x:c r="B184" s="20" t="str">
        <x:f>IF('MEMBRES'!B184="","",'MEMBRES'!B184)</x:f>
      </x:c>
      <x:c r="C184" s="20" t="str">
        <x:f>IF('MEMBRES'!C184="","",'MEMBRES'!C184)</x:f>
      </x:c>
      <x:c r="D184" s="20" t="str">
        <x:f>IF('MEMBRES'!D184="","",'MEMBRES'!D184)</x:f>
      </x:c>
      <x:c r="E184" s="20" t="str">
        <x:f>IF(A184="","",UPPER(TRIM(A184&amp;" "&amp;B184)))</x:f>
      </x:c>
      <x:c r="F184" s="28" t="str">
        <x:f>IF(E184="","",COUNTIFS('REPONSES'!$V$4:$V$2003,E184,'REPONSES'!$D$4:$D$2003,'PARAMETRES'!$B$4,'REPONSES'!$O$4:$O$2003,"Présent"))</x:f>
      </x:c>
      <x:c r="G184" s="28" t="str">
        <x:f>IF(E184="","",COUNTIFS('REPONSES'!$V$4:$V$2003,E184,'REPONSES'!$D$4:$D$2003,'PARAMETRES'!$B$4,'REPONSES'!$O$4:$O$2003,"Absent excusé"))</x:f>
      </x:c>
      <x:c r="H184" s="28" t="str">
        <x:f>IF(E184="","",MAX(0,COUNTIFS('CALENDRIER'!$B$4:$B$503,'PARAMETRES'!$B$4,'CALENDRIER'!$K$4:$K$503,"Oui")-F184-G184))</x:f>
      </x:c>
      <x:c r="I184" s="28" t="str">
        <x:f>IF(E184="","",COUNTIFS('REPONSES'!$V$4:$V$2003,E184,'REPONSES'!$D$4:$D$2003,'PARAMETRES'!$B$4,'REPONSES'!$R$4:$R$2003,"Oui"))</x:f>
      </x:c>
      <x:c r="J184" s="31" t="str">
        <x:f>IF(E184="","",IFERROR(F184/(F184+G184+H184),0))</x:f>
      </x:c>
      <x:c r="K184" s="32" t="str">
        <x:f>IF(E184="","",IFERROR(MAXIFS('REPONSES'!$B$4:$B$2003,'REPONSES'!$V$4:$V$2003,E184,'REPONSES'!$D$4:$D$2003,'PARAMETRES'!$B$4),""))</x:f>
      </x:c>
    </x:row>
    <x:row r="185">
      <x:c r="A185" s="19" t="str">
        <x:f>IF('MEMBRES'!A185="","",'MEMBRES'!A185)</x:f>
      </x:c>
      <x:c r="B185" s="20" t="str">
        <x:f>IF('MEMBRES'!B185="","",'MEMBRES'!B185)</x:f>
      </x:c>
      <x:c r="C185" s="20" t="str">
        <x:f>IF('MEMBRES'!C185="","",'MEMBRES'!C185)</x:f>
      </x:c>
      <x:c r="D185" s="20" t="str">
        <x:f>IF('MEMBRES'!D185="","",'MEMBRES'!D185)</x:f>
      </x:c>
      <x:c r="E185" s="20" t="str">
        <x:f>IF(A185="","",UPPER(TRIM(A185&amp;" "&amp;B185)))</x:f>
      </x:c>
      <x:c r="F185" s="28" t="str">
        <x:f>IF(E185="","",COUNTIFS('REPONSES'!$V$4:$V$2003,E185,'REPONSES'!$D$4:$D$2003,'PARAMETRES'!$B$4,'REPONSES'!$O$4:$O$2003,"Présent"))</x:f>
      </x:c>
      <x:c r="G185" s="28" t="str">
        <x:f>IF(E185="","",COUNTIFS('REPONSES'!$V$4:$V$2003,E185,'REPONSES'!$D$4:$D$2003,'PARAMETRES'!$B$4,'REPONSES'!$O$4:$O$2003,"Absent excusé"))</x:f>
      </x:c>
      <x:c r="H185" s="28" t="str">
        <x:f>IF(E185="","",MAX(0,COUNTIFS('CALENDRIER'!$B$4:$B$503,'PARAMETRES'!$B$4,'CALENDRIER'!$K$4:$K$503,"Oui")-F185-G185))</x:f>
      </x:c>
      <x:c r="I185" s="28" t="str">
        <x:f>IF(E185="","",COUNTIFS('REPONSES'!$V$4:$V$2003,E185,'REPONSES'!$D$4:$D$2003,'PARAMETRES'!$B$4,'REPONSES'!$R$4:$R$2003,"Oui"))</x:f>
      </x:c>
      <x:c r="J185" s="31" t="str">
        <x:f>IF(E185="","",IFERROR(F185/(F185+G185+H185),0))</x:f>
      </x:c>
      <x:c r="K185" s="32" t="str">
        <x:f>IF(E185="","",IFERROR(MAXIFS('REPONSES'!$B$4:$B$2003,'REPONSES'!$V$4:$V$2003,E185,'REPONSES'!$D$4:$D$2003,'PARAMETRES'!$B$4),""))</x:f>
      </x:c>
    </x:row>
    <x:row r="186">
      <x:c r="A186" s="19" t="str">
        <x:f>IF('MEMBRES'!A186="","",'MEMBRES'!A186)</x:f>
      </x:c>
      <x:c r="B186" s="20" t="str">
        <x:f>IF('MEMBRES'!B186="","",'MEMBRES'!B186)</x:f>
      </x:c>
      <x:c r="C186" s="20" t="str">
        <x:f>IF('MEMBRES'!C186="","",'MEMBRES'!C186)</x:f>
      </x:c>
      <x:c r="D186" s="20" t="str">
        <x:f>IF('MEMBRES'!D186="","",'MEMBRES'!D186)</x:f>
      </x:c>
      <x:c r="E186" s="20" t="str">
        <x:f>IF(A186="","",UPPER(TRIM(A186&amp;" "&amp;B186)))</x:f>
      </x:c>
      <x:c r="F186" s="28" t="str">
        <x:f>IF(E186="","",COUNTIFS('REPONSES'!$V$4:$V$2003,E186,'REPONSES'!$D$4:$D$2003,'PARAMETRES'!$B$4,'REPONSES'!$O$4:$O$2003,"Présent"))</x:f>
      </x:c>
      <x:c r="G186" s="28" t="str">
        <x:f>IF(E186="","",COUNTIFS('REPONSES'!$V$4:$V$2003,E186,'REPONSES'!$D$4:$D$2003,'PARAMETRES'!$B$4,'REPONSES'!$O$4:$O$2003,"Absent excusé"))</x:f>
      </x:c>
      <x:c r="H186" s="28" t="str">
        <x:f>IF(E186="","",MAX(0,COUNTIFS('CALENDRIER'!$B$4:$B$503,'PARAMETRES'!$B$4,'CALENDRIER'!$K$4:$K$503,"Oui")-F186-G186))</x:f>
      </x:c>
      <x:c r="I186" s="28" t="str">
        <x:f>IF(E186="","",COUNTIFS('REPONSES'!$V$4:$V$2003,E186,'REPONSES'!$D$4:$D$2003,'PARAMETRES'!$B$4,'REPONSES'!$R$4:$R$2003,"Oui"))</x:f>
      </x:c>
      <x:c r="J186" s="31" t="str">
        <x:f>IF(E186="","",IFERROR(F186/(F186+G186+H186),0))</x:f>
      </x:c>
      <x:c r="K186" s="32" t="str">
        <x:f>IF(E186="","",IFERROR(MAXIFS('REPONSES'!$B$4:$B$2003,'REPONSES'!$V$4:$V$2003,E186,'REPONSES'!$D$4:$D$2003,'PARAMETRES'!$B$4),""))</x:f>
      </x:c>
    </x:row>
    <x:row r="187">
      <x:c r="A187" s="19" t="str">
        <x:f>IF('MEMBRES'!A187="","",'MEMBRES'!A187)</x:f>
      </x:c>
      <x:c r="B187" s="20" t="str">
        <x:f>IF('MEMBRES'!B187="","",'MEMBRES'!B187)</x:f>
      </x:c>
      <x:c r="C187" s="20" t="str">
        <x:f>IF('MEMBRES'!C187="","",'MEMBRES'!C187)</x:f>
      </x:c>
      <x:c r="D187" s="20" t="str">
        <x:f>IF('MEMBRES'!D187="","",'MEMBRES'!D187)</x:f>
      </x:c>
      <x:c r="E187" s="20" t="str">
        <x:f>IF(A187="","",UPPER(TRIM(A187&amp;" "&amp;B187)))</x:f>
      </x:c>
      <x:c r="F187" s="28" t="str">
        <x:f>IF(E187="","",COUNTIFS('REPONSES'!$V$4:$V$2003,E187,'REPONSES'!$D$4:$D$2003,'PARAMETRES'!$B$4,'REPONSES'!$O$4:$O$2003,"Présent"))</x:f>
      </x:c>
      <x:c r="G187" s="28" t="str">
        <x:f>IF(E187="","",COUNTIFS('REPONSES'!$V$4:$V$2003,E187,'REPONSES'!$D$4:$D$2003,'PARAMETRES'!$B$4,'REPONSES'!$O$4:$O$2003,"Absent excusé"))</x:f>
      </x:c>
      <x:c r="H187" s="28" t="str">
        <x:f>IF(E187="","",MAX(0,COUNTIFS('CALENDRIER'!$B$4:$B$503,'PARAMETRES'!$B$4,'CALENDRIER'!$K$4:$K$503,"Oui")-F187-G187))</x:f>
      </x:c>
      <x:c r="I187" s="28" t="str">
        <x:f>IF(E187="","",COUNTIFS('REPONSES'!$V$4:$V$2003,E187,'REPONSES'!$D$4:$D$2003,'PARAMETRES'!$B$4,'REPONSES'!$R$4:$R$2003,"Oui"))</x:f>
      </x:c>
      <x:c r="J187" s="31" t="str">
        <x:f>IF(E187="","",IFERROR(F187/(F187+G187+H187),0))</x:f>
      </x:c>
      <x:c r="K187" s="32" t="str">
        <x:f>IF(E187="","",IFERROR(MAXIFS('REPONSES'!$B$4:$B$2003,'REPONSES'!$V$4:$V$2003,E187,'REPONSES'!$D$4:$D$2003,'PARAMETRES'!$B$4),""))</x:f>
      </x:c>
    </x:row>
    <x:row r="188">
      <x:c r="A188" s="19" t="str">
        <x:f>IF('MEMBRES'!A188="","",'MEMBRES'!A188)</x:f>
      </x:c>
      <x:c r="B188" s="20" t="str">
        <x:f>IF('MEMBRES'!B188="","",'MEMBRES'!B188)</x:f>
      </x:c>
      <x:c r="C188" s="20" t="str">
        <x:f>IF('MEMBRES'!C188="","",'MEMBRES'!C188)</x:f>
      </x:c>
      <x:c r="D188" s="20" t="str">
        <x:f>IF('MEMBRES'!D188="","",'MEMBRES'!D188)</x:f>
      </x:c>
      <x:c r="E188" s="20" t="str">
        <x:f>IF(A188="","",UPPER(TRIM(A188&amp;" "&amp;B188)))</x:f>
      </x:c>
      <x:c r="F188" s="28" t="str">
        <x:f>IF(E188="","",COUNTIFS('REPONSES'!$V$4:$V$2003,E188,'REPONSES'!$D$4:$D$2003,'PARAMETRES'!$B$4,'REPONSES'!$O$4:$O$2003,"Présent"))</x:f>
      </x:c>
      <x:c r="G188" s="28" t="str">
        <x:f>IF(E188="","",COUNTIFS('REPONSES'!$V$4:$V$2003,E188,'REPONSES'!$D$4:$D$2003,'PARAMETRES'!$B$4,'REPONSES'!$O$4:$O$2003,"Absent excusé"))</x:f>
      </x:c>
      <x:c r="H188" s="28" t="str">
        <x:f>IF(E188="","",MAX(0,COUNTIFS('CALENDRIER'!$B$4:$B$503,'PARAMETRES'!$B$4,'CALENDRIER'!$K$4:$K$503,"Oui")-F188-G188))</x:f>
      </x:c>
      <x:c r="I188" s="28" t="str">
        <x:f>IF(E188="","",COUNTIFS('REPONSES'!$V$4:$V$2003,E188,'REPONSES'!$D$4:$D$2003,'PARAMETRES'!$B$4,'REPONSES'!$R$4:$R$2003,"Oui"))</x:f>
      </x:c>
      <x:c r="J188" s="31" t="str">
        <x:f>IF(E188="","",IFERROR(F188/(F188+G188+H188),0))</x:f>
      </x:c>
      <x:c r="K188" s="32" t="str">
        <x:f>IF(E188="","",IFERROR(MAXIFS('REPONSES'!$B$4:$B$2003,'REPONSES'!$V$4:$V$2003,E188,'REPONSES'!$D$4:$D$2003,'PARAMETRES'!$B$4),""))</x:f>
      </x:c>
    </x:row>
    <x:row r="189">
      <x:c r="A189" s="19" t="str">
        <x:f>IF('MEMBRES'!A189="","",'MEMBRES'!A189)</x:f>
      </x:c>
      <x:c r="B189" s="20" t="str">
        <x:f>IF('MEMBRES'!B189="","",'MEMBRES'!B189)</x:f>
      </x:c>
      <x:c r="C189" s="20" t="str">
        <x:f>IF('MEMBRES'!C189="","",'MEMBRES'!C189)</x:f>
      </x:c>
      <x:c r="D189" s="20" t="str">
        <x:f>IF('MEMBRES'!D189="","",'MEMBRES'!D189)</x:f>
      </x:c>
      <x:c r="E189" s="20" t="str">
        <x:f>IF(A189="","",UPPER(TRIM(A189&amp;" "&amp;B189)))</x:f>
      </x:c>
      <x:c r="F189" s="28" t="str">
        <x:f>IF(E189="","",COUNTIFS('REPONSES'!$V$4:$V$2003,E189,'REPONSES'!$D$4:$D$2003,'PARAMETRES'!$B$4,'REPONSES'!$O$4:$O$2003,"Présent"))</x:f>
      </x:c>
      <x:c r="G189" s="28" t="str">
        <x:f>IF(E189="","",COUNTIFS('REPONSES'!$V$4:$V$2003,E189,'REPONSES'!$D$4:$D$2003,'PARAMETRES'!$B$4,'REPONSES'!$O$4:$O$2003,"Absent excusé"))</x:f>
      </x:c>
      <x:c r="H189" s="28" t="str">
        <x:f>IF(E189="","",MAX(0,COUNTIFS('CALENDRIER'!$B$4:$B$503,'PARAMETRES'!$B$4,'CALENDRIER'!$K$4:$K$503,"Oui")-F189-G189))</x:f>
      </x:c>
      <x:c r="I189" s="28" t="str">
        <x:f>IF(E189="","",COUNTIFS('REPONSES'!$V$4:$V$2003,E189,'REPONSES'!$D$4:$D$2003,'PARAMETRES'!$B$4,'REPONSES'!$R$4:$R$2003,"Oui"))</x:f>
      </x:c>
      <x:c r="J189" s="31" t="str">
        <x:f>IF(E189="","",IFERROR(F189/(F189+G189+H189),0))</x:f>
      </x:c>
      <x:c r="K189" s="32" t="str">
        <x:f>IF(E189="","",IFERROR(MAXIFS('REPONSES'!$B$4:$B$2003,'REPONSES'!$V$4:$V$2003,E189,'REPONSES'!$D$4:$D$2003,'PARAMETRES'!$B$4),""))</x:f>
      </x:c>
    </x:row>
    <x:row r="190">
      <x:c r="A190" s="19" t="str">
        <x:f>IF('MEMBRES'!A190="","",'MEMBRES'!A190)</x:f>
      </x:c>
      <x:c r="B190" s="20" t="str">
        <x:f>IF('MEMBRES'!B190="","",'MEMBRES'!B190)</x:f>
      </x:c>
      <x:c r="C190" s="20" t="str">
        <x:f>IF('MEMBRES'!C190="","",'MEMBRES'!C190)</x:f>
      </x:c>
      <x:c r="D190" s="20" t="str">
        <x:f>IF('MEMBRES'!D190="","",'MEMBRES'!D190)</x:f>
      </x:c>
      <x:c r="E190" s="20" t="str">
        <x:f>IF(A190="","",UPPER(TRIM(A190&amp;" "&amp;B190)))</x:f>
      </x:c>
      <x:c r="F190" s="28" t="str">
        <x:f>IF(E190="","",COUNTIFS('REPONSES'!$V$4:$V$2003,E190,'REPONSES'!$D$4:$D$2003,'PARAMETRES'!$B$4,'REPONSES'!$O$4:$O$2003,"Présent"))</x:f>
      </x:c>
      <x:c r="G190" s="28" t="str">
        <x:f>IF(E190="","",COUNTIFS('REPONSES'!$V$4:$V$2003,E190,'REPONSES'!$D$4:$D$2003,'PARAMETRES'!$B$4,'REPONSES'!$O$4:$O$2003,"Absent excusé"))</x:f>
      </x:c>
      <x:c r="H190" s="28" t="str">
        <x:f>IF(E190="","",MAX(0,COUNTIFS('CALENDRIER'!$B$4:$B$503,'PARAMETRES'!$B$4,'CALENDRIER'!$K$4:$K$503,"Oui")-F190-G190))</x:f>
      </x:c>
      <x:c r="I190" s="28" t="str">
        <x:f>IF(E190="","",COUNTIFS('REPONSES'!$V$4:$V$2003,E190,'REPONSES'!$D$4:$D$2003,'PARAMETRES'!$B$4,'REPONSES'!$R$4:$R$2003,"Oui"))</x:f>
      </x:c>
      <x:c r="J190" s="31" t="str">
        <x:f>IF(E190="","",IFERROR(F190/(F190+G190+H190),0))</x:f>
      </x:c>
      <x:c r="K190" s="32" t="str">
        <x:f>IF(E190="","",IFERROR(MAXIFS('REPONSES'!$B$4:$B$2003,'REPONSES'!$V$4:$V$2003,E190,'REPONSES'!$D$4:$D$2003,'PARAMETRES'!$B$4),""))</x:f>
      </x:c>
    </x:row>
    <x:row r="191">
      <x:c r="A191" s="19" t="str">
        <x:f>IF('MEMBRES'!A191="","",'MEMBRES'!A191)</x:f>
      </x:c>
      <x:c r="B191" s="20" t="str">
        <x:f>IF('MEMBRES'!B191="","",'MEMBRES'!B191)</x:f>
      </x:c>
      <x:c r="C191" s="20" t="str">
        <x:f>IF('MEMBRES'!C191="","",'MEMBRES'!C191)</x:f>
      </x:c>
      <x:c r="D191" s="20" t="str">
        <x:f>IF('MEMBRES'!D191="","",'MEMBRES'!D191)</x:f>
      </x:c>
      <x:c r="E191" s="20" t="str">
        <x:f>IF(A191="","",UPPER(TRIM(A191&amp;" "&amp;B191)))</x:f>
      </x:c>
      <x:c r="F191" s="28" t="str">
        <x:f>IF(E191="","",COUNTIFS('REPONSES'!$V$4:$V$2003,E191,'REPONSES'!$D$4:$D$2003,'PARAMETRES'!$B$4,'REPONSES'!$O$4:$O$2003,"Présent"))</x:f>
      </x:c>
      <x:c r="G191" s="28" t="str">
        <x:f>IF(E191="","",COUNTIFS('REPONSES'!$V$4:$V$2003,E191,'REPONSES'!$D$4:$D$2003,'PARAMETRES'!$B$4,'REPONSES'!$O$4:$O$2003,"Absent excusé"))</x:f>
      </x:c>
      <x:c r="H191" s="28" t="str">
        <x:f>IF(E191="","",MAX(0,COUNTIFS('CALENDRIER'!$B$4:$B$503,'PARAMETRES'!$B$4,'CALENDRIER'!$K$4:$K$503,"Oui")-F191-G191))</x:f>
      </x:c>
      <x:c r="I191" s="28" t="str">
        <x:f>IF(E191="","",COUNTIFS('REPONSES'!$V$4:$V$2003,E191,'REPONSES'!$D$4:$D$2003,'PARAMETRES'!$B$4,'REPONSES'!$R$4:$R$2003,"Oui"))</x:f>
      </x:c>
      <x:c r="J191" s="31" t="str">
        <x:f>IF(E191="","",IFERROR(F191/(F191+G191+H191),0))</x:f>
      </x:c>
      <x:c r="K191" s="32" t="str">
        <x:f>IF(E191="","",IFERROR(MAXIFS('REPONSES'!$B$4:$B$2003,'REPONSES'!$V$4:$V$2003,E191,'REPONSES'!$D$4:$D$2003,'PARAMETRES'!$B$4),""))</x:f>
      </x:c>
    </x:row>
    <x:row r="192">
      <x:c r="A192" s="19" t="str">
        <x:f>IF('MEMBRES'!A192="","",'MEMBRES'!A192)</x:f>
      </x:c>
      <x:c r="B192" s="20" t="str">
        <x:f>IF('MEMBRES'!B192="","",'MEMBRES'!B192)</x:f>
      </x:c>
      <x:c r="C192" s="20" t="str">
        <x:f>IF('MEMBRES'!C192="","",'MEMBRES'!C192)</x:f>
      </x:c>
      <x:c r="D192" s="20" t="str">
        <x:f>IF('MEMBRES'!D192="","",'MEMBRES'!D192)</x:f>
      </x:c>
      <x:c r="E192" s="20" t="str">
        <x:f>IF(A192="","",UPPER(TRIM(A192&amp;" "&amp;B192)))</x:f>
      </x:c>
      <x:c r="F192" s="28" t="str">
        <x:f>IF(E192="","",COUNTIFS('REPONSES'!$V$4:$V$2003,E192,'REPONSES'!$D$4:$D$2003,'PARAMETRES'!$B$4,'REPONSES'!$O$4:$O$2003,"Présent"))</x:f>
      </x:c>
      <x:c r="G192" s="28" t="str">
        <x:f>IF(E192="","",COUNTIFS('REPONSES'!$V$4:$V$2003,E192,'REPONSES'!$D$4:$D$2003,'PARAMETRES'!$B$4,'REPONSES'!$O$4:$O$2003,"Absent excusé"))</x:f>
      </x:c>
      <x:c r="H192" s="28" t="str">
        <x:f>IF(E192="","",MAX(0,COUNTIFS('CALENDRIER'!$B$4:$B$503,'PARAMETRES'!$B$4,'CALENDRIER'!$K$4:$K$503,"Oui")-F192-G192))</x:f>
      </x:c>
      <x:c r="I192" s="28" t="str">
        <x:f>IF(E192="","",COUNTIFS('REPONSES'!$V$4:$V$2003,E192,'REPONSES'!$D$4:$D$2003,'PARAMETRES'!$B$4,'REPONSES'!$R$4:$R$2003,"Oui"))</x:f>
      </x:c>
      <x:c r="J192" s="31" t="str">
        <x:f>IF(E192="","",IFERROR(F192/(F192+G192+H192),0))</x:f>
      </x:c>
      <x:c r="K192" s="32" t="str">
        <x:f>IF(E192="","",IFERROR(MAXIFS('REPONSES'!$B$4:$B$2003,'REPONSES'!$V$4:$V$2003,E192,'REPONSES'!$D$4:$D$2003,'PARAMETRES'!$B$4),""))</x:f>
      </x:c>
    </x:row>
    <x:row r="193">
      <x:c r="A193" s="19" t="str">
        <x:f>IF('MEMBRES'!A193="","",'MEMBRES'!A193)</x:f>
      </x:c>
      <x:c r="B193" s="20" t="str">
        <x:f>IF('MEMBRES'!B193="","",'MEMBRES'!B193)</x:f>
      </x:c>
      <x:c r="C193" s="20" t="str">
        <x:f>IF('MEMBRES'!C193="","",'MEMBRES'!C193)</x:f>
      </x:c>
      <x:c r="D193" s="20" t="str">
        <x:f>IF('MEMBRES'!D193="","",'MEMBRES'!D193)</x:f>
      </x:c>
      <x:c r="E193" s="20" t="str">
        <x:f>IF(A193="","",UPPER(TRIM(A193&amp;" "&amp;B193)))</x:f>
      </x:c>
      <x:c r="F193" s="28" t="str">
        <x:f>IF(E193="","",COUNTIFS('REPONSES'!$V$4:$V$2003,E193,'REPONSES'!$D$4:$D$2003,'PARAMETRES'!$B$4,'REPONSES'!$O$4:$O$2003,"Présent"))</x:f>
      </x:c>
      <x:c r="G193" s="28" t="str">
        <x:f>IF(E193="","",COUNTIFS('REPONSES'!$V$4:$V$2003,E193,'REPONSES'!$D$4:$D$2003,'PARAMETRES'!$B$4,'REPONSES'!$O$4:$O$2003,"Absent excusé"))</x:f>
      </x:c>
      <x:c r="H193" s="28" t="str">
        <x:f>IF(E193="","",MAX(0,COUNTIFS('CALENDRIER'!$B$4:$B$503,'PARAMETRES'!$B$4,'CALENDRIER'!$K$4:$K$503,"Oui")-F193-G193))</x:f>
      </x:c>
      <x:c r="I193" s="28" t="str">
        <x:f>IF(E193="","",COUNTIFS('REPONSES'!$V$4:$V$2003,E193,'REPONSES'!$D$4:$D$2003,'PARAMETRES'!$B$4,'REPONSES'!$R$4:$R$2003,"Oui"))</x:f>
      </x:c>
      <x:c r="J193" s="31" t="str">
        <x:f>IF(E193="","",IFERROR(F193/(F193+G193+H193),0))</x:f>
      </x:c>
      <x:c r="K193" s="32" t="str">
        <x:f>IF(E193="","",IFERROR(MAXIFS('REPONSES'!$B$4:$B$2003,'REPONSES'!$V$4:$V$2003,E193,'REPONSES'!$D$4:$D$2003,'PARAMETRES'!$B$4),""))</x:f>
      </x:c>
    </x:row>
    <x:row r="194">
      <x:c r="A194" s="19" t="str">
        <x:f>IF('MEMBRES'!A194="","",'MEMBRES'!A194)</x:f>
      </x:c>
      <x:c r="B194" s="20" t="str">
        <x:f>IF('MEMBRES'!B194="","",'MEMBRES'!B194)</x:f>
      </x:c>
      <x:c r="C194" s="20" t="str">
        <x:f>IF('MEMBRES'!C194="","",'MEMBRES'!C194)</x:f>
      </x:c>
      <x:c r="D194" s="20" t="str">
        <x:f>IF('MEMBRES'!D194="","",'MEMBRES'!D194)</x:f>
      </x:c>
      <x:c r="E194" s="20" t="str">
        <x:f>IF(A194="","",UPPER(TRIM(A194&amp;" "&amp;B194)))</x:f>
      </x:c>
      <x:c r="F194" s="28" t="str">
        <x:f>IF(E194="","",COUNTIFS('REPONSES'!$V$4:$V$2003,E194,'REPONSES'!$D$4:$D$2003,'PARAMETRES'!$B$4,'REPONSES'!$O$4:$O$2003,"Présent"))</x:f>
      </x:c>
      <x:c r="G194" s="28" t="str">
        <x:f>IF(E194="","",COUNTIFS('REPONSES'!$V$4:$V$2003,E194,'REPONSES'!$D$4:$D$2003,'PARAMETRES'!$B$4,'REPONSES'!$O$4:$O$2003,"Absent excusé"))</x:f>
      </x:c>
      <x:c r="H194" s="28" t="str">
        <x:f>IF(E194="","",MAX(0,COUNTIFS('CALENDRIER'!$B$4:$B$503,'PARAMETRES'!$B$4,'CALENDRIER'!$K$4:$K$503,"Oui")-F194-G194))</x:f>
      </x:c>
      <x:c r="I194" s="28" t="str">
        <x:f>IF(E194="","",COUNTIFS('REPONSES'!$V$4:$V$2003,E194,'REPONSES'!$D$4:$D$2003,'PARAMETRES'!$B$4,'REPONSES'!$R$4:$R$2003,"Oui"))</x:f>
      </x:c>
      <x:c r="J194" s="31" t="str">
        <x:f>IF(E194="","",IFERROR(F194/(F194+G194+H194),0))</x:f>
      </x:c>
      <x:c r="K194" s="32" t="str">
        <x:f>IF(E194="","",IFERROR(MAXIFS('REPONSES'!$B$4:$B$2003,'REPONSES'!$V$4:$V$2003,E194,'REPONSES'!$D$4:$D$2003,'PARAMETRES'!$B$4),""))</x:f>
      </x:c>
    </x:row>
    <x:row r="195">
      <x:c r="A195" s="19" t="str">
        <x:f>IF('MEMBRES'!A195="","",'MEMBRES'!A195)</x:f>
      </x:c>
      <x:c r="B195" s="20" t="str">
        <x:f>IF('MEMBRES'!B195="","",'MEMBRES'!B195)</x:f>
      </x:c>
      <x:c r="C195" s="20" t="str">
        <x:f>IF('MEMBRES'!C195="","",'MEMBRES'!C195)</x:f>
      </x:c>
      <x:c r="D195" s="20" t="str">
        <x:f>IF('MEMBRES'!D195="","",'MEMBRES'!D195)</x:f>
      </x:c>
      <x:c r="E195" s="20" t="str">
        <x:f>IF(A195="","",UPPER(TRIM(A195&amp;" "&amp;B195)))</x:f>
      </x:c>
      <x:c r="F195" s="28" t="str">
        <x:f>IF(E195="","",COUNTIFS('REPONSES'!$V$4:$V$2003,E195,'REPONSES'!$D$4:$D$2003,'PARAMETRES'!$B$4,'REPONSES'!$O$4:$O$2003,"Présent"))</x:f>
      </x:c>
      <x:c r="G195" s="28" t="str">
        <x:f>IF(E195="","",COUNTIFS('REPONSES'!$V$4:$V$2003,E195,'REPONSES'!$D$4:$D$2003,'PARAMETRES'!$B$4,'REPONSES'!$O$4:$O$2003,"Absent excusé"))</x:f>
      </x:c>
      <x:c r="H195" s="28" t="str">
        <x:f>IF(E195="","",MAX(0,COUNTIFS('CALENDRIER'!$B$4:$B$503,'PARAMETRES'!$B$4,'CALENDRIER'!$K$4:$K$503,"Oui")-F195-G195))</x:f>
      </x:c>
      <x:c r="I195" s="28" t="str">
        <x:f>IF(E195="","",COUNTIFS('REPONSES'!$V$4:$V$2003,E195,'REPONSES'!$D$4:$D$2003,'PARAMETRES'!$B$4,'REPONSES'!$R$4:$R$2003,"Oui"))</x:f>
      </x:c>
      <x:c r="J195" s="31" t="str">
        <x:f>IF(E195="","",IFERROR(F195/(F195+G195+H195),0))</x:f>
      </x:c>
      <x:c r="K195" s="32" t="str">
        <x:f>IF(E195="","",IFERROR(MAXIFS('REPONSES'!$B$4:$B$2003,'REPONSES'!$V$4:$V$2003,E195,'REPONSES'!$D$4:$D$2003,'PARAMETRES'!$B$4),""))</x:f>
      </x:c>
    </x:row>
    <x:row r="196">
      <x:c r="A196" s="19" t="str">
        <x:f>IF('MEMBRES'!A196="","",'MEMBRES'!A196)</x:f>
      </x:c>
      <x:c r="B196" s="20" t="str">
        <x:f>IF('MEMBRES'!B196="","",'MEMBRES'!B196)</x:f>
      </x:c>
      <x:c r="C196" s="20" t="str">
        <x:f>IF('MEMBRES'!C196="","",'MEMBRES'!C196)</x:f>
      </x:c>
      <x:c r="D196" s="20" t="str">
        <x:f>IF('MEMBRES'!D196="","",'MEMBRES'!D196)</x:f>
      </x:c>
      <x:c r="E196" s="20" t="str">
        <x:f>IF(A196="","",UPPER(TRIM(A196&amp;" "&amp;B196)))</x:f>
      </x:c>
      <x:c r="F196" s="28" t="str">
        <x:f>IF(E196="","",COUNTIFS('REPONSES'!$V$4:$V$2003,E196,'REPONSES'!$D$4:$D$2003,'PARAMETRES'!$B$4,'REPONSES'!$O$4:$O$2003,"Présent"))</x:f>
      </x:c>
      <x:c r="G196" s="28" t="str">
        <x:f>IF(E196="","",COUNTIFS('REPONSES'!$V$4:$V$2003,E196,'REPONSES'!$D$4:$D$2003,'PARAMETRES'!$B$4,'REPONSES'!$O$4:$O$2003,"Absent excusé"))</x:f>
      </x:c>
      <x:c r="H196" s="28" t="str">
        <x:f>IF(E196="","",MAX(0,COUNTIFS('CALENDRIER'!$B$4:$B$503,'PARAMETRES'!$B$4,'CALENDRIER'!$K$4:$K$503,"Oui")-F196-G196))</x:f>
      </x:c>
      <x:c r="I196" s="28" t="str">
        <x:f>IF(E196="","",COUNTIFS('REPONSES'!$V$4:$V$2003,E196,'REPONSES'!$D$4:$D$2003,'PARAMETRES'!$B$4,'REPONSES'!$R$4:$R$2003,"Oui"))</x:f>
      </x:c>
      <x:c r="J196" s="31" t="str">
        <x:f>IF(E196="","",IFERROR(F196/(F196+G196+H196),0))</x:f>
      </x:c>
      <x:c r="K196" s="32" t="str">
        <x:f>IF(E196="","",IFERROR(MAXIFS('REPONSES'!$B$4:$B$2003,'REPONSES'!$V$4:$V$2003,E196,'REPONSES'!$D$4:$D$2003,'PARAMETRES'!$B$4),""))</x:f>
      </x:c>
    </x:row>
    <x:row r="197">
      <x:c r="A197" s="19" t="str">
        <x:f>IF('MEMBRES'!A197="","",'MEMBRES'!A197)</x:f>
      </x:c>
      <x:c r="B197" s="20" t="str">
        <x:f>IF('MEMBRES'!B197="","",'MEMBRES'!B197)</x:f>
      </x:c>
      <x:c r="C197" s="20" t="str">
        <x:f>IF('MEMBRES'!C197="","",'MEMBRES'!C197)</x:f>
      </x:c>
      <x:c r="D197" s="20" t="str">
        <x:f>IF('MEMBRES'!D197="","",'MEMBRES'!D197)</x:f>
      </x:c>
      <x:c r="E197" s="20" t="str">
        <x:f>IF(A197="","",UPPER(TRIM(A197&amp;" "&amp;B197)))</x:f>
      </x:c>
      <x:c r="F197" s="28" t="str">
        <x:f>IF(E197="","",COUNTIFS('REPONSES'!$V$4:$V$2003,E197,'REPONSES'!$D$4:$D$2003,'PARAMETRES'!$B$4,'REPONSES'!$O$4:$O$2003,"Présent"))</x:f>
      </x:c>
      <x:c r="G197" s="28" t="str">
        <x:f>IF(E197="","",COUNTIFS('REPONSES'!$V$4:$V$2003,E197,'REPONSES'!$D$4:$D$2003,'PARAMETRES'!$B$4,'REPONSES'!$O$4:$O$2003,"Absent excusé"))</x:f>
      </x:c>
      <x:c r="H197" s="28" t="str">
        <x:f>IF(E197="","",MAX(0,COUNTIFS('CALENDRIER'!$B$4:$B$503,'PARAMETRES'!$B$4,'CALENDRIER'!$K$4:$K$503,"Oui")-F197-G197))</x:f>
      </x:c>
      <x:c r="I197" s="28" t="str">
        <x:f>IF(E197="","",COUNTIFS('REPONSES'!$V$4:$V$2003,E197,'REPONSES'!$D$4:$D$2003,'PARAMETRES'!$B$4,'REPONSES'!$R$4:$R$2003,"Oui"))</x:f>
      </x:c>
      <x:c r="J197" s="31" t="str">
        <x:f>IF(E197="","",IFERROR(F197/(F197+G197+H197),0))</x:f>
      </x:c>
      <x:c r="K197" s="32" t="str">
        <x:f>IF(E197="","",IFERROR(MAXIFS('REPONSES'!$B$4:$B$2003,'REPONSES'!$V$4:$V$2003,E197,'REPONSES'!$D$4:$D$2003,'PARAMETRES'!$B$4),""))</x:f>
      </x:c>
    </x:row>
    <x:row r="198">
      <x:c r="A198" s="19" t="str">
        <x:f>IF('MEMBRES'!A198="","",'MEMBRES'!A198)</x:f>
      </x:c>
      <x:c r="B198" s="20" t="str">
        <x:f>IF('MEMBRES'!B198="","",'MEMBRES'!B198)</x:f>
      </x:c>
      <x:c r="C198" s="20" t="str">
        <x:f>IF('MEMBRES'!C198="","",'MEMBRES'!C198)</x:f>
      </x:c>
      <x:c r="D198" s="20" t="str">
        <x:f>IF('MEMBRES'!D198="","",'MEMBRES'!D198)</x:f>
      </x:c>
      <x:c r="E198" s="20" t="str">
        <x:f>IF(A198="","",UPPER(TRIM(A198&amp;" "&amp;B198)))</x:f>
      </x:c>
      <x:c r="F198" s="28" t="str">
        <x:f>IF(E198="","",COUNTIFS('REPONSES'!$V$4:$V$2003,E198,'REPONSES'!$D$4:$D$2003,'PARAMETRES'!$B$4,'REPONSES'!$O$4:$O$2003,"Présent"))</x:f>
      </x:c>
      <x:c r="G198" s="28" t="str">
        <x:f>IF(E198="","",COUNTIFS('REPONSES'!$V$4:$V$2003,E198,'REPONSES'!$D$4:$D$2003,'PARAMETRES'!$B$4,'REPONSES'!$O$4:$O$2003,"Absent excusé"))</x:f>
      </x:c>
      <x:c r="H198" s="28" t="str">
        <x:f>IF(E198="","",MAX(0,COUNTIFS('CALENDRIER'!$B$4:$B$503,'PARAMETRES'!$B$4,'CALENDRIER'!$K$4:$K$503,"Oui")-F198-G198))</x:f>
      </x:c>
      <x:c r="I198" s="28" t="str">
        <x:f>IF(E198="","",COUNTIFS('REPONSES'!$V$4:$V$2003,E198,'REPONSES'!$D$4:$D$2003,'PARAMETRES'!$B$4,'REPONSES'!$R$4:$R$2003,"Oui"))</x:f>
      </x:c>
      <x:c r="J198" s="31" t="str">
        <x:f>IF(E198="","",IFERROR(F198/(F198+G198+H198),0))</x:f>
      </x:c>
      <x:c r="K198" s="32" t="str">
        <x:f>IF(E198="","",IFERROR(MAXIFS('REPONSES'!$B$4:$B$2003,'REPONSES'!$V$4:$V$2003,E198,'REPONSES'!$D$4:$D$2003,'PARAMETRES'!$B$4),""))</x:f>
      </x:c>
    </x:row>
    <x:row r="199">
      <x:c r="A199" s="19" t="str">
        <x:f>IF('MEMBRES'!A199="","",'MEMBRES'!A199)</x:f>
      </x:c>
      <x:c r="B199" s="20" t="str">
        <x:f>IF('MEMBRES'!B199="","",'MEMBRES'!B199)</x:f>
      </x:c>
      <x:c r="C199" s="20" t="str">
        <x:f>IF('MEMBRES'!C199="","",'MEMBRES'!C199)</x:f>
      </x:c>
      <x:c r="D199" s="20" t="str">
        <x:f>IF('MEMBRES'!D199="","",'MEMBRES'!D199)</x:f>
      </x:c>
      <x:c r="E199" s="20" t="str">
        <x:f>IF(A199="","",UPPER(TRIM(A199&amp;" "&amp;B199)))</x:f>
      </x:c>
      <x:c r="F199" s="28" t="str">
        <x:f>IF(E199="","",COUNTIFS('REPONSES'!$V$4:$V$2003,E199,'REPONSES'!$D$4:$D$2003,'PARAMETRES'!$B$4,'REPONSES'!$O$4:$O$2003,"Présent"))</x:f>
      </x:c>
      <x:c r="G199" s="28" t="str">
        <x:f>IF(E199="","",COUNTIFS('REPONSES'!$V$4:$V$2003,E199,'REPONSES'!$D$4:$D$2003,'PARAMETRES'!$B$4,'REPONSES'!$O$4:$O$2003,"Absent excusé"))</x:f>
      </x:c>
      <x:c r="H199" s="28" t="str">
        <x:f>IF(E199="","",MAX(0,COUNTIFS('CALENDRIER'!$B$4:$B$503,'PARAMETRES'!$B$4,'CALENDRIER'!$K$4:$K$503,"Oui")-F199-G199))</x:f>
      </x:c>
      <x:c r="I199" s="28" t="str">
        <x:f>IF(E199="","",COUNTIFS('REPONSES'!$V$4:$V$2003,E199,'REPONSES'!$D$4:$D$2003,'PARAMETRES'!$B$4,'REPONSES'!$R$4:$R$2003,"Oui"))</x:f>
      </x:c>
      <x:c r="J199" s="31" t="str">
        <x:f>IF(E199="","",IFERROR(F199/(F199+G199+H199),0))</x:f>
      </x:c>
      <x:c r="K199" s="32" t="str">
        <x:f>IF(E199="","",IFERROR(MAXIFS('REPONSES'!$B$4:$B$2003,'REPONSES'!$V$4:$V$2003,E199,'REPONSES'!$D$4:$D$2003,'PARAMETRES'!$B$4),""))</x:f>
      </x:c>
    </x:row>
    <x:row r="200">
      <x:c r="A200" s="19" t="str">
        <x:f>IF('MEMBRES'!A200="","",'MEMBRES'!A200)</x:f>
      </x:c>
      <x:c r="B200" s="20" t="str">
        <x:f>IF('MEMBRES'!B200="","",'MEMBRES'!B200)</x:f>
      </x:c>
      <x:c r="C200" s="20" t="str">
        <x:f>IF('MEMBRES'!C200="","",'MEMBRES'!C200)</x:f>
      </x:c>
      <x:c r="D200" s="20" t="str">
        <x:f>IF('MEMBRES'!D200="","",'MEMBRES'!D200)</x:f>
      </x:c>
      <x:c r="E200" s="20" t="str">
        <x:f>IF(A200="","",UPPER(TRIM(A200&amp;" "&amp;B200)))</x:f>
      </x:c>
      <x:c r="F200" s="28" t="str">
        <x:f>IF(E200="","",COUNTIFS('REPONSES'!$V$4:$V$2003,E200,'REPONSES'!$D$4:$D$2003,'PARAMETRES'!$B$4,'REPONSES'!$O$4:$O$2003,"Présent"))</x:f>
      </x:c>
      <x:c r="G200" s="28" t="str">
        <x:f>IF(E200="","",COUNTIFS('REPONSES'!$V$4:$V$2003,E200,'REPONSES'!$D$4:$D$2003,'PARAMETRES'!$B$4,'REPONSES'!$O$4:$O$2003,"Absent excusé"))</x:f>
      </x:c>
      <x:c r="H200" s="28" t="str">
        <x:f>IF(E200="","",MAX(0,COUNTIFS('CALENDRIER'!$B$4:$B$503,'PARAMETRES'!$B$4,'CALENDRIER'!$K$4:$K$503,"Oui")-F200-G200))</x:f>
      </x:c>
      <x:c r="I200" s="28" t="str">
        <x:f>IF(E200="","",COUNTIFS('REPONSES'!$V$4:$V$2003,E200,'REPONSES'!$D$4:$D$2003,'PARAMETRES'!$B$4,'REPONSES'!$R$4:$R$2003,"Oui"))</x:f>
      </x:c>
      <x:c r="J200" s="31" t="str">
        <x:f>IF(E200="","",IFERROR(F200/(F200+G200+H200),0))</x:f>
      </x:c>
      <x:c r="K200" s="32" t="str">
        <x:f>IF(E200="","",IFERROR(MAXIFS('REPONSES'!$B$4:$B$2003,'REPONSES'!$V$4:$V$2003,E200,'REPONSES'!$D$4:$D$2003,'PARAMETRES'!$B$4),""))</x:f>
      </x:c>
    </x:row>
    <x:row r="201">
      <x:c r="A201" s="19" t="str">
        <x:f>IF('MEMBRES'!A201="","",'MEMBRES'!A201)</x:f>
      </x:c>
      <x:c r="B201" s="20" t="str">
        <x:f>IF('MEMBRES'!B201="","",'MEMBRES'!B201)</x:f>
      </x:c>
      <x:c r="C201" s="20" t="str">
        <x:f>IF('MEMBRES'!C201="","",'MEMBRES'!C201)</x:f>
      </x:c>
      <x:c r="D201" s="20" t="str">
        <x:f>IF('MEMBRES'!D201="","",'MEMBRES'!D201)</x:f>
      </x:c>
      <x:c r="E201" s="20" t="str">
        <x:f>IF(A201="","",UPPER(TRIM(A201&amp;" "&amp;B201)))</x:f>
      </x:c>
      <x:c r="F201" s="28" t="str">
        <x:f>IF(E201="","",COUNTIFS('REPONSES'!$V$4:$V$2003,E201,'REPONSES'!$D$4:$D$2003,'PARAMETRES'!$B$4,'REPONSES'!$O$4:$O$2003,"Présent"))</x:f>
      </x:c>
      <x:c r="G201" s="28" t="str">
        <x:f>IF(E201="","",COUNTIFS('REPONSES'!$V$4:$V$2003,E201,'REPONSES'!$D$4:$D$2003,'PARAMETRES'!$B$4,'REPONSES'!$O$4:$O$2003,"Absent excusé"))</x:f>
      </x:c>
      <x:c r="H201" s="28" t="str">
        <x:f>IF(E201="","",MAX(0,COUNTIFS('CALENDRIER'!$B$4:$B$503,'PARAMETRES'!$B$4,'CALENDRIER'!$K$4:$K$503,"Oui")-F201-G201))</x:f>
      </x:c>
      <x:c r="I201" s="28" t="str">
        <x:f>IF(E201="","",COUNTIFS('REPONSES'!$V$4:$V$2003,E201,'REPONSES'!$D$4:$D$2003,'PARAMETRES'!$B$4,'REPONSES'!$R$4:$R$2003,"Oui"))</x:f>
      </x:c>
      <x:c r="J201" s="31" t="str">
        <x:f>IF(E201="","",IFERROR(F201/(F201+G201+H201),0))</x:f>
      </x:c>
      <x:c r="K201" s="32" t="str">
        <x:f>IF(E201="","",IFERROR(MAXIFS('REPONSES'!$B$4:$B$2003,'REPONSES'!$V$4:$V$2003,E201,'REPONSES'!$D$4:$D$2003,'PARAMETRES'!$B$4),""))</x:f>
      </x:c>
    </x:row>
    <x:row r="202">
      <x:c r="A202" s="19" t="str">
        <x:f>IF('MEMBRES'!A202="","",'MEMBRES'!A202)</x:f>
      </x:c>
      <x:c r="B202" s="20" t="str">
        <x:f>IF('MEMBRES'!B202="","",'MEMBRES'!B202)</x:f>
      </x:c>
      <x:c r="C202" s="20" t="str">
        <x:f>IF('MEMBRES'!C202="","",'MEMBRES'!C202)</x:f>
      </x:c>
      <x:c r="D202" s="20" t="str">
        <x:f>IF('MEMBRES'!D202="","",'MEMBRES'!D202)</x:f>
      </x:c>
      <x:c r="E202" s="20" t="str">
        <x:f>IF(A202="","",UPPER(TRIM(A202&amp;" "&amp;B202)))</x:f>
      </x:c>
      <x:c r="F202" s="28" t="str">
        <x:f>IF(E202="","",COUNTIFS('REPONSES'!$V$4:$V$2003,E202,'REPONSES'!$D$4:$D$2003,'PARAMETRES'!$B$4,'REPONSES'!$O$4:$O$2003,"Présent"))</x:f>
      </x:c>
      <x:c r="G202" s="28" t="str">
        <x:f>IF(E202="","",COUNTIFS('REPONSES'!$V$4:$V$2003,E202,'REPONSES'!$D$4:$D$2003,'PARAMETRES'!$B$4,'REPONSES'!$O$4:$O$2003,"Absent excusé"))</x:f>
      </x:c>
      <x:c r="H202" s="28" t="str">
        <x:f>IF(E202="","",MAX(0,COUNTIFS('CALENDRIER'!$B$4:$B$503,'PARAMETRES'!$B$4,'CALENDRIER'!$K$4:$K$503,"Oui")-F202-G202))</x:f>
      </x:c>
      <x:c r="I202" s="28" t="str">
        <x:f>IF(E202="","",COUNTIFS('REPONSES'!$V$4:$V$2003,E202,'REPONSES'!$D$4:$D$2003,'PARAMETRES'!$B$4,'REPONSES'!$R$4:$R$2003,"Oui"))</x:f>
      </x:c>
      <x:c r="J202" s="31" t="str">
        <x:f>IF(E202="","",IFERROR(F202/(F202+G202+H202),0))</x:f>
      </x:c>
      <x:c r="K202" s="32" t="str">
        <x:f>IF(E202="","",IFERROR(MAXIFS('REPONSES'!$B$4:$B$2003,'REPONSES'!$V$4:$V$2003,E202,'REPONSES'!$D$4:$D$2003,'PARAMETRES'!$B$4),""))</x:f>
      </x:c>
    </x:row>
    <x:row r="203">
      <x:c r="A203" s="22" t="str">
        <x:f>IF('MEMBRES'!A203="","",'MEMBRES'!A203)</x:f>
      </x:c>
      <x:c r="B203" s="23" t="str">
        <x:f>IF('MEMBRES'!B203="","",'MEMBRES'!B203)</x:f>
      </x:c>
      <x:c r="C203" s="23" t="str">
        <x:f>IF('MEMBRES'!C203="","",'MEMBRES'!C203)</x:f>
      </x:c>
      <x:c r="D203" s="23" t="str">
        <x:f>IF('MEMBRES'!D203="","",'MEMBRES'!D203)</x:f>
      </x:c>
      <x:c r="E203" s="23" t="str">
        <x:f>IF(A203="","",UPPER(TRIM(A203&amp;" "&amp;B203)))</x:f>
      </x:c>
      <x:c r="F203" s="30" t="str">
        <x:f>IF(E203="","",COUNTIFS('REPONSES'!$V$4:$V$2003,E203,'REPONSES'!$D$4:$D$2003,'PARAMETRES'!$B$4,'REPONSES'!$O$4:$O$2003,"Présent"))</x:f>
      </x:c>
      <x:c r="G203" s="30" t="str">
        <x:f>IF(E203="","",COUNTIFS('REPONSES'!$V$4:$V$2003,E203,'REPONSES'!$D$4:$D$2003,'PARAMETRES'!$B$4,'REPONSES'!$O$4:$O$2003,"Absent excusé"))</x:f>
      </x:c>
      <x:c r="H203" s="30" t="str">
        <x:f>IF(E203="","",MAX(0,COUNTIFS('CALENDRIER'!$B$4:$B$503,'PARAMETRES'!$B$4,'CALENDRIER'!$K$4:$K$503,"Oui")-F203-G203))</x:f>
      </x:c>
      <x:c r="I203" s="30" t="str">
        <x:f>IF(E203="","",COUNTIFS('REPONSES'!$V$4:$V$2003,E203,'REPONSES'!$D$4:$D$2003,'PARAMETRES'!$B$4,'REPONSES'!$R$4:$R$2003,"Oui"))</x:f>
      </x:c>
      <x:c r="J203" s="33" t="str">
        <x:f>IF(E203="","",IFERROR(F203/(F203+G203+H203),0))</x:f>
      </x:c>
      <x:c r="K203" s="34" t="str">
        <x:f>IF(E203="","",IFERROR(MAXIFS('REPONSES'!$B$4:$B$2003,'REPONSES'!$V$4:$V$2003,E203,'REPONSES'!$D$4:$D$2003,'PARAMETRES'!$B$4),""))</x:f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8.890000343322754" hidden="0" customWidth="1"/>
    <x:col min="3" max="3" width="10" hidden="0" customWidth="1"/>
    <x:col min="4" max="4" width="26.670000076293945" hidden="0" customWidth="1"/>
    <x:col min="5" max="5" width="11.109999656677246" hidden="0" customWidth="1"/>
    <x:col min="6" max="6" width="11.109999656677246" hidden="0" customWidth="1"/>
    <x:col min="7" max="7" width="12.779999732971191" hidden="0" customWidth="1"/>
    <x:col min="8" max="8" width="11.109999656677246" hidden="0" customWidth="1"/>
    <x:col min="9" max="9" width="6.11000013351440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>
      <x:c r="A1" s="4" t="str">
        <x:v>Dashboard annuel des présences</x:v>
      </x:c>
      <x:c r="B1" s="4" t="str">
        <x:v>Dashboard annuel des présences</x:v>
      </x:c>
      <x:c r="C1" s="4" t="str">
        <x:v>Dashboard annuel des présences</x:v>
      </x:c>
      <x:c r="D1" s="4" t="str">
        <x:v>Dashboard annuel des présences</x:v>
      </x:c>
      <x:c r="E1" s="4" t="str">
        <x:v>Dashboard annuel des présences</x:v>
      </x:c>
      <x:c r="F1" s="4" t="str">
        <x:v>Dashboard annuel des présences</x:v>
      </x:c>
      <x:c r="G1" s="4" t="str">
        <x:v>Dashboard annuel des présences</x:v>
      </x:c>
      <x:c r="H1" s="4" t="str">
        <x:v>Dashboard annuel des présences</x:v>
      </x:c>
    </x:row>
    <x:row r="3">
      <x:c r="A3" s="37" t="str">
        <x:v>Année active</x:v>
      </x:c>
      <x:c r="B3" s="42" t="n">
        <x:f>'PARAMETRES'!$B$4</x:f>
        <x:v>2026</x:v>
      </x:c>
      <x:c r="C3" s="43"/>
      <x:c r="D3" s="44" t="str">
        <x:v>Type</x:v>
      </x:c>
      <x:c r="E3" s="17" t="str">
        <x:v>Événements</x:v>
      </x:c>
      <x:c r="F3" s="17" t="str">
        <x:v>Présents</x:v>
      </x:c>
      <x:c r="G3" s="17" t="str">
        <x:v>Excusés</x:v>
      </x:c>
      <x:c r="H3" s="18" t="str">
        <x:v>Aides</x:v>
      </x:c>
    </x:row>
    <x:row r="4">
      <x:c r="A4" s="38" t="str">
        <x:v>Événements actifs</x:v>
      </x:c>
      <x:c r="B4" s="41" t="n">
        <x:f>COUNTIFS('CALENDRIER'!$B$4:$B$503,$B$3,'CALENDRIER'!$K$4:$K$503,"Oui")</x:f>
        <x:v>6</x:v>
      </x:c>
      <x:c r="C4" s="20"/>
      <x:c r="D4" s="20" t="str">
        <x:v>Réunion des jeunes</x:v>
      </x:c>
      <x:c r="E4" s="28" t="n">
        <x:f>COUNTIFS('CALENDRIER'!$B$4:$B$503,$B$3,'CALENDRIER'!$E$4:$E$503,D4,'CALENDRIER'!$K$4:$K$503,"Oui")</x:f>
        <x:v>1</x:v>
      </x:c>
      <x:c r="F4" s="28" t="n">
        <x:f>COUNTIFS('REPONSES'!$D$4:$D$2003,$B$3,'REPONSES'!$H$4:$H$2003,D4,'REPONSES'!$O$4:$O$2003,"Présent")</x:f>
        <x:v>0</x:v>
      </x:c>
      <x:c r="G4" s="28" t="n">
        <x:f>COUNTIFS('REPONSES'!$D$4:$D$2003,$B$3,'REPONSES'!$H$4:$H$2003,D4,'REPONSES'!$O$4:$O$2003,"Absent excusé")</x:f>
        <x:v>0</x:v>
      </x:c>
      <x:c r="H4" s="45" t="n">
        <x:f>COUNTIFS('REPONSES'!$D$4:$D$2003,$B$3,'REPONSES'!$H$4:$H$2003,D4,'REPONSES'!$R$4:$R$2003,"Oui")</x:f>
        <x:v>0</x:v>
      </x:c>
    </x:row>
    <x:row r="5">
      <x:c r="A5" s="38" t="str">
        <x:v>Membres actifs</x:v>
      </x:c>
      <x:c r="B5" s="41" t="n">
        <x:f>COUNTIF('MEMBRES'!$G$4:$G$203,"Oui")</x:f>
        <x:v>0</x:v>
      </x:c>
      <x:c r="C5" s="20"/>
      <x:c r="D5" s="20" t="str">
        <x:v>Réunion compagnon</x:v>
      </x:c>
      <x:c r="E5" s="28" t="n">
        <x:f>COUNTIFS('CALENDRIER'!$B$4:$B$503,$B$3,'CALENDRIER'!$E$4:$E$503,D5,'CALENDRIER'!$K$4:$K$503,"Oui")</x:f>
        <x:v>1</x:v>
      </x:c>
      <x:c r="F5" s="28" t="n">
        <x:f>COUNTIFS('REPONSES'!$D$4:$D$2003,$B$3,'REPONSES'!$H$4:$H$2003,D5,'REPONSES'!$O$4:$O$2003,"Présent")</x:f>
        <x:v>0</x:v>
      </x:c>
      <x:c r="G5" s="28" t="n">
        <x:f>COUNTIFS('REPONSES'!$D$4:$D$2003,$B$3,'REPONSES'!$H$4:$H$2003,D5,'REPONSES'!$O$4:$O$2003,"Absent excusé")</x:f>
        <x:v>0</x:v>
      </x:c>
      <x:c r="H5" s="45" t="n">
        <x:f>COUNTIFS('REPONSES'!$D$4:$D$2003,$B$3,'REPONSES'!$H$4:$H$2003,D5,'REPONSES'!$R$4:$R$2003,"Oui")</x:f>
        <x:v>0</x:v>
      </x:c>
    </x:row>
    <x:row r="6">
      <x:c r="A6" s="38" t="str">
        <x:v>Présents</x:v>
      </x:c>
      <x:c r="B6" s="41" t="n">
        <x:f>COUNTIFS('REPONSES'!$D$4:$D$2003,$B$3,'REPONSES'!$O$4:$O$2003,"Présent")</x:f>
        <x:v>0</x:v>
      </x:c>
      <x:c r="C6" s="20"/>
      <x:c r="D6" s="20" t="str">
        <x:v>Cours en Cayenne</x:v>
      </x:c>
      <x:c r="E6" s="28" t="n">
        <x:f>COUNTIFS('CALENDRIER'!$B$4:$B$503,$B$3,'CALENDRIER'!$E$4:$E$503,D6,'CALENDRIER'!$K$4:$K$503,"Oui")</x:f>
        <x:v>1</x:v>
      </x:c>
      <x:c r="F6" s="28" t="n">
        <x:f>COUNTIFS('REPONSES'!$D$4:$D$2003,$B$3,'REPONSES'!$H$4:$H$2003,D6,'REPONSES'!$O$4:$O$2003,"Présent")</x:f>
        <x:v>0</x:v>
      </x:c>
      <x:c r="G6" s="28" t="n">
        <x:f>COUNTIFS('REPONSES'!$D$4:$D$2003,$B$3,'REPONSES'!$H$4:$H$2003,D6,'REPONSES'!$O$4:$O$2003,"Absent excusé")</x:f>
        <x:v>0</x:v>
      </x:c>
      <x:c r="H6" s="45" t="n">
        <x:f>COUNTIFS('REPONSES'!$D$4:$D$2003,$B$3,'REPONSES'!$H$4:$H$2003,D6,'REPONSES'!$R$4:$R$2003,"Oui")</x:f>
        <x:v>0</x:v>
      </x:c>
    </x:row>
    <x:row r="7">
      <x:c r="A7" s="38" t="str">
        <x:v>Absents excusés</x:v>
      </x:c>
      <x:c r="B7" s="41" t="n">
        <x:f>COUNTIFS('REPONSES'!$D$4:$D$2003,$B$3,'REPONSES'!$O$4:$O$2003,"Absent excusé")</x:f>
        <x:v>0</x:v>
      </x:c>
      <x:c r="C7" s="20"/>
      <x:c r="D7" s="20" t="str">
        <x:v>Fête de juin</x:v>
      </x:c>
      <x:c r="E7" s="28" t="n">
        <x:f>COUNTIFS('CALENDRIER'!$B$4:$B$503,$B$3,'CALENDRIER'!$E$4:$E$503,D7,'CALENDRIER'!$K$4:$K$503,"Oui")</x:f>
        <x:v>1</x:v>
      </x:c>
      <x:c r="F7" s="28" t="n">
        <x:f>COUNTIFS('REPONSES'!$D$4:$D$2003,$B$3,'REPONSES'!$H$4:$H$2003,D7,'REPONSES'!$O$4:$O$2003,"Présent")</x:f>
        <x:v>0</x:v>
      </x:c>
      <x:c r="G7" s="28" t="n">
        <x:f>COUNTIFS('REPONSES'!$D$4:$D$2003,$B$3,'REPONSES'!$H$4:$H$2003,D7,'REPONSES'!$O$4:$O$2003,"Absent excusé")</x:f>
        <x:v>0</x:v>
      </x:c>
      <x:c r="H7" s="45" t="n">
        <x:f>COUNTIFS('REPONSES'!$D$4:$D$2003,$B$3,'REPONSES'!$H$4:$H$2003,D7,'REPONSES'!$R$4:$R$2003,"Oui")</x:f>
        <x:v>0</x:v>
      </x:c>
    </x:row>
    <x:row r="8">
      <x:c r="A8" s="38" t="str">
        <x:v>Sans réponse estimé</x:v>
      </x:c>
      <x:c r="B8" s="41" t="n">
        <x:f>MAX(0,B4*B5-B6-B7)</x:f>
        <x:v>0</x:v>
      </x:c>
      <x:c r="C8" s="20"/>
      <x:c r="D8" s="20" t="str">
        <x:v>Fête de novembre</x:v>
      </x:c>
      <x:c r="E8" s="28" t="n">
        <x:f>COUNTIFS('CALENDRIER'!$B$4:$B$503,$B$3,'CALENDRIER'!$E$4:$E$503,D8,'CALENDRIER'!$K$4:$K$503,"Oui")</x:f>
        <x:v>1</x:v>
      </x:c>
      <x:c r="F8" s="28" t="n">
        <x:f>COUNTIFS('REPONSES'!$D$4:$D$2003,$B$3,'REPONSES'!$H$4:$H$2003,D8,'REPONSES'!$O$4:$O$2003,"Présent")</x:f>
        <x:v>0</x:v>
      </x:c>
      <x:c r="G8" s="28" t="n">
        <x:f>COUNTIFS('REPONSES'!$D$4:$D$2003,$B$3,'REPONSES'!$H$4:$H$2003,D8,'REPONSES'!$O$4:$O$2003,"Absent excusé")</x:f>
        <x:v>0</x:v>
      </x:c>
      <x:c r="H8" s="45" t="n">
        <x:f>COUNTIFS('REPONSES'!$D$4:$D$2003,$B$3,'REPONSES'!$H$4:$H$2003,D8,'REPONSES'!$R$4:$R$2003,"Oui")</x:f>
        <x:v>0</x:v>
      </x:c>
    </x:row>
    <x:row r="9">
      <x:c r="A9" s="39" t="str">
        <x:v>Aides proposées</x:v>
      </x:c>
      <x:c r="B9" s="41" t="n">
        <x:f>COUNTIFS('REPONSES'!$D$4:$D$2003,$B$3,'REPONSES'!$R$4:$R$2003,"Oui")</x:f>
        <x:v>0</x:v>
      </x:c>
      <x:c r="C9" s="20"/>
      <x:c r="D9" s="20" t="str">
        <x:v>JEP</x:v>
      </x:c>
      <x:c r="E9" s="28" t="n">
        <x:f>COUNTIFS('CALENDRIER'!$B$4:$B$503,$B$3,'CALENDRIER'!$E$4:$E$503,D9,'CALENDRIER'!$K$4:$K$503,"Oui")</x:f>
        <x:v>1</x:v>
      </x:c>
      <x:c r="F9" s="28" t="n">
        <x:f>COUNTIFS('REPONSES'!$D$4:$D$2003,$B$3,'REPONSES'!$H$4:$H$2003,D9,'REPONSES'!$O$4:$O$2003,"Présent")</x:f>
        <x:v>0</x:v>
      </x:c>
      <x:c r="G9" s="28" t="n">
        <x:f>COUNTIFS('REPONSES'!$D$4:$D$2003,$B$3,'REPONSES'!$H$4:$H$2003,D9,'REPONSES'!$O$4:$O$2003,"Absent excusé")</x:f>
        <x:v>0</x:v>
      </x:c>
      <x:c r="H9" s="45" t="n">
        <x:f>COUNTIFS('REPONSES'!$D$4:$D$2003,$B$3,'REPONSES'!$H$4:$H$2003,D9,'REPONSES'!$R$4:$R$2003,"Oui")</x:f>
        <x:v>0</x:v>
      </x:c>
    </x:row>
    <x:row r="10">
      <x:c r="A10" s="19"/>
      <x:c r="B10" s="20"/>
      <x:c r="C10" s="20"/>
      <x:c r="D10" s="20" t="str">
        <x:v>Autre</x:v>
      </x:c>
      <x:c r="E10" s="28" t="n">
        <x:f>COUNTIFS('CALENDRIER'!$B$4:$B$503,$B$3,'CALENDRIER'!$E$4:$E$503,D10,'CALENDRIER'!$K$4:$K$503,"Oui")</x:f>
        <x:v>0</x:v>
      </x:c>
      <x:c r="F10" s="28" t="n">
        <x:f>COUNTIFS('REPONSES'!$D$4:$D$2003,$B$3,'REPONSES'!$H$4:$H$2003,D10,'REPONSES'!$O$4:$O$2003,"Présent")</x:f>
        <x:v>0</x:v>
      </x:c>
      <x:c r="G10" s="28" t="n">
        <x:f>COUNTIFS('REPONSES'!$D$4:$D$2003,$B$3,'REPONSES'!$H$4:$H$2003,D10,'REPONSES'!$O$4:$O$2003,"Absent excusé")</x:f>
        <x:v>0</x:v>
      </x:c>
      <x:c r="H10" s="45" t="n">
        <x:f>COUNTIFS('REPONSES'!$D$4:$D$2003,$B$3,'REPONSES'!$H$4:$H$2003,D10,'REPONSES'!$R$4:$R$2003,"Oui")</x:f>
        <x:v>0</x:v>
      </x:c>
    </x:row>
    <x:row r="11">
      <x:c r="A11" s="19"/>
      <x:c r="B11" s="20"/>
      <x:c r="C11" s="20"/>
      <x:c r="D11" s="20"/>
      <x:c r="E11" s="20"/>
      <x:c r="F11" s="20"/>
      <x:c r="G11" s="20"/>
      <x:c r="H11" s="21"/>
    </x:row>
    <x:row r="12">
      <x:c r="A12" s="46" t="str">
        <x:v>Causes d’absence</x:v>
      </x:c>
      <x:c r="B12" s="12" t="str">
        <x:v>Total</x:v>
      </x:c>
      <x:c r="C12" s="20"/>
      <x:c r="D12" s="20"/>
      <x:c r="E12" s="20"/>
      <x:c r="F12" s="20"/>
      <x:c r="G12" s="20"/>
      <x:c r="H12" s="21"/>
    </x:row>
    <x:row r="13">
      <x:c r="A13" s="19" t="str">
        <x:v>Familiale</x:v>
      </x:c>
      <x:c r="B13" s="20" t="n">
        <x:f>COUNTIFS('REPONSES'!$D$4:$D$2003,$B$3,'REPONSES'!$O$4:$O$2003,"Absent excusé",'REPONSES'!$P$4:$P$2003,"*"&amp;A13&amp;"*")</x:f>
        <x:v>0</x:v>
      </x:c>
      <x:c r="C13" s="20"/>
      <x:c r="D13" s="20"/>
      <x:c r="E13" s="20"/>
      <x:c r="F13" s="20"/>
      <x:c r="G13" s="20"/>
      <x:c r="H13" s="21"/>
    </x:row>
    <x:row r="14">
      <x:c r="A14" s="19" t="str">
        <x:v>Travail</x:v>
      </x:c>
      <x:c r="B14" s="20" t="n">
        <x:f>COUNTIFS('REPONSES'!$D$4:$D$2003,$B$3,'REPONSES'!$O$4:$O$2003,"Absent excusé",'REPONSES'!$P$4:$P$2003,"*"&amp;A14&amp;"*")</x:f>
        <x:v>0</x:v>
      </x:c>
      <x:c r="C14" s="20"/>
      <x:c r="D14" s="20"/>
      <x:c r="E14" s="20"/>
      <x:c r="F14" s="20"/>
      <x:c r="G14" s="20"/>
      <x:c r="H14" s="21"/>
    </x:row>
    <x:row r="15">
      <x:c r="A15" s="19" t="str">
        <x:v>Engagement compagnonnique ailleurs</x:v>
      </x:c>
      <x:c r="B15" s="20" t="n">
        <x:f>COUNTIFS('REPONSES'!$D$4:$D$2003,$B$3,'REPONSES'!$O$4:$O$2003,"Absent excusé",'REPONSES'!$P$4:$P$2003,"*"&amp;A15&amp;"*")</x:f>
        <x:v>0</x:v>
      </x:c>
      <x:c r="C15" s="20"/>
      <x:c r="D15" s="20"/>
      <x:c r="E15" s="20"/>
      <x:c r="F15" s="20"/>
      <x:c r="G15" s="20"/>
      <x:c r="H15" s="21"/>
    </x:row>
    <x:row r="16">
      <x:c r="A16" s="19" t="str">
        <x:v>Maladie</x:v>
      </x:c>
      <x:c r="B16" s="20" t="n">
        <x:f>COUNTIFS('REPONSES'!$D$4:$D$2003,$B$3,'REPONSES'!$O$4:$O$2003,"Absent excusé",'REPONSES'!$P$4:$P$2003,"*"&amp;A16&amp;"*")</x:f>
        <x:v>0</x:v>
      </x:c>
      <x:c r="C16" s="20"/>
      <x:c r="D16" s="20"/>
      <x:c r="E16" s="20"/>
      <x:c r="F16" s="20"/>
      <x:c r="G16" s="20"/>
      <x:c r="H16" s="21"/>
    </x:row>
    <x:row r="17">
      <x:c r="A17" s="19" t="str">
        <x:v>Arrêt de travail</x:v>
      </x:c>
      <x:c r="B17" s="20" t="n">
        <x:f>COUNTIFS('REPONSES'!$D$4:$D$2003,$B$3,'REPONSES'!$O$4:$O$2003,"Absent excusé",'REPONSES'!$P$4:$P$2003,"*"&amp;A17&amp;"*")</x:f>
        <x:v>0</x:v>
      </x:c>
      <x:c r="C17" s="20"/>
      <x:c r="D17" s="20"/>
      <x:c r="E17" s="20"/>
      <x:c r="F17" s="20"/>
      <x:c r="G17" s="20"/>
      <x:c r="H17" s="21"/>
    </x:row>
    <x:row r="18">
      <x:c r="A18" s="19" t="str">
        <x:v>Vacances</x:v>
      </x:c>
      <x:c r="B18" s="20" t="n">
        <x:f>COUNTIFS('REPONSES'!$D$4:$D$2003,$B$3,'REPONSES'!$O$4:$O$2003,"Absent excusé",'REPONSES'!$P$4:$P$2003,"*"&amp;A18&amp;"*")</x:f>
        <x:v>0</x:v>
      </x:c>
      <x:c r="C18" s="20"/>
      <x:c r="D18" s="20"/>
      <x:c r="E18" s="20"/>
      <x:c r="F18" s="20"/>
      <x:c r="G18" s="20"/>
      <x:c r="H18" s="21"/>
    </x:row>
    <x:row r="19">
      <x:c r="A19" s="19" t="str">
        <x:v>Repos</x:v>
      </x:c>
      <x:c r="B19" s="20" t="n">
        <x:f>COUNTIFS('REPONSES'!$D$4:$D$2003,$B$3,'REPONSES'!$O$4:$O$2003,"Absent excusé",'REPONSES'!$P$4:$P$2003,"*"&amp;A19&amp;"*")</x:f>
        <x:v>0</x:v>
      </x:c>
      <x:c r="C19" s="20"/>
      <x:c r="D19" s="20"/>
      <x:c r="E19" s="20"/>
      <x:c r="F19" s="20"/>
      <x:c r="G19" s="20"/>
      <x:c r="H19" s="21"/>
    </x:row>
    <x:row r="20">
      <x:c r="A20" s="22" t="str">
        <x:v>Trop d’engagements / je fais un break</x:v>
      </x:c>
      <x:c r="B20" s="23" t="n">
        <x:f>COUNTIFS('REPONSES'!$D$4:$D$2003,$B$3,'REPONSES'!$O$4:$O$2003,"Absent excusé",'REPONSES'!$P$4:$P$2003,"*"&amp;A20&amp;"*")</x:f>
        <x:v>0</x:v>
      </x:c>
      <x:c r="C20" s="23"/>
      <x:c r="D20" s="23"/>
      <x:c r="E20" s="23"/>
      <x:c r="F20" s="23"/>
      <x:c r="G20" s="23"/>
      <x:c r="H20" s="24"/>
    </x:row>
    <x:row r="23">
      <x:c r="A23" s="16" t="str">
        <x:v>Nom</x:v>
      </x:c>
      <x:c r="B23" s="17" t="str">
        <x:v>Prénom</x:v>
      </x:c>
      <x:c r="C23" s="17" t="str">
        <x:v>Statut</x:v>
      </x:c>
      <x:c r="D23" s="17" t="str">
        <x:v>Cayenne</x:v>
      </x:c>
      <x:c r="E23" s="17" t="str">
        <x:v>Présences</x:v>
      </x:c>
      <x:c r="F23" s="17" t="str">
        <x:v>Excusés</x:v>
      </x:c>
      <x:c r="G23" s="17" t="str">
        <x:v>Sans réponse</x:v>
      </x:c>
      <x:c r="H23" s="17" t="str">
        <x:v>Aides</x:v>
      </x:c>
      <x:c r="I23" s="18" t="str">
        <x:v>Taux</x:v>
      </x:c>
    </x:row>
    <x:row r="24">
      <x:c r="A24" s="19" t="str">
        <x:f>IF('SUIVI_ANNUEL'!A4="","",'SUIVI_ANNUEL'!A4)</x:f>
      </x:c>
      <x:c r="B24" s="20" t="str">
        <x:f>IF('SUIVI_ANNUEL'!B4="","",'SUIVI_ANNUEL'!B4)</x:f>
      </x:c>
      <x:c r="C24" s="20" t="str">
        <x:f>IF('SUIVI_ANNUEL'!C4="","",'SUIVI_ANNUEL'!C4)</x:f>
      </x:c>
      <x:c r="D24" s="20" t="str">
        <x:f>IF('SUIVI_ANNUEL'!D4="","",'SUIVI_ANNUEL'!D4)</x:f>
      </x:c>
      <x:c r="E24" s="28" t="str">
        <x:f>IF(A24="","",'SUIVI_ANNUEL'!F4)</x:f>
      </x:c>
      <x:c r="F24" s="28" t="str">
        <x:f>IF(A24="","",'SUIVI_ANNUEL'!G4)</x:f>
      </x:c>
      <x:c r="G24" s="28" t="str">
        <x:f>IF(A24="","",'SUIVI_ANNUEL'!H4)</x:f>
      </x:c>
      <x:c r="H24" s="28" t="str">
        <x:f>IF(A24="","",'SUIVI_ANNUEL'!I4)</x:f>
      </x:c>
      <x:c r="I24" s="47" t="str">
        <x:f>IF(A24="","",'SUIVI_ANNUEL'!J4)</x:f>
      </x:c>
    </x:row>
    <x:row r="25">
      <x:c r="A25" s="19" t="str">
        <x:f>IF('SUIVI_ANNUEL'!A5="","",'SUIVI_ANNUEL'!A5)</x:f>
      </x:c>
      <x:c r="B25" s="20" t="str">
        <x:f>IF('SUIVI_ANNUEL'!B5="","",'SUIVI_ANNUEL'!B5)</x:f>
      </x:c>
      <x:c r="C25" s="20" t="str">
        <x:f>IF('SUIVI_ANNUEL'!C5="","",'SUIVI_ANNUEL'!C5)</x:f>
      </x:c>
      <x:c r="D25" s="20" t="str">
        <x:f>IF('SUIVI_ANNUEL'!D5="","",'SUIVI_ANNUEL'!D5)</x:f>
      </x:c>
      <x:c r="E25" s="28" t="str">
        <x:f>IF(A25="","",'SUIVI_ANNUEL'!F5)</x:f>
      </x:c>
      <x:c r="F25" s="28" t="str">
        <x:f>IF(A25="","",'SUIVI_ANNUEL'!G5)</x:f>
      </x:c>
      <x:c r="G25" s="28" t="str">
        <x:f>IF(A25="","",'SUIVI_ANNUEL'!H5)</x:f>
      </x:c>
      <x:c r="H25" s="28" t="str">
        <x:f>IF(A25="","",'SUIVI_ANNUEL'!I5)</x:f>
      </x:c>
      <x:c r="I25" s="47" t="str">
        <x:f>IF(A25="","",'SUIVI_ANNUEL'!J5)</x:f>
      </x:c>
    </x:row>
    <x:row r="26">
      <x:c r="A26" s="19" t="str">
        <x:f>IF('SUIVI_ANNUEL'!A6="","",'SUIVI_ANNUEL'!A6)</x:f>
      </x:c>
      <x:c r="B26" s="20" t="str">
        <x:f>IF('SUIVI_ANNUEL'!B6="","",'SUIVI_ANNUEL'!B6)</x:f>
      </x:c>
      <x:c r="C26" s="20" t="str">
        <x:f>IF('SUIVI_ANNUEL'!C6="","",'SUIVI_ANNUEL'!C6)</x:f>
      </x:c>
      <x:c r="D26" s="20" t="str">
        <x:f>IF('SUIVI_ANNUEL'!D6="","",'SUIVI_ANNUEL'!D6)</x:f>
      </x:c>
      <x:c r="E26" s="28" t="str">
        <x:f>IF(A26="","",'SUIVI_ANNUEL'!F6)</x:f>
      </x:c>
      <x:c r="F26" s="28" t="str">
        <x:f>IF(A26="","",'SUIVI_ANNUEL'!G6)</x:f>
      </x:c>
      <x:c r="G26" s="28" t="str">
        <x:f>IF(A26="","",'SUIVI_ANNUEL'!H6)</x:f>
      </x:c>
      <x:c r="H26" s="28" t="str">
        <x:f>IF(A26="","",'SUIVI_ANNUEL'!I6)</x:f>
      </x:c>
      <x:c r="I26" s="47" t="str">
        <x:f>IF(A26="","",'SUIVI_ANNUEL'!J6)</x:f>
      </x:c>
    </x:row>
    <x:row r="27">
      <x:c r="A27" s="19" t="str">
        <x:f>IF('SUIVI_ANNUEL'!A7="","",'SUIVI_ANNUEL'!A7)</x:f>
      </x:c>
      <x:c r="B27" s="20" t="str">
        <x:f>IF('SUIVI_ANNUEL'!B7="","",'SUIVI_ANNUEL'!B7)</x:f>
      </x:c>
      <x:c r="C27" s="20" t="str">
        <x:f>IF('SUIVI_ANNUEL'!C7="","",'SUIVI_ANNUEL'!C7)</x:f>
      </x:c>
      <x:c r="D27" s="20" t="str">
        <x:f>IF('SUIVI_ANNUEL'!D7="","",'SUIVI_ANNUEL'!D7)</x:f>
      </x:c>
      <x:c r="E27" s="28" t="str">
        <x:f>IF(A27="","",'SUIVI_ANNUEL'!F7)</x:f>
      </x:c>
      <x:c r="F27" s="28" t="str">
        <x:f>IF(A27="","",'SUIVI_ANNUEL'!G7)</x:f>
      </x:c>
      <x:c r="G27" s="28" t="str">
        <x:f>IF(A27="","",'SUIVI_ANNUEL'!H7)</x:f>
      </x:c>
      <x:c r="H27" s="28" t="str">
        <x:f>IF(A27="","",'SUIVI_ANNUEL'!I7)</x:f>
      </x:c>
      <x:c r="I27" s="47" t="str">
        <x:f>IF(A27="","",'SUIVI_ANNUEL'!J7)</x:f>
      </x:c>
    </x:row>
    <x:row r="28">
      <x:c r="A28" s="19" t="str">
        <x:f>IF('SUIVI_ANNUEL'!A8="","",'SUIVI_ANNUEL'!A8)</x:f>
      </x:c>
      <x:c r="B28" s="20" t="str">
        <x:f>IF('SUIVI_ANNUEL'!B8="","",'SUIVI_ANNUEL'!B8)</x:f>
      </x:c>
      <x:c r="C28" s="20" t="str">
        <x:f>IF('SUIVI_ANNUEL'!C8="","",'SUIVI_ANNUEL'!C8)</x:f>
      </x:c>
      <x:c r="D28" s="20" t="str">
        <x:f>IF('SUIVI_ANNUEL'!D8="","",'SUIVI_ANNUEL'!D8)</x:f>
      </x:c>
      <x:c r="E28" s="28" t="str">
        <x:f>IF(A28="","",'SUIVI_ANNUEL'!F8)</x:f>
      </x:c>
      <x:c r="F28" s="28" t="str">
        <x:f>IF(A28="","",'SUIVI_ANNUEL'!G8)</x:f>
      </x:c>
      <x:c r="G28" s="28" t="str">
        <x:f>IF(A28="","",'SUIVI_ANNUEL'!H8)</x:f>
      </x:c>
      <x:c r="H28" s="28" t="str">
        <x:f>IF(A28="","",'SUIVI_ANNUEL'!I8)</x:f>
      </x:c>
      <x:c r="I28" s="47" t="str">
        <x:f>IF(A28="","",'SUIVI_ANNUEL'!J8)</x:f>
      </x:c>
    </x:row>
    <x:row r="29">
      <x:c r="A29" s="19" t="str">
        <x:f>IF('SUIVI_ANNUEL'!A9="","",'SUIVI_ANNUEL'!A9)</x:f>
      </x:c>
      <x:c r="B29" s="20" t="str">
        <x:f>IF('SUIVI_ANNUEL'!B9="","",'SUIVI_ANNUEL'!B9)</x:f>
      </x:c>
      <x:c r="C29" s="20" t="str">
        <x:f>IF('SUIVI_ANNUEL'!C9="","",'SUIVI_ANNUEL'!C9)</x:f>
      </x:c>
      <x:c r="D29" s="20" t="str">
        <x:f>IF('SUIVI_ANNUEL'!D9="","",'SUIVI_ANNUEL'!D9)</x:f>
      </x:c>
      <x:c r="E29" s="28" t="str">
        <x:f>IF(A29="","",'SUIVI_ANNUEL'!F9)</x:f>
      </x:c>
      <x:c r="F29" s="28" t="str">
        <x:f>IF(A29="","",'SUIVI_ANNUEL'!G9)</x:f>
      </x:c>
      <x:c r="G29" s="28" t="str">
        <x:f>IF(A29="","",'SUIVI_ANNUEL'!H9)</x:f>
      </x:c>
      <x:c r="H29" s="28" t="str">
        <x:f>IF(A29="","",'SUIVI_ANNUEL'!I9)</x:f>
      </x:c>
      <x:c r="I29" s="47" t="str">
        <x:f>IF(A29="","",'SUIVI_ANNUEL'!J9)</x:f>
      </x:c>
    </x:row>
    <x:row r="30">
      <x:c r="A30" s="19" t="str">
        <x:f>IF('SUIVI_ANNUEL'!A10="","",'SUIVI_ANNUEL'!A10)</x:f>
      </x:c>
      <x:c r="B30" s="20" t="str">
        <x:f>IF('SUIVI_ANNUEL'!B10="","",'SUIVI_ANNUEL'!B10)</x:f>
      </x:c>
      <x:c r="C30" s="20" t="str">
        <x:f>IF('SUIVI_ANNUEL'!C10="","",'SUIVI_ANNUEL'!C10)</x:f>
      </x:c>
      <x:c r="D30" s="20" t="str">
        <x:f>IF('SUIVI_ANNUEL'!D10="","",'SUIVI_ANNUEL'!D10)</x:f>
      </x:c>
      <x:c r="E30" s="28" t="str">
        <x:f>IF(A30="","",'SUIVI_ANNUEL'!F10)</x:f>
      </x:c>
      <x:c r="F30" s="28" t="str">
        <x:f>IF(A30="","",'SUIVI_ANNUEL'!G10)</x:f>
      </x:c>
      <x:c r="G30" s="28" t="str">
        <x:f>IF(A30="","",'SUIVI_ANNUEL'!H10)</x:f>
      </x:c>
      <x:c r="H30" s="28" t="str">
        <x:f>IF(A30="","",'SUIVI_ANNUEL'!I10)</x:f>
      </x:c>
      <x:c r="I30" s="47" t="str">
        <x:f>IF(A30="","",'SUIVI_ANNUEL'!J10)</x:f>
      </x:c>
    </x:row>
    <x:row r="31">
      <x:c r="A31" s="19" t="str">
        <x:f>IF('SUIVI_ANNUEL'!A11="","",'SUIVI_ANNUEL'!A11)</x:f>
      </x:c>
      <x:c r="B31" s="20" t="str">
        <x:f>IF('SUIVI_ANNUEL'!B11="","",'SUIVI_ANNUEL'!B11)</x:f>
      </x:c>
      <x:c r="C31" s="20" t="str">
        <x:f>IF('SUIVI_ANNUEL'!C11="","",'SUIVI_ANNUEL'!C11)</x:f>
      </x:c>
      <x:c r="D31" s="20" t="str">
        <x:f>IF('SUIVI_ANNUEL'!D11="","",'SUIVI_ANNUEL'!D11)</x:f>
      </x:c>
      <x:c r="E31" s="28" t="str">
        <x:f>IF(A31="","",'SUIVI_ANNUEL'!F11)</x:f>
      </x:c>
      <x:c r="F31" s="28" t="str">
        <x:f>IF(A31="","",'SUIVI_ANNUEL'!G11)</x:f>
      </x:c>
      <x:c r="G31" s="28" t="str">
        <x:f>IF(A31="","",'SUIVI_ANNUEL'!H11)</x:f>
      </x:c>
      <x:c r="H31" s="28" t="str">
        <x:f>IF(A31="","",'SUIVI_ANNUEL'!I11)</x:f>
      </x:c>
      <x:c r="I31" s="47" t="str">
        <x:f>IF(A31="","",'SUIVI_ANNUEL'!J11)</x:f>
      </x:c>
    </x:row>
    <x:row r="32">
      <x:c r="A32" s="19" t="str">
        <x:f>IF('SUIVI_ANNUEL'!A12="","",'SUIVI_ANNUEL'!A12)</x:f>
      </x:c>
      <x:c r="B32" s="20" t="str">
        <x:f>IF('SUIVI_ANNUEL'!B12="","",'SUIVI_ANNUEL'!B12)</x:f>
      </x:c>
      <x:c r="C32" s="20" t="str">
        <x:f>IF('SUIVI_ANNUEL'!C12="","",'SUIVI_ANNUEL'!C12)</x:f>
      </x:c>
      <x:c r="D32" s="20" t="str">
        <x:f>IF('SUIVI_ANNUEL'!D12="","",'SUIVI_ANNUEL'!D12)</x:f>
      </x:c>
      <x:c r="E32" s="28" t="str">
        <x:f>IF(A32="","",'SUIVI_ANNUEL'!F12)</x:f>
      </x:c>
      <x:c r="F32" s="28" t="str">
        <x:f>IF(A32="","",'SUIVI_ANNUEL'!G12)</x:f>
      </x:c>
      <x:c r="G32" s="28" t="str">
        <x:f>IF(A32="","",'SUIVI_ANNUEL'!H12)</x:f>
      </x:c>
      <x:c r="H32" s="28" t="str">
        <x:f>IF(A32="","",'SUIVI_ANNUEL'!I12)</x:f>
      </x:c>
      <x:c r="I32" s="47" t="str">
        <x:f>IF(A32="","",'SUIVI_ANNUEL'!J12)</x:f>
      </x:c>
    </x:row>
    <x:row r="33">
      <x:c r="A33" s="19" t="str">
        <x:f>IF('SUIVI_ANNUEL'!A13="","",'SUIVI_ANNUEL'!A13)</x:f>
      </x:c>
      <x:c r="B33" s="20" t="str">
        <x:f>IF('SUIVI_ANNUEL'!B13="","",'SUIVI_ANNUEL'!B13)</x:f>
      </x:c>
      <x:c r="C33" s="20" t="str">
        <x:f>IF('SUIVI_ANNUEL'!C13="","",'SUIVI_ANNUEL'!C13)</x:f>
      </x:c>
      <x:c r="D33" s="20" t="str">
        <x:f>IF('SUIVI_ANNUEL'!D13="","",'SUIVI_ANNUEL'!D13)</x:f>
      </x:c>
      <x:c r="E33" s="28" t="str">
        <x:f>IF(A33="","",'SUIVI_ANNUEL'!F13)</x:f>
      </x:c>
      <x:c r="F33" s="28" t="str">
        <x:f>IF(A33="","",'SUIVI_ANNUEL'!G13)</x:f>
      </x:c>
      <x:c r="G33" s="28" t="str">
        <x:f>IF(A33="","",'SUIVI_ANNUEL'!H13)</x:f>
      </x:c>
      <x:c r="H33" s="28" t="str">
        <x:f>IF(A33="","",'SUIVI_ANNUEL'!I13)</x:f>
      </x:c>
      <x:c r="I33" s="47" t="str">
        <x:f>IF(A33="","",'SUIVI_ANNUEL'!J13)</x:f>
      </x:c>
    </x:row>
    <x:row r="34">
      <x:c r="A34" s="19" t="str">
        <x:f>IF('SUIVI_ANNUEL'!A14="","",'SUIVI_ANNUEL'!A14)</x:f>
      </x:c>
      <x:c r="B34" s="20" t="str">
        <x:f>IF('SUIVI_ANNUEL'!B14="","",'SUIVI_ANNUEL'!B14)</x:f>
      </x:c>
      <x:c r="C34" s="20" t="str">
        <x:f>IF('SUIVI_ANNUEL'!C14="","",'SUIVI_ANNUEL'!C14)</x:f>
      </x:c>
      <x:c r="D34" s="20" t="str">
        <x:f>IF('SUIVI_ANNUEL'!D14="","",'SUIVI_ANNUEL'!D14)</x:f>
      </x:c>
      <x:c r="E34" s="28" t="str">
        <x:f>IF(A34="","",'SUIVI_ANNUEL'!F14)</x:f>
      </x:c>
      <x:c r="F34" s="28" t="str">
        <x:f>IF(A34="","",'SUIVI_ANNUEL'!G14)</x:f>
      </x:c>
      <x:c r="G34" s="28" t="str">
        <x:f>IF(A34="","",'SUIVI_ANNUEL'!H14)</x:f>
      </x:c>
      <x:c r="H34" s="28" t="str">
        <x:f>IF(A34="","",'SUIVI_ANNUEL'!I14)</x:f>
      </x:c>
      <x:c r="I34" s="47" t="str">
        <x:f>IF(A34="","",'SUIVI_ANNUEL'!J14)</x:f>
      </x:c>
    </x:row>
    <x:row r="35">
      <x:c r="A35" s="19" t="str">
        <x:f>IF('SUIVI_ANNUEL'!A15="","",'SUIVI_ANNUEL'!A15)</x:f>
      </x:c>
      <x:c r="B35" s="20" t="str">
        <x:f>IF('SUIVI_ANNUEL'!B15="","",'SUIVI_ANNUEL'!B15)</x:f>
      </x:c>
      <x:c r="C35" s="20" t="str">
        <x:f>IF('SUIVI_ANNUEL'!C15="","",'SUIVI_ANNUEL'!C15)</x:f>
      </x:c>
      <x:c r="D35" s="20" t="str">
        <x:f>IF('SUIVI_ANNUEL'!D15="","",'SUIVI_ANNUEL'!D15)</x:f>
      </x:c>
      <x:c r="E35" s="28" t="str">
        <x:f>IF(A35="","",'SUIVI_ANNUEL'!F15)</x:f>
      </x:c>
      <x:c r="F35" s="28" t="str">
        <x:f>IF(A35="","",'SUIVI_ANNUEL'!G15)</x:f>
      </x:c>
      <x:c r="G35" s="28" t="str">
        <x:f>IF(A35="","",'SUIVI_ANNUEL'!H15)</x:f>
      </x:c>
      <x:c r="H35" s="28" t="str">
        <x:f>IF(A35="","",'SUIVI_ANNUEL'!I15)</x:f>
      </x:c>
      <x:c r="I35" s="47" t="str">
        <x:f>IF(A35="","",'SUIVI_ANNUEL'!J15)</x:f>
      </x:c>
    </x:row>
    <x:row r="36">
      <x:c r="A36" s="19" t="str">
        <x:f>IF('SUIVI_ANNUEL'!A16="","",'SUIVI_ANNUEL'!A16)</x:f>
      </x:c>
      <x:c r="B36" s="20" t="str">
        <x:f>IF('SUIVI_ANNUEL'!B16="","",'SUIVI_ANNUEL'!B16)</x:f>
      </x:c>
      <x:c r="C36" s="20" t="str">
        <x:f>IF('SUIVI_ANNUEL'!C16="","",'SUIVI_ANNUEL'!C16)</x:f>
      </x:c>
      <x:c r="D36" s="20" t="str">
        <x:f>IF('SUIVI_ANNUEL'!D16="","",'SUIVI_ANNUEL'!D16)</x:f>
      </x:c>
      <x:c r="E36" s="28" t="str">
        <x:f>IF(A36="","",'SUIVI_ANNUEL'!F16)</x:f>
      </x:c>
      <x:c r="F36" s="28" t="str">
        <x:f>IF(A36="","",'SUIVI_ANNUEL'!G16)</x:f>
      </x:c>
      <x:c r="G36" s="28" t="str">
        <x:f>IF(A36="","",'SUIVI_ANNUEL'!H16)</x:f>
      </x:c>
      <x:c r="H36" s="28" t="str">
        <x:f>IF(A36="","",'SUIVI_ANNUEL'!I16)</x:f>
      </x:c>
      <x:c r="I36" s="47" t="str">
        <x:f>IF(A36="","",'SUIVI_ANNUEL'!J16)</x:f>
      </x:c>
    </x:row>
    <x:row r="37">
      <x:c r="A37" s="19" t="str">
        <x:f>IF('SUIVI_ANNUEL'!A17="","",'SUIVI_ANNUEL'!A17)</x:f>
      </x:c>
      <x:c r="B37" s="20" t="str">
        <x:f>IF('SUIVI_ANNUEL'!B17="","",'SUIVI_ANNUEL'!B17)</x:f>
      </x:c>
      <x:c r="C37" s="20" t="str">
        <x:f>IF('SUIVI_ANNUEL'!C17="","",'SUIVI_ANNUEL'!C17)</x:f>
      </x:c>
      <x:c r="D37" s="20" t="str">
        <x:f>IF('SUIVI_ANNUEL'!D17="","",'SUIVI_ANNUEL'!D17)</x:f>
      </x:c>
      <x:c r="E37" s="28" t="str">
        <x:f>IF(A37="","",'SUIVI_ANNUEL'!F17)</x:f>
      </x:c>
      <x:c r="F37" s="28" t="str">
        <x:f>IF(A37="","",'SUIVI_ANNUEL'!G17)</x:f>
      </x:c>
      <x:c r="G37" s="28" t="str">
        <x:f>IF(A37="","",'SUIVI_ANNUEL'!H17)</x:f>
      </x:c>
      <x:c r="H37" s="28" t="str">
        <x:f>IF(A37="","",'SUIVI_ANNUEL'!I17)</x:f>
      </x:c>
      <x:c r="I37" s="47" t="str">
        <x:f>IF(A37="","",'SUIVI_ANNUEL'!J17)</x:f>
      </x:c>
    </x:row>
    <x:row r="38">
      <x:c r="A38" s="19" t="str">
        <x:f>IF('SUIVI_ANNUEL'!A18="","",'SUIVI_ANNUEL'!A18)</x:f>
      </x:c>
      <x:c r="B38" s="20" t="str">
        <x:f>IF('SUIVI_ANNUEL'!B18="","",'SUIVI_ANNUEL'!B18)</x:f>
      </x:c>
      <x:c r="C38" s="20" t="str">
        <x:f>IF('SUIVI_ANNUEL'!C18="","",'SUIVI_ANNUEL'!C18)</x:f>
      </x:c>
      <x:c r="D38" s="20" t="str">
        <x:f>IF('SUIVI_ANNUEL'!D18="","",'SUIVI_ANNUEL'!D18)</x:f>
      </x:c>
      <x:c r="E38" s="28" t="str">
        <x:f>IF(A38="","",'SUIVI_ANNUEL'!F18)</x:f>
      </x:c>
      <x:c r="F38" s="28" t="str">
        <x:f>IF(A38="","",'SUIVI_ANNUEL'!G18)</x:f>
      </x:c>
      <x:c r="G38" s="28" t="str">
        <x:f>IF(A38="","",'SUIVI_ANNUEL'!H18)</x:f>
      </x:c>
      <x:c r="H38" s="28" t="str">
        <x:f>IF(A38="","",'SUIVI_ANNUEL'!I18)</x:f>
      </x:c>
      <x:c r="I38" s="47" t="str">
        <x:f>IF(A38="","",'SUIVI_ANNUEL'!J18)</x:f>
      </x:c>
    </x:row>
    <x:row r="39">
      <x:c r="A39" s="19" t="str">
        <x:f>IF('SUIVI_ANNUEL'!A19="","",'SUIVI_ANNUEL'!A19)</x:f>
      </x:c>
      <x:c r="B39" s="20" t="str">
        <x:f>IF('SUIVI_ANNUEL'!B19="","",'SUIVI_ANNUEL'!B19)</x:f>
      </x:c>
      <x:c r="C39" s="20" t="str">
        <x:f>IF('SUIVI_ANNUEL'!C19="","",'SUIVI_ANNUEL'!C19)</x:f>
      </x:c>
      <x:c r="D39" s="20" t="str">
        <x:f>IF('SUIVI_ANNUEL'!D19="","",'SUIVI_ANNUEL'!D19)</x:f>
      </x:c>
      <x:c r="E39" s="28" t="str">
        <x:f>IF(A39="","",'SUIVI_ANNUEL'!F19)</x:f>
      </x:c>
      <x:c r="F39" s="28" t="str">
        <x:f>IF(A39="","",'SUIVI_ANNUEL'!G19)</x:f>
      </x:c>
      <x:c r="G39" s="28" t="str">
        <x:f>IF(A39="","",'SUIVI_ANNUEL'!H19)</x:f>
      </x:c>
      <x:c r="H39" s="28" t="str">
        <x:f>IF(A39="","",'SUIVI_ANNUEL'!I19)</x:f>
      </x:c>
      <x:c r="I39" s="47" t="str">
        <x:f>IF(A39="","",'SUIVI_ANNUEL'!J19)</x:f>
      </x:c>
    </x:row>
    <x:row r="40">
      <x:c r="A40" s="19" t="str">
        <x:f>IF('SUIVI_ANNUEL'!A20="","",'SUIVI_ANNUEL'!A20)</x:f>
      </x:c>
      <x:c r="B40" s="20" t="str">
        <x:f>IF('SUIVI_ANNUEL'!B20="","",'SUIVI_ANNUEL'!B20)</x:f>
      </x:c>
      <x:c r="C40" s="20" t="str">
        <x:f>IF('SUIVI_ANNUEL'!C20="","",'SUIVI_ANNUEL'!C20)</x:f>
      </x:c>
      <x:c r="D40" s="20" t="str">
        <x:f>IF('SUIVI_ANNUEL'!D20="","",'SUIVI_ANNUEL'!D20)</x:f>
      </x:c>
      <x:c r="E40" s="28" t="str">
        <x:f>IF(A40="","",'SUIVI_ANNUEL'!F20)</x:f>
      </x:c>
      <x:c r="F40" s="28" t="str">
        <x:f>IF(A40="","",'SUIVI_ANNUEL'!G20)</x:f>
      </x:c>
      <x:c r="G40" s="28" t="str">
        <x:f>IF(A40="","",'SUIVI_ANNUEL'!H20)</x:f>
      </x:c>
      <x:c r="H40" s="28" t="str">
        <x:f>IF(A40="","",'SUIVI_ANNUEL'!I20)</x:f>
      </x:c>
      <x:c r="I40" s="47" t="str">
        <x:f>IF(A40="","",'SUIVI_ANNUEL'!J20)</x:f>
      </x:c>
    </x:row>
    <x:row r="41">
      <x:c r="A41" s="19" t="str">
        <x:f>IF('SUIVI_ANNUEL'!A21="","",'SUIVI_ANNUEL'!A21)</x:f>
      </x:c>
      <x:c r="B41" s="20" t="str">
        <x:f>IF('SUIVI_ANNUEL'!B21="","",'SUIVI_ANNUEL'!B21)</x:f>
      </x:c>
      <x:c r="C41" s="20" t="str">
        <x:f>IF('SUIVI_ANNUEL'!C21="","",'SUIVI_ANNUEL'!C21)</x:f>
      </x:c>
      <x:c r="D41" s="20" t="str">
        <x:f>IF('SUIVI_ANNUEL'!D21="","",'SUIVI_ANNUEL'!D21)</x:f>
      </x:c>
      <x:c r="E41" s="28" t="str">
        <x:f>IF(A41="","",'SUIVI_ANNUEL'!F21)</x:f>
      </x:c>
      <x:c r="F41" s="28" t="str">
        <x:f>IF(A41="","",'SUIVI_ANNUEL'!G21)</x:f>
      </x:c>
      <x:c r="G41" s="28" t="str">
        <x:f>IF(A41="","",'SUIVI_ANNUEL'!H21)</x:f>
      </x:c>
      <x:c r="H41" s="28" t="str">
        <x:f>IF(A41="","",'SUIVI_ANNUEL'!I21)</x:f>
      </x:c>
      <x:c r="I41" s="47" t="str">
        <x:f>IF(A41="","",'SUIVI_ANNUEL'!J21)</x:f>
      </x:c>
    </x:row>
    <x:row r="42">
      <x:c r="A42" s="19" t="str">
        <x:f>IF('SUIVI_ANNUEL'!A22="","",'SUIVI_ANNUEL'!A22)</x:f>
      </x:c>
      <x:c r="B42" s="20" t="str">
        <x:f>IF('SUIVI_ANNUEL'!B22="","",'SUIVI_ANNUEL'!B22)</x:f>
      </x:c>
      <x:c r="C42" s="20" t="str">
        <x:f>IF('SUIVI_ANNUEL'!C22="","",'SUIVI_ANNUEL'!C22)</x:f>
      </x:c>
      <x:c r="D42" s="20" t="str">
        <x:f>IF('SUIVI_ANNUEL'!D22="","",'SUIVI_ANNUEL'!D22)</x:f>
      </x:c>
      <x:c r="E42" s="28" t="str">
        <x:f>IF(A42="","",'SUIVI_ANNUEL'!F22)</x:f>
      </x:c>
      <x:c r="F42" s="28" t="str">
        <x:f>IF(A42="","",'SUIVI_ANNUEL'!G22)</x:f>
      </x:c>
      <x:c r="G42" s="28" t="str">
        <x:f>IF(A42="","",'SUIVI_ANNUEL'!H22)</x:f>
      </x:c>
      <x:c r="H42" s="28" t="str">
        <x:f>IF(A42="","",'SUIVI_ANNUEL'!I22)</x:f>
      </x:c>
      <x:c r="I42" s="47" t="str">
        <x:f>IF(A42="","",'SUIVI_ANNUEL'!J22)</x:f>
      </x:c>
    </x:row>
    <x:row r="43">
      <x:c r="A43" s="19" t="str">
        <x:f>IF('SUIVI_ANNUEL'!A23="","",'SUIVI_ANNUEL'!A23)</x:f>
      </x:c>
      <x:c r="B43" s="20" t="str">
        <x:f>IF('SUIVI_ANNUEL'!B23="","",'SUIVI_ANNUEL'!B23)</x:f>
      </x:c>
      <x:c r="C43" s="20" t="str">
        <x:f>IF('SUIVI_ANNUEL'!C23="","",'SUIVI_ANNUEL'!C23)</x:f>
      </x:c>
      <x:c r="D43" s="20" t="str">
        <x:f>IF('SUIVI_ANNUEL'!D23="","",'SUIVI_ANNUEL'!D23)</x:f>
      </x:c>
      <x:c r="E43" s="28" t="str">
        <x:f>IF(A43="","",'SUIVI_ANNUEL'!F23)</x:f>
      </x:c>
      <x:c r="F43" s="28" t="str">
        <x:f>IF(A43="","",'SUIVI_ANNUEL'!G23)</x:f>
      </x:c>
      <x:c r="G43" s="28" t="str">
        <x:f>IF(A43="","",'SUIVI_ANNUEL'!H23)</x:f>
      </x:c>
      <x:c r="H43" s="28" t="str">
        <x:f>IF(A43="","",'SUIVI_ANNUEL'!I23)</x:f>
      </x:c>
      <x:c r="I43" s="47" t="str">
        <x:f>IF(A43="","",'SUIVI_ANNUEL'!J23)</x:f>
      </x:c>
    </x:row>
    <x:row r="44">
      <x:c r="A44" s="19" t="str">
        <x:f>IF('SUIVI_ANNUEL'!A24="","",'SUIVI_ANNUEL'!A24)</x:f>
      </x:c>
      <x:c r="B44" s="20" t="str">
        <x:f>IF('SUIVI_ANNUEL'!B24="","",'SUIVI_ANNUEL'!B24)</x:f>
      </x:c>
      <x:c r="C44" s="20" t="str">
        <x:f>IF('SUIVI_ANNUEL'!C24="","",'SUIVI_ANNUEL'!C24)</x:f>
      </x:c>
      <x:c r="D44" s="20" t="str">
        <x:f>IF('SUIVI_ANNUEL'!D24="","",'SUIVI_ANNUEL'!D24)</x:f>
      </x:c>
      <x:c r="E44" s="28" t="str">
        <x:f>IF(A44="","",'SUIVI_ANNUEL'!F24)</x:f>
      </x:c>
      <x:c r="F44" s="28" t="str">
        <x:f>IF(A44="","",'SUIVI_ANNUEL'!G24)</x:f>
      </x:c>
      <x:c r="G44" s="28" t="str">
        <x:f>IF(A44="","",'SUIVI_ANNUEL'!H24)</x:f>
      </x:c>
      <x:c r="H44" s="28" t="str">
        <x:f>IF(A44="","",'SUIVI_ANNUEL'!I24)</x:f>
      </x:c>
      <x:c r="I44" s="47" t="str">
        <x:f>IF(A44="","",'SUIVI_ANNUEL'!J24)</x:f>
      </x:c>
    </x:row>
    <x:row r="45">
      <x:c r="A45" s="19" t="str">
        <x:f>IF('SUIVI_ANNUEL'!A25="","",'SUIVI_ANNUEL'!A25)</x:f>
      </x:c>
      <x:c r="B45" s="20" t="str">
        <x:f>IF('SUIVI_ANNUEL'!B25="","",'SUIVI_ANNUEL'!B25)</x:f>
      </x:c>
      <x:c r="C45" s="20" t="str">
        <x:f>IF('SUIVI_ANNUEL'!C25="","",'SUIVI_ANNUEL'!C25)</x:f>
      </x:c>
      <x:c r="D45" s="20" t="str">
        <x:f>IF('SUIVI_ANNUEL'!D25="","",'SUIVI_ANNUEL'!D25)</x:f>
      </x:c>
      <x:c r="E45" s="28" t="str">
        <x:f>IF(A45="","",'SUIVI_ANNUEL'!F25)</x:f>
      </x:c>
      <x:c r="F45" s="28" t="str">
        <x:f>IF(A45="","",'SUIVI_ANNUEL'!G25)</x:f>
      </x:c>
      <x:c r="G45" s="28" t="str">
        <x:f>IF(A45="","",'SUIVI_ANNUEL'!H25)</x:f>
      </x:c>
      <x:c r="H45" s="28" t="str">
        <x:f>IF(A45="","",'SUIVI_ANNUEL'!I25)</x:f>
      </x:c>
      <x:c r="I45" s="47" t="str">
        <x:f>IF(A45="","",'SUIVI_ANNUEL'!J25)</x:f>
      </x:c>
    </x:row>
    <x:row r="46">
      <x:c r="A46" s="19" t="str">
        <x:f>IF('SUIVI_ANNUEL'!A26="","",'SUIVI_ANNUEL'!A26)</x:f>
      </x:c>
      <x:c r="B46" s="20" t="str">
        <x:f>IF('SUIVI_ANNUEL'!B26="","",'SUIVI_ANNUEL'!B26)</x:f>
      </x:c>
      <x:c r="C46" s="20" t="str">
        <x:f>IF('SUIVI_ANNUEL'!C26="","",'SUIVI_ANNUEL'!C26)</x:f>
      </x:c>
      <x:c r="D46" s="20" t="str">
        <x:f>IF('SUIVI_ANNUEL'!D26="","",'SUIVI_ANNUEL'!D26)</x:f>
      </x:c>
      <x:c r="E46" s="28" t="str">
        <x:f>IF(A46="","",'SUIVI_ANNUEL'!F26)</x:f>
      </x:c>
      <x:c r="F46" s="28" t="str">
        <x:f>IF(A46="","",'SUIVI_ANNUEL'!G26)</x:f>
      </x:c>
      <x:c r="G46" s="28" t="str">
        <x:f>IF(A46="","",'SUIVI_ANNUEL'!H26)</x:f>
      </x:c>
      <x:c r="H46" s="28" t="str">
        <x:f>IF(A46="","",'SUIVI_ANNUEL'!I26)</x:f>
      </x:c>
      <x:c r="I46" s="47" t="str">
        <x:f>IF(A46="","",'SUIVI_ANNUEL'!J26)</x:f>
      </x:c>
    </x:row>
    <x:row r="47">
      <x:c r="A47" s="19" t="str">
        <x:f>IF('SUIVI_ANNUEL'!A27="","",'SUIVI_ANNUEL'!A27)</x:f>
      </x:c>
      <x:c r="B47" s="20" t="str">
        <x:f>IF('SUIVI_ANNUEL'!B27="","",'SUIVI_ANNUEL'!B27)</x:f>
      </x:c>
      <x:c r="C47" s="20" t="str">
        <x:f>IF('SUIVI_ANNUEL'!C27="","",'SUIVI_ANNUEL'!C27)</x:f>
      </x:c>
      <x:c r="D47" s="20" t="str">
        <x:f>IF('SUIVI_ANNUEL'!D27="","",'SUIVI_ANNUEL'!D27)</x:f>
      </x:c>
      <x:c r="E47" s="28" t="str">
        <x:f>IF(A47="","",'SUIVI_ANNUEL'!F27)</x:f>
      </x:c>
      <x:c r="F47" s="28" t="str">
        <x:f>IF(A47="","",'SUIVI_ANNUEL'!G27)</x:f>
      </x:c>
      <x:c r="G47" s="28" t="str">
        <x:f>IF(A47="","",'SUIVI_ANNUEL'!H27)</x:f>
      </x:c>
      <x:c r="H47" s="28" t="str">
        <x:f>IF(A47="","",'SUIVI_ANNUEL'!I27)</x:f>
      </x:c>
      <x:c r="I47" s="47" t="str">
        <x:f>IF(A47="","",'SUIVI_ANNUEL'!J27)</x:f>
      </x:c>
    </x:row>
    <x:row r="48">
      <x:c r="A48" s="19" t="str">
        <x:f>IF('SUIVI_ANNUEL'!A28="","",'SUIVI_ANNUEL'!A28)</x:f>
      </x:c>
      <x:c r="B48" s="20" t="str">
        <x:f>IF('SUIVI_ANNUEL'!B28="","",'SUIVI_ANNUEL'!B28)</x:f>
      </x:c>
      <x:c r="C48" s="20" t="str">
        <x:f>IF('SUIVI_ANNUEL'!C28="","",'SUIVI_ANNUEL'!C28)</x:f>
      </x:c>
      <x:c r="D48" s="20" t="str">
        <x:f>IF('SUIVI_ANNUEL'!D28="","",'SUIVI_ANNUEL'!D28)</x:f>
      </x:c>
      <x:c r="E48" s="28" t="str">
        <x:f>IF(A48="","",'SUIVI_ANNUEL'!F28)</x:f>
      </x:c>
      <x:c r="F48" s="28" t="str">
        <x:f>IF(A48="","",'SUIVI_ANNUEL'!G28)</x:f>
      </x:c>
      <x:c r="G48" s="28" t="str">
        <x:f>IF(A48="","",'SUIVI_ANNUEL'!H28)</x:f>
      </x:c>
      <x:c r="H48" s="28" t="str">
        <x:f>IF(A48="","",'SUIVI_ANNUEL'!I28)</x:f>
      </x:c>
      <x:c r="I48" s="47" t="str">
        <x:f>IF(A48="","",'SUIVI_ANNUEL'!J28)</x:f>
      </x:c>
    </x:row>
    <x:row r="49">
      <x:c r="A49" s="19" t="str">
        <x:f>IF('SUIVI_ANNUEL'!A29="","",'SUIVI_ANNUEL'!A29)</x:f>
      </x:c>
      <x:c r="B49" s="20" t="str">
        <x:f>IF('SUIVI_ANNUEL'!B29="","",'SUIVI_ANNUEL'!B29)</x:f>
      </x:c>
      <x:c r="C49" s="20" t="str">
        <x:f>IF('SUIVI_ANNUEL'!C29="","",'SUIVI_ANNUEL'!C29)</x:f>
      </x:c>
      <x:c r="D49" s="20" t="str">
        <x:f>IF('SUIVI_ANNUEL'!D29="","",'SUIVI_ANNUEL'!D29)</x:f>
      </x:c>
      <x:c r="E49" s="28" t="str">
        <x:f>IF(A49="","",'SUIVI_ANNUEL'!F29)</x:f>
      </x:c>
      <x:c r="F49" s="28" t="str">
        <x:f>IF(A49="","",'SUIVI_ANNUEL'!G29)</x:f>
      </x:c>
      <x:c r="G49" s="28" t="str">
        <x:f>IF(A49="","",'SUIVI_ANNUEL'!H29)</x:f>
      </x:c>
      <x:c r="H49" s="28" t="str">
        <x:f>IF(A49="","",'SUIVI_ANNUEL'!I29)</x:f>
      </x:c>
      <x:c r="I49" s="47" t="str">
        <x:f>IF(A49="","",'SUIVI_ANNUEL'!J29)</x:f>
      </x:c>
    </x:row>
    <x:row r="50">
      <x:c r="A50" s="19" t="str">
        <x:f>IF('SUIVI_ANNUEL'!A30="","",'SUIVI_ANNUEL'!A30)</x:f>
      </x:c>
      <x:c r="B50" s="20" t="str">
        <x:f>IF('SUIVI_ANNUEL'!B30="","",'SUIVI_ANNUEL'!B30)</x:f>
      </x:c>
      <x:c r="C50" s="20" t="str">
        <x:f>IF('SUIVI_ANNUEL'!C30="","",'SUIVI_ANNUEL'!C30)</x:f>
      </x:c>
      <x:c r="D50" s="20" t="str">
        <x:f>IF('SUIVI_ANNUEL'!D30="","",'SUIVI_ANNUEL'!D30)</x:f>
      </x:c>
      <x:c r="E50" s="28" t="str">
        <x:f>IF(A50="","",'SUIVI_ANNUEL'!F30)</x:f>
      </x:c>
      <x:c r="F50" s="28" t="str">
        <x:f>IF(A50="","",'SUIVI_ANNUEL'!G30)</x:f>
      </x:c>
      <x:c r="G50" s="28" t="str">
        <x:f>IF(A50="","",'SUIVI_ANNUEL'!H30)</x:f>
      </x:c>
      <x:c r="H50" s="28" t="str">
        <x:f>IF(A50="","",'SUIVI_ANNUEL'!I30)</x:f>
      </x:c>
      <x:c r="I50" s="47" t="str">
        <x:f>IF(A50="","",'SUIVI_ANNUEL'!J30)</x:f>
      </x:c>
    </x:row>
    <x:row r="51">
      <x:c r="A51" s="19" t="str">
        <x:f>IF('SUIVI_ANNUEL'!A31="","",'SUIVI_ANNUEL'!A31)</x:f>
      </x:c>
      <x:c r="B51" s="20" t="str">
        <x:f>IF('SUIVI_ANNUEL'!B31="","",'SUIVI_ANNUEL'!B31)</x:f>
      </x:c>
      <x:c r="C51" s="20" t="str">
        <x:f>IF('SUIVI_ANNUEL'!C31="","",'SUIVI_ANNUEL'!C31)</x:f>
      </x:c>
      <x:c r="D51" s="20" t="str">
        <x:f>IF('SUIVI_ANNUEL'!D31="","",'SUIVI_ANNUEL'!D31)</x:f>
      </x:c>
      <x:c r="E51" s="28" t="str">
        <x:f>IF(A51="","",'SUIVI_ANNUEL'!F31)</x:f>
      </x:c>
      <x:c r="F51" s="28" t="str">
        <x:f>IF(A51="","",'SUIVI_ANNUEL'!G31)</x:f>
      </x:c>
      <x:c r="G51" s="28" t="str">
        <x:f>IF(A51="","",'SUIVI_ANNUEL'!H31)</x:f>
      </x:c>
      <x:c r="H51" s="28" t="str">
        <x:f>IF(A51="","",'SUIVI_ANNUEL'!I31)</x:f>
      </x:c>
      <x:c r="I51" s="47" t="str">
        <x:f>IF(A51="","",'SUIVI_ANNUEL'!J31)</x:f>
      </x:c>
    </x:row>
    <x:row r="52">
      <x:c r="A52" s="19" t="str">
        <x:f>IF('SUIVI_ANNUEL'!A32="","",'SUIVI_ANNUEL'!A32)</x:f>
      </x:c>
      <x:c r="B52" s="20" t="str">
        <x:f>IF('SUIVI_ANNUEL'!B32="","",'SUIVI_ANNUEL'!B32)</x:f>
      </x:c>
      <x:c r="C52" s="20" t="str">
        <x:f>IF('SUIVI_ANNUEL'!C32="","",'SUIVI_ANNUEL'!C32)</x:f>
      </x:c>
      <x:c r="D52" s="20" t="str">
        <x:f>IF('SUIVI_ANNUEL'!D32="","",'SUIVI_ANNUEL'!D32)</x:f>
      </x:c>
      <x:c r="E52" s="28" t="str">
        <x:f>IF(A52="","",'SUIVI_ANNUEL'!F32)</x:f>
      </x:c>
      <x:c r="F52" s="28" t="str">
        <x:f>IF(A52="","",'SUIVI_ANNUEL'!G32)</x:f>
      </x:c>
      <x:c r="G52" s="28" t="str">
        <x:f>IF(A52="","",'SUIVI_ANNUEL'!H32)</x:f>
      </x:c>
      <x:c r="H52" s="28" t="str">
        <x:f>IF(A52="","",'SUIVI_ANNUEL'!I32)</x:f>
      </x:c>
      <x:c r="I52" s="47" t="str">
        <x:f>IF(A52="","",'SUIVI_ANNUEL'!J32)</x:f>
      </x:c>
    </x:row>
    <x:row r="53">
      <x:c r="A53" s="19" t="str">
        <x:f>IF('SUIVI_ANNUEL'!A33="","",'SUIVI_ANNUEL'!A33)</x:f>
      </x:c>
      <x:c r="B53" s="20" t="str">
        <x:f>IF('SUIVI_ANNUEL'!B33="","",'SUIVI_ANNUEL'!B33)</x:f>
      </x:c>
      <x:c r="C53" s="20" t="str">
        <x:f>IF('SUIVI_ANNUEL'!C33="","",'SUIVI_ANNUEL'!C33)</x:f>
      </x:c>
      <x:c r="D53" s="20" t="str">
        <x:f>IF('SUIVI_ANNUEL'!D33="","",'SUIVI_ANNUEL'!D33)</x:f>
      </x:c>
      <x:c r="E53" s="28" t="str">
        <x:f>IF(A53="","",'SUIVI_ANNUEL'!F33)</x:f>
      </x:c>
      <x:c r="F53" s="28" t="str">
        <x:f>IF(A53="","",'SUIVI_ANNUEL'!G33)</x:f>
      </x:c>
      <x:c r="G53" s="28" t="str">
        <x:f>IF(A53="","",'SUIVI_ANNUEL'!H33)</x:f>
      </x:c>
      <x:c r="H53" s="28" t="str">
        <x:f>IF(A53="","",'SUIVI_ANNUEL'!I33)</x:f>
      </x:c>
      <x:c r="I53" s="47" t="str">
        <x:f>IF(A53="","",'SUIVI_ANNUEL'!J33)</x:f>
      </x:c>
    </x:row>
    <x:row r="54">
      <x:c r="A54" s="19" t="str">
        <x:f>IF('SUIVI_ANNUEL'!A34="","",'SUIVI_ANNUEL'!A34)</x:f>
      </x:c>
      <x:c r="B54" s="20" t="str">
        <x:f>IF('SUIVI_ANNUEL'!B34="","",'SUIVI_ANNUEL'!B34)</x:f>
      </x:c>
      <x:c r="C54" s="20" t="str">
        <x:f>IF('SUIVI_ANNUEL'!C34="","",'SUIVI_ANNUEL'!C34)</x:f>
      </x:c>
      <x:c r="D54" s="20" t="str">
        <x:f>IF('SUIVI_ANNUEL'!D34="","",'SUIVI_ANNUEL'!D34)</x:f>
      </x:c>
      <x:c r="E54" s="28" t="str">
        <x:f>IF(A54="","",'SUIVI_ANNUEL'!F34)</x:f>
      </x:c>
      <x:c r="F54" s="28" t="str">
        <x:f>IF(A54="","",'SUIVI_ANNUEL'!G34)</x:f>
      </x:c>
      <x:c r="G54" s="28" t="str">
        <x:f>IF(A54="","",'SUIVI_ANNUEL'!H34)</x:f>
      </x:c>
      <x:c r="H54" s="28" t="str">
        <x:f>IF(A54="","",'SUIVI_ANNUEL'!I34)</x:f>
      </x:c>
      <x:c r="I54" s="47" t="str">
        <x:f>IF(A54="","",'SUIVI_ANNUEL'!J34)</x:f>
      </x:c>
    </x:row>
    <x:row r="55">
      <x:c r="A55" s="19" t="str">
        <x:f>IF('SUIVI_ANNUEL'!A35="","",'SUIVI_ANNUEL'!A35)</x:f>
      </x:c>
      <x:c r="B55" s="20" t="str">
        <x:f>IF('SUIVI_ANNUEL'!B35="","",'SUIVI_ANNUEL'!B35)</x:f>
      </x:c>
      <x:c r="C55" s="20" t="str">
        <x:f>IF('SUIVI_ANNUEL'!C35="","",'SUIVI_ANNUEL'!C35)</x:f>
      </x:c>
      <x:c r="D55" s="20" t="str">
        <x:f>IF('SUIVI_ANNUEL'!D35="","",'SUIVI_ANNUEL'!D35)</x:f>
      </x:c>
      <x:c r="E55" s="28" t="str">
        <x:f>IF(A55="","",'SUIVI_ANNUEL'!F35)</x:f>
      </x:c>
      <x:c r="F55" s="28" t="str">
        <x:f>IF(A55="","",'SUIVI_ANNUEL'!G35)</x:f>
      </x:c>
      <x:c r="G55" s="28" t="str">
        <x:f>IF(A55="","",'SUIVI_ANNUEL'!H35)</x:f>
      </x:c>
      <x:c r="H55" s="28" t="str">
        <x:f>IF(A55="","",'SUIVI_ANNUEL'!I35)</x:f>
      </x:c>
      <x:c r="I55" s="47" t="str">
        <x:f>IF(A55="","",'SUIVI_ANNUEL'!J35)</x:f>
      </x:c>
    </x:row>
    <x:row r="56">
      <x:c r="A56" s="19" t="str">
        <x:f>IF('SUIVI_ANNUEL'!A36="","",'SUIVI_ANNUEL'!A36)</x:f>
      </x:c>
      <x:c r="B56" s="20" t="str">
        <x:f>IF('SUIVI_ANNUEL'!B36="","",'SUIVI_ANNUEL'!B36)</x:f>
      </x:c>
      <x:c r="C56" s="20" t="str">
        <x:f>IF('SUIVI_ANNUEL'!C36="","",'SUIVI_ANNUEL'!C36)</x:f>
      </x:c>
      <x:c r="D56" s="20" t="str">
        <x:f>IF('SUIVI_ANNUEL'!D36="","",'SUIVI_ANNUEL'!D36)</x:f>
      </x:c>
      <x:c r="E56" s="28" t="str">
        <x:f>IF(A56="","",'SUIVI_ANNUEL'!F36)</x:f>
      </x:c>
      <x:c r="F56" s="28" t="str">
        <x:f>IF(A56="","",'SUIVI_ANNUEL'!G36)</x:f>
      </x:c>
      <x:c r="G56" s="28" t="str">
        <x:f>IF(A56="","",'SUIVI_ANNUEL'!H36)</x:f>
      </x:c>
      <x:c r="H56" s="28" t="str">
        <x:f>IF(A56="","",'SUIVI_ANNUEL'!I36)</x:f>
      </x:c>
      <x:c r="I56" s="47" t="str">
        <x:f>IF(A56="","",'SUIVI_ANNUEL'!J36)</x:f>
      </x:c>
    </x:row>
    <x:row r="57">
      <x:c r="A57" s="19" t="str">
        <x:f>IF('SUIVI_ANNUEL'!A37="","",'SUIVI_ANNUEL'!A37)</x:f>
      </x:c>
      <x:c r="B57" s="20" t="str">
        <x:f>IF('SUIVI_ANNUEL'!B37="","",'SUIVI_ANNUEL'!B37)</x:f>
      </x:c>
      <x:c r="C57" s="20" t="str">
        <x:f>IF('SUIVI_ANNUEL'!C37="","",'SUIVI_ANNUEL'!C37)</x:f>
      </x:c>
      <x:c r="D57" s="20" t="str">
        <x:f>IF('SUIVI_ANNUEL'!D37="","",'SUIVI_ANNUEL'!D37)</x:f>
      </x:c>
      <x:c r="E57" s="28" t="str">
        <x:f>IF(A57="","",'SUIVI_ANNUEL'!F37)</x:f>
      </x:c>
      <x:c r="F57" s="28" t="str">
        <x:f>IF(A57="","",'SUIVI_ANNUEL'!G37)</x:f>
      </x:c>
      <x:c r="G57" s="28" t="str">
        <x:f>IF(A57="","",'SUIVI_ANNUEL'!H37)</x:f>
      </x:c>
      <x:c r="H57" s="28" t="str">
        <x:f>IF(A57="","",'SUIVI_ANNUEL'!I37)</x:f>
      </x:c>
      <x:c r="I57" s="47" t="str">
        <x:f>IF(A57="","",'SUIVI_ANNUEL'!J37)</x:f>
      </x:c>
    </x:row>
    <x:row r="58">
      <x:c r="A58" s="19" t="str">
        <x:f>IF('SUIVI_ANNUEL'!A38="","",'SUIVI_ANNUEL'!A38)</x:f>
      </x:c>
      <x:c r="B58" s="20" t="str">
        <x:f>IF('SUIVI_ANNUEL'!B38="","",'SUIVI_ANNUEL'!B38)</x:f>
      </x:c>
      <x:c r="C58" s="20" t="str">
        <x:f>IF('SUIVI_ANNUEL'!C38="","",'SUIVI_ANNUEL'!C38)</x:f>
      </x:c>
      <x:c r="D58" s="20" t="str">
        <x:f>IF('SUIVI_ANNUEL'!D38="","",'SUIVI_ANNUEL'!D38)</x:f>
      </x:c>
      <x:c r="E58" s="28" t="str">
        <x:f>IF(A58="","",'SUIVI_ANNUEL'!F38)</x:f>
      </x:c>
      <x:c r="F58" s="28" t="str">
        <x:f>IF(A58="","",'SUIVI_ANNUEL'!G38)</x:f>
      </x:c>
      <x:c r="G58" s="28" t="str">
        <x:f>IF(A58="","",'SUIVI_ANNUEL'!H38)</x:f>
      </x:c>
      <x:c r="H58" s="28" t="str">
        <x:f>IF(A58="","",'SUIVI_ANNUEL'!I38)</x:f>
      </x:c>
      <x:c r="I58" s="47" t="str">
        <x:f>IF(A58="","",'SUIVI_ANNUEL'!J38)</x:f>
      </x:c>
    </x:row>
    <x:row r="59">
      <x:c r="A59" s="19" t="str">
        <x:f>IF('SUIVI_ANNUEL'!A39="","",'SUIVI_ANNUEL'!A39)</x:f>
      </x:c>
      <x:c r="B59" s="20" t="str">
        <x:f>IF('SUIVI_ANNUEL'!B39="","",'SUIVI_ANNUEL'!B39)</x:f>
      </x:c>
      <x:c r="C59" s="20" t="str">
        <x:f>IF('SUIVI_ANNUEL'!C39="","",'SUIVI_ANNUEL'!C39)</x:f>
      </x:c>
      <x:c r="D59" s="20" t="str">
        <x:f>IF('SUIVI_ANNUEL'!D39="","",'SUIVI_ANNUEL'!D39)</x:f>
      </x:c>
      <x:c r="E59" s="28" t="str">
        <x:f>IF(A59="","",'SUIVI_ANNUEL'!F39)</x:f>
      </x:c>
      <x:c r="F59" s="28" t="str">
        <x:f>IF(A59="","",'SUIVI_ANNUEL'!G39)</x:f>
      </x:c>
      <x:c r="G59" s="28" t="str">
        <x:f>IF(A59="","",'SUIVI_ANNUEL'!H39)</x:f>
      </x:c>
      <x:c r="H59" s="28" t="str">
        <x:f>IF(A59="","",'SUIVI_ANNUEL'!I39)</x:f>
      </x:c>
      <x:c r="I59" s="47" t="str">
        <x:f>IF(A59="","",'SUIVI_ANNUEL'!J39)</x:f>
      </x:c>
    </x:row>
    <x:row r="60">
      <x:c r="A60" s="19" t="str">
        <x:f>IF('SUIVI_ANNUEL'!A40="","",'SUIVI_ANNUEL'!A40)</x:f>
      </x:c>
      <x:c r="B60" s="20" t="str">
        <x:f>IF('SUIVI_ANNUEL'!B40="","",'SUIVI_ANNUEL'!B40)</x:f>
      </x:c>
      <x:c r="C60" s="20" t="str">
        <x:f>IF('SUIVI_ANNUEL'!C40="","",'SUIVI_ANNUEL'!C40)</x:f>
      </x:c>
      <x:c r="D60" s="20" t="str">
        <x:f>IF('SUIVI_ANNUEL'!D40="","",'SUIVI_ANNUEL'!D40)</x:f>
      </x:c>
      <x:c r="E60" s="28" t="str">
        <x:f>IF(A60="","",'SUIVI_ANNUEL'!F40)</x:f>
      </x:c>
      <x:c r="F60" s="28" t="str">
        <x:f>IF(A60="","",'SUIVI_ANNUEL'!G40)</x:f>
      </x:c>
      <x:c r="G60" s="28" t="str">
        <x:f>IF(A60="","",'SUIVI_ANNUEL'!H40)</x:f>
      </x:c>
      <x:c r="H60" s="28" t="str">
        <x:f>IF(A60="","",'SUIVI_ANNUEL'!I40)</x:f>
      </x:c>
      <x:c r="I60" s="47" t="str">
        <x:f>IF(A60="","",'SUIVI_ANNUEL'!J40)</x:f>
      </x:c>
    </x:row>
    <x:row r="61">
      <x:c r="A61" s="19" t="str">
        <x:f>IF('SUIVI_ANNUEL'!A41="","",'SUIVI_ANNUEL'!A41)</x:f>
      </x:c>
      <x:c r="B61" s="20" t="str">
        <x:f>IF('SUIVI_ANNUEL'!B41="","",'SUIVI_ANNUEL'!B41)</x:f>
      </x:c>
      <x:c r="C61" s="20" t="str">
        <x:f>IF('SUIVI_ANNUEL'!C41="","",'SUIVI_ANNUEL'!C41)</x:f>
      </x:c>
      <x:c r="D61" s="20" t="str">
        <x:f>IF('SUIVI_ANNUEL'!D41="","",'SUIVI_ANNUEL'!D41)</x:f>
      </x:c>
      <x:c r="E61" s="28" t="str">
        <x:f>IF(A61="","",'SUIVI_ANNUEL'!F41)</x:f>
      </x:c>
      <x:c r="F61" s="28" t="str">
        <x:f>IF(A61="","",'SUIVI_ANNUEL'!G41)</x:f>
      </x:c>
      <x:c r="G61" s="28" t="str">
        <x:f>IF(A61="","",'SUIVI_ANNUEL'!H41)</x:f>
      </x:c>
      <x:c r="H61" s="28" t="str">
        <x:f>IF(A61="","",'SUIVI_ANNUEL'!I41)</x:f>
      </x:c>
      <x:c r="I61" s="47" t="str">
        <x:f>IF(A61="","",'SUIVI_ANNUEL'!J41)</x:f>
      </x:c>
    </x:row>
    <x:row r="62">
      <x:c r="A62" s="19" t="str">
        <x:f>IF('SUIVI_ANNUEL'!A42="","",'SUIVI_ANNUEL'!A42)</x:f>
      </x:c>
      <x:c r="B62" s="20" t="str">
        <x:f>IF('SUIVI_ANNUEL'!B42="","",'SUIVI_ANNUEL'!B42)</x:f>
      </x:c>
      <x:c r="C62" s="20" t="str">
        <x:f>IF('SUIVI_ANNUEL'!C42="","",'SUIVI_ANNUEL'!C42)</x:f>
      </x:c>
      <x:c r="D62" s="20" t="str">
        <x:f>IF('SUIVI_ANNUEL'!D42="","",'SUIVI_ANNUEL'!D42)</x:f>
      </x:c>
      <x:c r="E62" s="28" t="str">
        <x:f>IF(A62="","",'SUIVI_ANNUEL'!F42)</x:f>
      </x:c>
      <x:c r="F62" s="28" t="str">
        <x:f>IF(A62="","",'SUIVI_ANNUEL'!G42)</x:f>
      </x:c>
      <x:c r="G62" s="28" t="str">
        <x:f>IF(A62="","",'SUIVI_ANNUEL'!H42)</x:f>
      </x:c>
      <x:c r="H62" s="28" t="str">
        <x:f>IF(A62="","",'SUIVI_ANNUEL'!I42)</x:f>
      </x:c>
      <x:c r="I62" s="47" t="str">
        <x:f>IF(A62="","",'SUIVI_ANNUEL'!J42)</x:f>
      </x:c>
    </x:row>
    <x:row r="63">
      <x:c r="A63" s="19" t="str">
        <x:f>IF('SUIVI_ANNUEL'!A43="","",'SUIVI_ANNUEL'!A43)</x:f>
      </x:c>
      <x:c r="B63" s="20" t="str">
        <x:f>IF('SUIVI_ANNUEL'!B43="","",'SUIVI_ANNUEL'!B43)</x:f>
      </x:c>
      <x:c r="C63" s="20" t="str">
        <x:f>IF('SUIVI_ANNUEL'!C43="","",'SUIVI_ANNUEL'!C43)</x:f>
      </x:c>
      <x:c r="D63" s="20" t="str">
        <x:f>IF('SUIVI_ANNUEL'!D43="","",'SUIVI_ANNUEL'!D43)</x:f>
      </x:c>
      <x:c r="E63" s="28" t="str">
        <x:f>IF(A63="","",'SUIVI_ANNUEL'!F43)</x:f>
      </x:c>
      <x:c r="F63" s="28" t="str">
        <x:f>IF(A63="","",'SUIVI_ANNUEL'!G43)</x:f>
      </x:c>
      <x:c r="G63" s="28" t="str">
        <x:f>IF(A63="","",'SUIVI_ANNUEL'!H43)</x:f>
      </x:c>
      <x:c r="H63" s="28" t="str">
        <x:f>IF(A63="","",'SUIVI_ANNUEL'!I43)</x:f>
      </x:c>
      <x:c r="I63" s="47" t="str">
        <x:f>IF(A63="","",'SUIVI_ANNUEL'!J43)</x:f>
      </x:c>
    </x:row>
    <x:row r="64">
      <x:c r="A64" s="19" t="str">
        <x:f>IF('SUIVI_ANNUEL'!A44="","",'SUIVI_ANNUEL'!A44)</x:f>
      </x:c>
      <x:c r="B64" s="20" t="str">
        <x:f>IF('SUIVI_ANNUEL'!B44="","",'SUIVI_ANNUEL'!B44)</x:f>
      </x:c>
      <x:c r="C64" s="20" t="str">
        <x:f>IF('SUIVI_ANNUEL'!C44="","",'SUIVI_ANNUEL'!C44)</x:f>
      </x:c>
      <x:c r="D64" s="20" t="str">
        <x:f>IF('SUIVI_ANNUEL'!D44="","",'SUIVI_ANNUEL'!D44)</x:f>
      </x:c>
      <x:c r="E64" s="28" t="str">
        <x:f>IF(A64="","",'SUIVI_ANNUEL'!F44)</x:f>
      </x:c>
      <x:c r="F64" s="28" t="str">
        <x:f>IF(A64="","",'SUIVI_ANNUEL'!G44)</x:f>
      </x:c>
      <x:c r="G64" s="28" t="str">
        <x:f>IF(A64="","",'SUIVI_ANNUEL'!H44)</x:f>
      </x:c>
      <x:c r="H64" s="28" t="str">
        <x:f>IF(A64="","",'SUIVI_ANNUEL'!I44)</x:f>
      </x:c>
      <x:c r="I64" s="47" t="str">
        <x:f>IF(A64="","",'SUIVI_ANNUEL'!J44)</x:f>
      </x:c>
    </x:row>
    <x:row r="65">
      <x:c r="A65" s="19" t="str">
        <x:f>IF('SUIVI_ANNUEL'!A45="","",'SUIVI_ANNUEL'!A45)</x:f>
      </x:c>
      <x:c r="B65" s="20" t="str">
        <x:f>IF('SUIVI_ANNUEL'!B45="","",'SUIVI_ANNUEL'!B45)</x:f>
      </x:c>
      <x:c r="C65" s="20" t="str">
        <x:f>IF('SUIVI_ANNUEL'!C45="","",'SUIVI_ANNUEL'!C45)</x:f>
      </x:c>
      <x:c r="D65" s="20" t="str">
        <x:f>IF('SUIVI_ANNUEL'!D45="","",'SUIVI_ANNUEL'!D45)</x:f>
      </x:c>
      <x:c r="E65" s="28" t="str">
        <x:f>IF(A65="","",'SUIVI_ANNUEL'!F45)</x:f>
      </x:c>
      <x:c r="F65" s="28" t="str">
        <x:f>IF(A65="","",'SUIVI_ANNUEL'!G45)</x:f>
      </x:c>
      <x:c r="G65" s="28" t="str">
        <x:f>IF(A65="","",'SUIVI_ANNUEL'!H45)</x:f>
      </x:c>
      <x:c r="H65" s="28" t="str">
        <x:f>IF(A65="","",'SUIVI_ANNUEL'!I45)</x:f>
      </x:c>
      <x:c r="I65" s="47" t="str">
        <x:f>IF(A65="","",'SUIVI_ANNUEL'!J45)</x:f>
      </x:c>
    </x:row>
    <x:row r="66">
      <x:c r="A66" s="19" t="str">
        <x:f>IF('SUIVI_ANNUEL'!A46="","",'SUIVI_ANNUEL'!A46)</x:f>
      </x:c>
      <x:c r="B66" s="20" t="str">
        <x:f>IF('SUIVI_ANNUEL'!B46="","",'SUIVI_ANNUEL'!B46)</x:f>
      </x:c>
      <x:c r="C66" s="20" t="str">
        <x:f>IF('SUIVI_ANNUEL'!C46="","",'SUIVI_ANNUEL'!C46)</x:f>
      </x:c>
      <x:c r="D66" s="20" t="str">
        <x:f>IF('SUIVI_ANNUEL'!D46="","",'SUIVI_ANNUEL'!D46)</x:f>
      </x:c>
      <x:c r="E66" s="28" t="str">
        <x:f>IF(A66="","",'SUIVI_ANNUEL'!F46)</x:f>
      </x:c>
      <x:c r="F66" s="28" t="str">
        <x:f>IF(A66="","",'SUIVI_ANNUEL'!G46)</x:f>
      </x:c>
      <x:c r="G66" s="28" t="str">
        <x:f>IF(A66="","",'SUIVI_ANNUEL'!H46)</x:f>
      </x:c>
      <x:c r="H66" s="28" t="str">
        <x:f>IF(A66="","",'SUIVI_ANNUEL'!I46)</x:f>
      </x:c>
      <x:c r="I66" s="47" t="str">
        <x:f>IF(A66="","",'SUIVI_ANNUEL'!J46)</x:f>
      </x:c>
    </x:row>
    <x:row r="67">
      <x:c r="A67" s="19" t="str">
        <x:f>IF('SUIVI_ANNUEL'!A47="","",'SUIVI_ANNUEL'!A47)</x:f>
      </x:c>
      <x:c r="B67" s="20" t="str">
        <x:f>IF('SUIVI_ANNUEL'!B47="","",'SUIVI_ANNUEL'!B47)</x:f>
      </x:c>
      <x:c r="C67" s="20" t="str">
        <x:f>IF('SUIVI_ANNUEL'!C47="","",'SUIVI_ANNUEL'!C47)</x:f>
      </x:c>
      <x:c r="D67" s="20" t="str">
        <x:f>IF('SUIVI_ANNUEL'!D47="","",'SUIVI_ANNUEL'!D47)</x:f>
      </x:c>
      <x:c r="E67" s="28" t="str">
        <x:f>IF(A67="","",'SUIVI_ANNUEL'!F47)</x:f>
      </x:c>
      <x:c r="F67" s="28" t="str">
        <x:f>IF(A67="","",'SUIVI_ANNUEL'!G47)</x:f>
      </x:c>
      <x:c r="G67" s="28" t="str">
        <x:f>IF(A67="","",'SUIVI_ANNUEL'!H47)</x:f>
      </x:c>
      <x:c r="H67" s="28" t="str">
        <x:f>IF(A67="","",'SUIVI_ANNUEL'!I47)</x:f>
      </x:c>
      <x:c r="I67" s="47" t="str">
        <x:f>IF(A67="","",'SUIVI_ANNUEL'!J47)</x:f>
      </x:c>
    </x:row>
    <x:row r="68">
      <x:c r="A68" s="19" t="str">
        <x:f>IF('SUIVI_ANNUEL'!A48="","",'SUIVI_ANNUEL'!A48)</x:f>
      </x:c>
      <x:c r="B68" s="20" t="str">
        <x:f>IF('SUIVI_ANNUEL'!B48="","",'SUIVI_ANNUEL'!B48)</x:f>
      </x:c>
      <x:c r="C68" s="20" t="str">
        <x:f>IF('SUIVI_ANNUEL'!C48="","",'SUIVI_ANNUEL'!C48)</x:f>
      </x:c>
      <x:c r="D68" s="20" t="str">
        <x:f>IF('SUIVI_ANNUEL'!D48="","",'SUIVI_ANNUEL'!D48)</x:f>
      </x:c>
      <x:c r="E68" s="28" t="str">
        <x:f>IF(A68="","",'SUIVI_ANNUEL'!F48)</x:f>
      </x:c>
      <x:c r="F68" s="28" t="str">
        <x:f>IF(A68="","",'SUIVI_ANNUEL'!G48)</x:f>
      </x:c>
      <x:c r="G68" s="28" t="str">
        <x:f>IF(A68="","",'SUIVI_ANNUEL'!H48)</x:f>
      </x:c>
      <x:c r="H68" s="28" t="str">
        <x:f>IF(A68="","",'SUIVI_ANNUEL'!I48)</x:f>
      </x:c>
      <x:c r="I68" s="47" t="str">
        <x:f>IF(A68="","",'SUIVI_ANNUEL'!J48)</x:f>
      </x:c>
    </x:row>
    <x:row r="69">
      <x:c r="A69" s="19" t="str">
        <x:f>IF('SUIVI_ANNUEL'!A49="","",'SUIVI_ANNUEL'!A49)</x:f>
      </x:c>
      <x:c r="B69" s="20" t="str">
        <x:f>IF('SUIVI_ANNUEL'!B49="","",'SUIVI_ANNUEL'!B49)</x:f>
      </x:c>
      <x:c r="C69" s="20" t="str">
        <x:f>IF('SUIVI_ANNUEL'!C49="","",'SUIVI_ANNUEL'!C49)</x:f>
      </x:c>
      <x:c r="D69" s="20" t="str">
        <x:f>IF('SUIVI_ANNUEL'!D49="","",'SUIVI_ANNUEL'!D49)</x:f>
      </x:c>
      <x:c r="E69" s="28" t="str">
        <x:f>IF(A69="","",'SUIVI_ANNUEL'!F49)</x:f>
      </x:c>
      <x:c r="F69" s="28" t="str">
        <x:f>IF(A69="","",'SUIVI_ANNUEL'!G49)</x:f>
      </x:c>
      <x:c r="G69" s="28" t="str">
        <x:f>IF(A69="","",'SUIVI_ANNUEL'!H49)</x:f>
      </x:c>
      <x:c r="H69" s="28" t="str">
        <x:f>IF(A69="","",'SUIVI_ANNUEL'!I49)</x:f>
      </x:c>
      <x:c r="I69" s="47" t="str">
        <x:f>IF(A69="","",'SUIVI_ANNUEL'!J49)</x:f>
      </x:c>
    </x:row>
    <x:row r="70">
      <x:c r="A70" s="19" t="str">
        <x:f>IF('SUIVI_ANNUEL'!A50="","",'SUIVI_ANNUEL'!A50)</x:f>
      </x:c>
      <x:c r="B70" s="20" t="str">
        <x:f>IF('SUIVI_ANNUEL'!B50="","",'SUIVI_ANNUEL'!B50)</x:f>
      </x:c>
      <x:c r="C70" s="20" t="str">
        <x:f>IF('SUIVI_ANNUEL'!C50="","",'SUIVI_ANNUEL'!C50)</x:f>
      </x:c>
      <x:c r="D70" s="20" t="str">
        <x:f>IF('SUIVI_ANNUEL'!D50="","",'SUIVI_ANNUEL'!D50)</x:f>
      </x:c>
      <x:c r="E70" s="28" t="str">
        <x:f>IF(A70="","",'SUIVI_ANNUEL'!F50)</x:f>
      </x:c>
      <x:c r="F70" s="28" t="str">
        <x:f>IF(A70="","",'SUIVI_ANNUEL'!G50)</x:f>
      </x:c>
      <x:c r="G70" s="28" t="str">
        <x:f>IF(A70="","",'SUIVI_ANNUEL'!H50)</x:f>
      </x:c>
      <x:c r="H70" s="28" t="str">
        <x:f>IF(A70="","",'SUIVI_ANNUEL'!I50)</x:f>
      </x:c>
      <x:c r="I70" s="47" t="str">
        <x:f>IF(A70="","",'SUIVI_ANNUEL'!J50)</x:f>
      </x:c>
    </x:row>
    <x:row r="71">
      <x:c r="A71" s="19" t="str">
        <x:f>IF('SUIVI_ANNUEL'!A51="","",'SUIVI_ANNUEL'!A51)</x:f>
      </x:c>
      <x:c r="B71" s="20" t="str">
        <x:f>IF('SUIVI_ANNUEL'!B51="","",'SUIVI_ANNUEL'!B51)</x:f>
      </x:c>
      <x:c r="C71" s="20" t="str">
        <x:f>IF('SUIVI_ANNUEL'!C51="","",'SUIVI_ANNUEL'!C51)</x:f>
      </x:c>
      <x:c r="D71" s="20" t="str">
        <x:f>IF('SUIVI_ANNUEL'!D51="","",'SUIVI_ANNUEL'!D51)</x:f>
      </x:c>
      <x:c r="E71" s="28" t="str">
        <x:f>IF(A71="","",'SUIVI_ANNUEL'!F51)</x:f>
      </x:c>
      <x:c r="F71" s="28" t="str">
        <x:f>IF(A71="","",'SUIVI_ANNUEL'!G51)</x:f>
      </x:c>
      <x:c r="G71" s="28" t="str">
        <x:f>IF(A71="","",'SUIVI_ANNUEL'!H51)</x:f>
      </x:c>
      <x:c r="H71" s="28" t="str">
        <x:f>IF(A71="","",'SUIVI_ANNUEL'!I51)</x:f>
      </x:c>
      <x:c r="I71" s="47" t="str">
        <x:f>IF(A71="","",'SUIVI_ANNUEL'!J51)</x:f>
      </x:c>
    </x:row>
    <x:row r="72">
      <x:c r="A72" s="19" t="str">
        <x:f>IF('SUIVI_ANNUEL'!A52="","",'SUIVI_ANNUEL'!A52)</x:f>
      </x:c>
      <x:c r="B72" s="20" t="str">
        <x:f>IF('SUIVI_ANNUEL'!B52="","",'SUIVI_ANNUEL'!B52)</x:f>
      </x:c>
      <x:c r="C72" s="20" t="str">
        <x:f>IF('SUIVI_ANNUEL'!C52="","",'SUIVI_ANNUEL'!C52)</x:f>
      </x:c>
      <x:c r="D72" s="20" t="str">
        <x:f>IF('SUIVI_ANNUEL'!D52="","",'SUIVI_ANNUEL'!D52)</x:f>
      </x:c>
      <x:c r="E72" s="28" t="str">
        <x:f>IF(A72="","",'SUIVI_ANNUEL'!F52)</x:f>
      </x:c>
      <x:c r="F72" s="28" t="str">
        <x:f>IF(A72="","",'SUIVI_ANNUEL'!G52)</x:f>
      </x:c>
      <x:c r="G72" s="28" t="str">
        <x:f>IF(A72="","",'SUIVI_ANNUEL'!H52)</x:f>
      </x:c>
      <x:c r="H72" s="28" t="str">
        <x:f>IF(A72="","",'SUIVI_ANNUEL'!I52)</x:f>
      </x:c>
      <x:c r="I72" s="47" t="str">
        <x:f>IF(A72="","",'SUIVI_ANNUEL'!J52)</x:f>
      </x:c>
    </x:row>
    <x:row r="73">
      <x:c r="A73" s="22" t="str">
        <x:f>IF('SUIVI_ANNUEL'!A53="","",'SUIVI_ANNUEL'!A53)</x:f>
      </x:c>
      <x:c r="B73" s="23" t="str">
        <x:f>IF('SUIVI_ANNUEL'!B53="","",'SUIVI_ANNUEL'!B53)</x:f>
      </x:c>
      <x:c r="C73" s="23" t="str">
        <x:f>IF('SUIVI_ANNUEL'!C53="","",'SUIVI_ANNUEL'!C53)</x:f>
      </x:c>
      <x:c r="D73" s="23" t="str">
        <x:f>IF('SUIVI_ANNUEL'!D53="","",'SUIVI_ANNUEL'!D53)</x:f>
      </x:c>
      <x:c r="E73" s="30" t="str">
        <x:f>IF(A73="","",'SUIVI_ANNUEL'!F53)</x:f>
      </x:c>
      <x:c r="F73" s="30" t="str">
        <x:f>IF(A73="","",'SUIVI_ANNUEL'!G53)</x:f>
      </x:c>
      <x:c r="G73" s="30" t="str">
        <x:f>IF(A73="","",'SUIVI_ANNUEL'!H53)</x:f>
      </x:c>
      <x:c r="H73" s="30" t="str">
        <x:f>IF(A73="","",'SUIVI_ANNUEL'!I53)</x:f>
      </x:c>
      <x:c r="I73" s="48" t="str">
        <x:f>IF(A73="","",'SUIVI_ANNUEL'!J53)</x:f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f9dfda17a2d488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4.4399995803833" hidden="0" customWidth="1"/>
    <x:col min="3" max="3" width="13.329999923706055" hidden="0" customWidth="1"/>
    <x:col min="4" max="4" width="11.109999656677246" hidden="0" customWidth="1"/>
    <x:col min="5" max="5" width="15.5600004196167" hidden="0" customWidth="1"/>
    <x:col min="6" max="6" width="18.889999389648438" hidden="0" customWidth="1"/>
    <x:col min="7" max="7" width="28.889999389648438" hidden="0" customWidth="1"/>
    <x:col min="8" max="8" width="8.890000343322754" hidden="0" customWidth="1"/>
    <x:col min="9" max="9" width="14.4399995803833" hidden="0" customWidth="1"/>
  </x:cols>
  <x:sheetData>
    <x:row r="1">
      <x:c r="A1" s="4" t="str">
        <x:v>Modèle de compte rendu événement</x:v>
      </x:c>
      <x:c r="B1" s="4" t="str">
        <x:v>Modèle de compte rendu événement</x:v>
      </x:c>
      <x:c r="C1" s="4" t="str">
        <x:v>Modèle de compte rendu événement</x:v>
      </x:c>
      <x:c r="D1" s="4" t="str">
        <x:v>Modèle de compte rendu événement</x:v>
      </x:c>
      <x:c r="E1" s="4" t="str">
        <x:v>Modèle de compte rendu événement</x:v>
      </x:c>
      <x:c r="F1" s="4" t="str">
        <x:v>Modèle de compte rendu événement</x:v>
      </x:c>
      <x:c r="G1" s="4" t="str">
        <x:v>Modèle de compte rendu événement</x:v>
      </x:c>
      <x:c r="H1" s="4" t="str">
        <x:v>Modèle de compte rendu événement</x:v>
      </x:c>
      <x:c r="I1" s="4" t="str">
        <x:v>Modèle de compte rendu événement</x:v>
      </x:c>
    </x:row>
    <x:row r="3">
      <x:c r="A3" t="str">
        <x:v>Le script génère une feuille CR_ par événement depuis les réponses. Cette page donne le format attendu pour le compte rendu.</x:v>
      </x:c>
      <x:c r="B3" t="str">
        <x:v>Le script génère une feuille CR_ par événement depuis les réponses. Cette page donne le format attendu pour le compte rendu.</x:v>
      </x:c>
      <x:c r="C3" t="str">
        <x:v>Le script génère une feuille CR_ par événement depuis les réponses. Cette page donne le format attendu pour le compte rendu.</x:v>
      </x:c>
      <x:c r="D3" t="str">
        <x:v>Le script génère une feuille CR_ par événement depuis les réponses. Cette page donne le format attendu pour le compte rendu.</x:v>
      </x:c>
      <x:c r="E3" t="str">
        <x:v>Le script génère une feuille CR_ par événement depuis les réponses. Cette page donne le format attendu pour le compte rendu.</x:v>
      </x:c>
      <x:c r="F3" t="str">
        <x:v>Le script génère une feuille CR_ par événement depuis les réponses. Cette page donne le format attendu pour le compte rendu.</x:v>
      </x:c>
      <x:c r="G3" t="str">
        <x:v>Le script génère une feuille CR_ par événement depuis les réponses. Cette page donne le format attendu pour le compte rendu.</x:v>
      </x:c>
      <x:c r="H3" t="str">
        <x:v>Le script génère une feuille CR_ par événement depuis les réponses. Cette page donne le format attendu pour le compte rendu.</x:v>
      </x:c>
      <x:c r="I3" t="str">
        <x:v>Le script génère une feuille CR_ par événement depuis les réponses. Cette page donne le format attendu pour le compte rendu.</x:v>
      </x:c>
    </x:row>
    <x:row r="5">
      <x:c r="A5" s="37" t="str">
        <x:v>Présents</x:v>
      </x:c>
      <x:c r="B5" t="str"/>
    </x:row>
    <x:row r="6">
      <x:c r="A6" s="38" t="str">
        <x:v>Absents excusés</x:v>
      </x:c>
      <x:c r="B6" t="str"/>
    </x:row>
    <x:row r="7">
      <x:c r="A7" s="38" t="str">
        <x:v>Sans réponse</x:v>
      </x:c>
      <x:c r="B7" t="str"/>
    </x:row>
    <x:row r="8">
      <x:c r="A8" s="38" t="str">
        <x:v>Disponibles pour aider</x:v>
      </x:c>
      <x:c r="B8" t="str"/>
    </x:row>
    <x:row r="9">
      <x:c r="A9" s="39" t="str">
        <x:v>Total suivi</x:v>
      </x:c>
      <x:c r="B9" t="str"/>
    </x:row>
    <x:row r="11">
      <x:c r="A11" s="16" t="str">
        <x:v>Nom</x:v>
      </x:c>
      <x:c r="B11" s="17" t="str">
        <x:v>Prénom</x:v>
      </x:c>
      <x:c r="C11" s="17" t="str">
        <x:v>Statut</x:v>
      </x:c>
      <x:c r="D11" s="17" t="str">
        <x:v>Cayenne</x:v>
      </x:c>
      <x:c r="E11" s="17" t="str">
        <x:v>Réponse</x:v>
      </x:c>
      <x:c r="F11" s="17" t="str">
        <x:v>Cause</x:v>
      </x:c>
      <x:c r="G11" s="17" t="str">
        <x:v>Précision</x:v>
      </x:c>
      <x:c r="H11" s="17" t="str">
        <x:v>Aide</x:v>
      </x:c>
      <x:c r="I11" s="18" t="str">
        <x:v>Horaire</x:v>
      </x:c>
    </x:row>
    <x:row r="12">
      <x:c r="A12" s="19" t="str">
        <x:v>Dupont</x:v>
      </x:c>
      <x:c r="B12" s="20" t="str">
        <x:v>Jean</x:v>
      </x:c>
      <x:c r="C12" s="20" t="str">
        <x:v>Compagnon</x:v>
      </x:c>
      <x:c r="D12" s="20" t="str">
        <x:v>Paris</x:v>
      </x:c>
      <x:c r="E12" s="49" t="str">
        <x:v>Présent</x:v>
      </x:c>
      <x:c r="F12" s="20" t="str"/>
      <x:c r="G12" s="20" t="str"/>
      <x:c r="H12" s="20" t="str">
        <x:v>Oui</x:v>
      </x:c>
      <x:c r="I12" s="21" t="str">
        <x:v>14:00 - 18:00</x:v>
      </x:c>
    </x:row>
    <x:row r="13">
      <x:c r="A13" s="19" t="str">
        <x:v>Martin</x:v>
      </x:c>
      <x:c r="B13" s="20" t="str">
        <x:v>Paul</x:v>
      </x:c>
      <x:c r="C13" s="20" t="str">
        <x:v>Aspirant</x:v>
      </x:c>
      <x:c r="D13" s="20" t="str">
        <x:v>Paris</x:v>
      </x:c>
      <x:c r="E13" s="49" t="str">
        <x:v>Absent excusé</x:v>
      </x:c>
      <x:c r="F13" s="20" t="str">
        <x:v>Travail</x:v>
      </x:c>
      <x:c r="G13" s="20" t="str">
        <x:v>Service du soir</x:v>
      </x:c>
      <x:c r="H13" s="20" t="str">
        <x:v>Non</x:v>
      </x:c>
      <x:c r="I13" s="21" t="str"/>
    </x:row>
    <x:row r="14">
      <x:c r="A14" s="22" t="str">
        <x:v>Durand</x:v>
      </x:c>
      <x:c r="B14" s="23" t="str">
        <x:v>Claire</x:v>
      </x:c>
      <x:c r="C14" s="23" t="str">
        <x:v>Sociétaire</x:v>
      </x:c>
      <x:c r="D14" s="23" t="str">
        <x:v>Autre</x:v>
      </x:c>
      <x:c r="E14" s="50" t="str">
        <x:v>Sans réponse</x:v>
      </x:c>
      <x:c r="F14" s="23" t="str"/>
      <x:c r="G14" s="23" t="str"/>
      <x:c r="H14" s="23" t="str">
        <x:v>Non</x:v>
      </x:c>
      <x:c r="I14" s="24" t="str"/>
    </x:row>
  </x:sheetData>
  <x:mergeCells>
    <x:mergeCell ref="A1:I1"/>
    <x:mergeCell ref="A3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00" hidden="0" customWidth="1"/>
    <x:col min="3" max="3" width="13.329999923706055" hidden="0" customWidth="1"/>
  </x:cols>
  <x:sheetData>
    <x:row r="1">
      <x:c r="A1" s="4" t="str">
        <x:v>Code.gs - à copier dans Apps Script</x:v>
      </x:c>
      <x:c r="B1" s="4" t="str">
        <x:v>Code.gs - à copier dans Apps Script</x:v>
      </x:c>
      <x:c r="C1" s="4" t="str">
        <x:v>Code.gs - à copier dans Apps Script</x:v>
      </x:c>
    </x:row>
    <x:row r="3">
      <x:c r="A3" s="10" t="str">
        <x:v>Ligne</x:v>
      </x:c>
      <x:c r="B3" s="11" t="str">
        <x:v>Contenu</x:v>
      </x:c>
      <x:c r="C3" s="12" t="str">
        <x:v>Note</x:v>
      </x:c>
    </x:row>
    <x:row r="4">
      <x:c r="A4" s="28" t="n">
        <x:v>1</x:v>
      </x:c>
      <x:c r="B4" s="52" t="str">
        <x:v>const UC_APP = {</x:v>
      </x:c>
      <x:c r="C4" t="str"/>
    </x:row>
    <x:row r="5">
      <x:c r="A5" s="28" t="n">
        <x:v>2</x:v>
      </x:c>
      <x:c r="B5" s="52" t="str">
        <x:v>  sheets: {</x:v>
      </x:c>
      <x:c r="C5" t="str"/>
    </x:row>
    <x:row r="6">
      <x:c r="A6" s="28" t="n">
        <x:v>3</x:v>
      </x:c>
      <x:c r="B6" s="52" t="str">
        <x:v>    parametres: 'PARAMETRES',</x:v>
      </x:c>
      <x:c r="C6" t="str"/>
    </x:row>
    <x:row r="7">
      <x:c r="A7" s="28" t="n">
        <x:v>4</x:v>
      </x:c>
      <x:c r="B7" s="52" t="str">
        <x:v>    membres: 'MEMBRES',</x:v>
      </x:c>
      <x:c r="C7" t="str"/>
    </x:row>
    <x:row r="8">
      <x:c r="A8" s="28" t="n">
        <x:v>5</x:v>
      </x:c>
      <x:c r="B8" s="52" t="str">
        <x:v>    calendrier: 'CALENDRIER',</x:v>
      </x:c>
      <x:c r="C8" t="str"/>
    </x:row>
    <x:row r="9">
      <x:c r="A9" s="28" t="n">
        <x:v>6</x:v>
      </x:c>
      <x:c r="B9" s="52" t="str">
        <x:v>    reponses: 'REPONSES',</x:v>
      </x:c>
      <x:c r="C9" t="str"/>
    </x:row>
    <x:row r="10">
      <x:c r="A10" s="28" t="n">
        <x:v>7</x:v>
      </x:c>
      <x:c r="B10" s="52" t="str">
        <x:v>    suivi: 'SUIVI_ANNUEL',</x:v>
      </x:c>
      <x:c r="C10" t="str"/>
    </x:row>
    <x:row r="11">
      <x:c r="A11" s="28" t="n">
        <x:v>8</x:v>
      </x:c>
      <x:c r="B11" s="52" t="str">
        <x:v>    dashboard: 'DASHBOARD',</x:v>
      </x:c>
      <x:c r="C11" t="str"/>
    </x:row>
    <x:row r="12">
      <x:c r="A12" s="28" t="n">
        <x:v>9</x:v>
      </x:c>
      <x:c r="B12" s="52" t="str">
        <x:v>    modeleCr: 'MODELE_CR_EVENEMENT'</x:v>
      </x:c>
      <x:c r="C12" t="str"/>
    </x:row>
    <x:row r="13">
      <x:c r="A13" s="28" t="n">
        <x:v>10</x:v>
      </x:c>
      <x:c r="B13" s="52" t="str">
        <x:v>  },</x:v>
      </x:c>
      <x:c r="C13" t="str"/>
    </x:row>
    <x:row r="14">
      <x:c r="A14" s="28" t="n">
        <x:v>11</x:v>
      </x:c>
      <x:c r="B14" s="52" t="str">
        <x:v>  headers: {</x:v>
      </x:c>
      <x:c r="C14" t="str"/>
    </x:row>
    <x:row r="15">
      <x:c r="A15" s="28" t="n">
        <x:v>12</x:v>
      </x:c>
      <x:c r="B15" s="52" t="str">
        <x:v>    membres: ['Nom', 'Prenom', 'Statut', 'Cayenne', 'Email', 'Telephone', 'Actif', 'Notes'],</x:v>
      </x:c>
      <x:c r="C15" t="str"/>
    </x:row>
    <x:row r="16">
      <x:c r="A16" s="28" t="n">
        <x:v>13</x:v>
      </x:c>
      <x:c r="B16" s="52" t="str">
        <x:v>    calendrier: ['ID_Evenement', 'Annee', 'Date', 'Titre', 'Type_Evenement', 'Heure_Debut', 'Heure_Fin', 'Lieu', 'Cayenne', 'Categorie_CR', 'Actif', 'Commentaire'],</x:v>
      </x:c>
      <x:c r="C16" t="str"/>
    </x:row>
    <x:row r="17">
      <x:c r="A17" s="28" t="n">
        <x:v>14</x:v>
      </x:c>
      <x:c r="B17" s="52" t="str">
        <x:v>    reponses: ['ID_Reponse', 'Horodatage', 'Source', 'Annee', 'ID_Evenement', 'Date_Evenement', 'Titre_Evenement', 'Type_Evenement', 'Nom', 'Prenom', 'Email', 'Telephone', 'Statut', 'Cayenne', 'Reponse', 'Causes', 'Precision', 'Aide_Disponible', 'Heure_Debut_Aide', 'Heure_Fin_Aide', 'Commentaire', 'Cle_Personne', 'Mois', 'Semaine', 'Feuille_CR']</x:v>
      </x:c>
      <x:c r="C17" t="str"/>
    </x:row>
    <x:row r="18">
      <x:c r="A18" s="28" t="n">
        <x:v>15</x:v>
      </x:c>
      <x:c r="B18" s="52" t="str">
        <x:v>  },</x:v>
      </x:c>
      <x:c r="C18" t="str"/>
    </x:row>
    <x:row r="19">
      <x:c r="A19" s="28" t="n">
        <x:v>16</x:v>
      </x:c>
      <x:c r="B19" s="52" t="str">
        <x:v>  defaults: {</x:v>
      </x:c>
      <x:c r="C19" t="str"/>
    </x:row>
    <x:row r="20">
      <x:c r="A20" s="28" t="n">
        <x:v>17</x:v>
      </x:c>
      <x:c r="B20" s="52" t="str">
        <x:v>    activeYear: 2026,</x:v>
      </x:c>
      <x:c r="C20" t="str"/>
    </x:row>
    <x:row r="21">
      <x:c r="A21" s="28" t="n">
        <x:v>18</x:v>
      </x:c>
      <x:c r="B21" s="52" t="str">
        <x:v>    adminPin: '1234',</x:v>
      </x:c>
      <x:c r="C21" t="str"/>
    </x:row>
    <x:row r="22">
      <x:c r="A22" s="28" t="n">
        <x:v>19</x:v>
      </x:c>
      <x:c r="B22" s="52" t="str">
        <x:v>    statuses: ['Sociétaire', 'Aspirant', 'Compagnon'],</x:v>
      </x:c>
      <x:c r="C22" t="str"/>
    </x:row>
    <x:row r="23">
      <x:c r="A23" s="28" t="n">
        <x:v>20</x:v>
      </x:c>
      <x:c r="B23" s="52" t="str">
        <x:v>    cayennes: ['Paris', 'Autre'],</x:v>
      </x:c>
      <x:c r="C23" t="str"/>
    </x:row>
    <x:row r="24">
      <x:c r="A24" s="28" t="n">
        <x:v>21</x:v>
      </x:c>
      <x:c r="B24" s="52" t="str">
        <x:v>    reponses: ['Présent', 'Absent excusé', 'Disponible pour aider'],</x:v>
      </x:c>
      <x:c r="C24" t="str"/>
    </x:row>
    <x:row r="25">
      <x:c r="A25" s="28" t="n">
        <x:v>22</x:v>
      </x:c>
      <x:c r="B25" s="52" t="str">
        <x:v>    causes: [</x:v>
      </x:c>
      <x:c r="C25" t="str"/>
    </x:row>
    <x:row r="26">
      <x:c r="A26" s="28" t="n">
        <x:v>23</x:v>
      </x:c>
      <x:c r="B26" s="52" t="str">
        <x:v>      'Familiale',</x:v>
      </x:c>
      <x:c r="C26" t="str"/>
    </x:row>
    <x:row r="27">
      <x:c r="A27" s="28" t="n">
        <x:v>24</x:v>
      </x:c>
      <x:c r="B27" s="52" t="str">
        <x:v>      'Travail',</x:v>
      </x:c>
      <x:c r="C27" t="str"/>
    </x:row>
    <x:row r="28">
      <x:c r="A28" s="28" t="n">
        <x:v>25</x:v>
      </x:c>
      <x:c r="B28" s="52" t="str">
        <x:v>      'Engagement compagnonnique ailleurs',</x:v>
      </x:c>
      <x:c r="C28" t="str"/>
    </x:row>
    <x:row r="29">
      <x:c r="A29" s="28" t="n">
        <x:v>26</x:v>
      </x:c>
      <x:c r="B29" s="52" t="str">
        <x:v>      'Maladie',</x:v>
      </x:c>
      <x:c r="C29" t="str"/>
    </x:row>
    <x:row r="30">
      <x:c r="A30" s="28" t="n">
        <x:v>27</x:v>
      </x:c>
      <x:c r="B30" s="52" t="str">
        <x:v>      'Arrêt de travail',</x:v>
      </x:c>
      <x:c r="C30" t="str"/>
    </x:row>
    <x:row r="31">
      <x:c r="A31" s="28" t="n">
        <x:v>28</x:v>
      </x:c>
      <x:c r="B31" s="52" t="str">
        <x:v>      'Vacances',</x:v>
      </x:c>
      <x:c r="C31" t="str"/>
    </x:row>
    <x:row r="32">
      <x:c r="A32" s="28" t="n">
        <x:v>29</x:v>
      </x:c>
      <x:c r="B32" s="52" t="str">
        <x:v>      'Repos',</x:v>
      </x:c>
      <x:c r="C32" t="str"/>
    </x:row>
    <x:row r="33">
      <x:c r="A33" s="28" t="n">
        <x:v>30</x:v>
      </x:c>
      <x:c r="B33" s="52" t="str">
        <x:v>      'Trop d’engagements / je fais un break'</x:v>
      </x:c>
      <x:c r="C33" t="str"/>
    </x:row>
    <x:row r="34">
      <x:c r="A34" s="28" t="n">
        <x:v>31</x:v>
      </x:c>
      <x:c r="B34" s="52" t="str">
        <x:v>    ],</x:v>
      </x:c>
      <x:c r="C34" t="str"/>
    </x:row>
    <x:row r="35">
      <x:c r="A35" s="28" t="n">
        <x:v>32</x:v>
      </x:c>
      <x:c r="B35" s="52" t="str">
        <x:v>    eventTypes: [</x:v>
      </x:c>
      <x:c r="C35" t="str"/>
    </x:row>
    <x:row r="36">
      <x:c r="A36" s="28" t="n">
        <x:v>33</x:v>
      </x:c>
      <x:c r="B36" s="52" t="str">
        <x:v>      'Réunion des jeunes',</x:v>
      </x:c>
      <x:c r="C36" t="str"/>
    </x:row>
    <x:row r="37">
      <x:c r="A37" s="28" t="n">
        <x:v>34</x:v>
      </x:c>
      <x:c r="B37" s="52" t="str">
        <x:v>      'Réunion compagnon',</x:v>
      </x:c>
      <x:c r="C37" t="str"/>
    </x:row>
    <x:row r="38">
      <x:c r="A38" s="28" t="n">
        <x:v>35</x:v>
      </x:c>
      <x:c r="B38" s="52" t="str">
        <x:v>      'Cours en Cayenne',</x:v>
      </x:c>
      <x:c r="C38" t="str"/>
    </x:row>
    <x:row r="39">
      <x:c r="A39" s="28" t="n">
        <x:v>36</x:v>
      </x:c>
      <x:c r="B39" s="52" t="str">
        <x:v>      'Fête de juin',</x:v>
      </x:c>
      <x:c r="C39" t="str"/>
    </x:row>
    <x:row r="40">
      <x:c r="A40" s="28" t="n">
        <x:v>37</x:v>
      </x:c>
      <x:c r="B40" s="52" t="str">
        <x:v>      'Fête de novembre',</x:v>
      </x:c>
      <x:c r="C40" t="str"/>
    </x:row>
    <x:row r="41">
      <x:c r="A41" s="28" t="n">
        <x:v>38</x:v>
      </x:c>
      <x:c r="B41" s="52" t="str">
        <x:v>      'JEP',</x:v>
      </x:c>
      <x:c r="C41" t="str"/>
    </x:row>
    <x:row r="42">
      <x:c r="A42" s="28" t="n">
        <x:v>39</x:v>
      </x:c>
      <x:c r="B42" s="52" t="str">
        <x:v>      'Autre'</x:v>
      </x:c>
      <x:c r="C42" t="str"/>
    </x:row>
    <x:row r="43">
      <x:c r="A43" s="28" t="n">
        <x:v>40</x:v>
      </x:c>
      <x:c r="B43" s="52" t="str">
        <x:v>    ]</x:v>
      </x:c>
      <x:c r="C43" t="str"/>
    </x:row>
    <x:row r="44">
      <x:c r="A44" s="28" t="n">
        <x:v>41</x:v>
      </x:c>
      <x:c r="B44" s="52" t="str">
        <x:v>  }</x:v>
      </x:c>
      <x:c r="C44" t="str"/>
    </x:row>
    <x:row r="45">
      <x:c r="A45" s="28" t="n">
        <x:v>42</x:v>
      </x:c>
      <x:c r="B45" s="52" t="str">
        <x:v>};</x:v>
      </x:c>
      <x:c r="C45" t="str"/>
    </x:row>
    <x:row r="46">
      <x:c r="A46" s="28" t="n">
        <x:v>43</x:v>
      </x:c>
      <x:c r="B46" s="52" t="str"/>
      <x:c r="C46" t="str"/>
    </x:row>
    <x:row r="47">
      <x:c r="A47" s="28" t="n">
        <x:v>44</x:v>
      </x:c>
      <x:c r="B47" s="52" t="str">
        <x:v>function onOpen() {</x:v>
      </x:c>
      <x:c r="C47" t="str"/>
    </x:row>
    <x:row r="48">
      <x:c r="A48" s="28" t="n">
        <x:v>45</x:v>
      </x:c>
      <x:c r="B48" s="52" t="str">
        <x:v>  SpreadsheetApp.getUi()</x:v>
      </x:c>
      <x:c r="C48" t="str"/>
    </x:row>
    <x:row r="49">
      <x:c r="A49" s="28" t="n">
        <x:v>46</x:v>
      </x:c>
      <x:c r="B49" s="52" t="str">
        <x:v>    .createMenu('Présences UC')</x:v>
      </x:c>
      <x:c r="C49" t="str"/>
    </x:row>
    <x:row r="50">
      <x:c r="A50" s="28" t="n">
        <x:v>47</x:v>
      </x:c>
      <x:c r="B50" s="52" t="str">
        <x:v>    .addItem('Installer / réparer le classeur', 'setupSystem')</x:v>
      </x:c>
      <x:c r="C50" t="str"/>
    </x:row>
    <x:row r="51">
      <x:c r="A51" s="28" t="n">
        <x:v>48</x:v>
      </x:c>
      <x:c r="B51" s="52" t="str">
        <x:v>    .addItem('Actualiser le dashboard', 'refreshDashboardSheet')</x:v>
      </x:c>
      <x:c r="C51" t="str"/>
    </x:row>
    <x:row r="52">
      <x:c r="A52" s="28" t="n">
        <x:v>49</x:v>
      </x:c>
      <x:c r="B52" s="52" t="str">
        <x:v>    .addItem('Générer les feuilles événement', 'generateAllEventSheetsForActiveYear')</x:v>
      </x:c>
      <x:c r="C52" t="str"/>
    </x:row>
    <x:row r="53">
      <x:c r="A53" s="28" t="n">
        <x:v>50</x:v>
      </x:c>
      <x:c r="B53" s="52" t="str">
        <x:v>    .addItem('Exporter la feuille active en PDF', 'exportActiveSheetPdf')</x:v>
      </x:c>
      <x:c r="C53" t="str"/>
    </x:row>
    <x:row r="54">
      <x:c r="A54" s="28" t="n">
        <x:v>51</x:v>
      </x:c>
      <x:c r="B54" s="52" t="str">
        <x:v>    .addToUi();</x:v>
      </x:c>
      <x:c r="C54" t="str"/>
    </x:row>
    <x:row r="55">
      <x:c r="A55" s="28" t="n">
        <x:v>52</x:v>
      </x:c>
      <x:c r="B55" s="52" t="str">
        <x:v>}</x:v>
      </x:c>
      <x:c r="C55" t="str"/>
    </x:row>
    <x:row r="56">
      <x:c r="A56" s="28" t="n">
        <x:v>53</x:v>
      </x:c>
      <x:c r="B56" s="52" t="str"/>
      <x:c r="C56" t="str"/>
    </x:row>
    <x:row r="57">
      <x:c r="A57" s="28" t="n">
        <x:v>54</x:v>
      </x:c>
      <x:c r="B57" s="52" t="str">
        <x:v>function doGet() {</x:v>
      </x:c>
      <x:c r="C57" t="str"/>
    </x:row>
    <x:row r="58">
      <x:c r="A58" s="28" t="n">
        <x:v>55</x:v>
      </x:c>
      <x:c r="B58" s="52" t="str">
        <x:v>  return HtmlService</x:v>
      </x:c>
      <x:c r="C58" t="str"/>
    </x:row>
    <x:row r="59">
      <x:c r="A59" s="28" t="n">
        <x:v>56</x:v>
      </x:c>
      <x:c r="B59" s="52" t="str">
        <x:v>    .createTemplateFromFile('Index')</x:v>
      </x:c>
      <x:c r="C59" t="str"/>
    </x:row>
    <x:row r="60">
      <x:c r="A60" s="28" t="n">
        <x:v>57</x:v>
      </x:c>
      <x:c r="B60" s="52" t="str">
        <x:v>    .evaluate()</x:v>
      </x:c>
      <x:c r="C60" t="str"/>
    </x:row>
    <x:row r="61">
      <x:c r="A61" s="28" t="n">
        <x:v>58</x:v>
      </x:c>
      <x:c r="B61" s="52" t="str">
        <x:v>    .setTitle('Présences Cayenne de Paris')</x:v>
      </x:c>
      <x:c r="C61" t="str"/>
    </x:row>
    <x:row r="62">
      <x:c r="A62" s="28" t="n">
        <x:v>59</x:v>
      </x:c>
      <x:c r="B62" s="52" t="str">
        <x:v>    .setXFrameOptionsMode(HtmlService.XFrameOptionsMode.ALLOWALL);</x:v>
      </x:c>
      <x:c r="C62" t="str"/>
    </x:row>
    <x:row r="63">
      <x:c r="A63" s="28" t="n">
        <x:v>60</x:v>
      </x:c>
      <x:c r="B63" s="52" t="str">
        <x:v>}</x:v>
      </x:c>
      <x:c r="C63" t="str"/>
    </x:row>
    <x:row r="64">
      <x:c r="A64" s="28" t="n">
        <x:v>61</x:v>
      </x:c>
      <x:c r="B64" s="52" t="str"/>
      <x:c r="C64" t="str"/>
    </x:row>
    <x:row r="65">
      <x:c r="A65" s="28" t="n">
        <x:v>62</x:v>
      </x:c>
      <x:c r="B65" s="52" t="str">
        <x:v>function include(filename) {</x:v>
      </x:c>
      <x:c r="C65" t="str"/>
    </x:row>
    <x:row r="66">
      <x:c r="A66" s="28" t="n">
        <x:v>63</x:v>
      </x:c>
      <x:c r="B66" s="52" t="str">
        <x:v>  return HtmlService.createHtmlOutputFromFile(filename).getContent();</x:v>
      </x:c>
      <x:c r="C66" t="str"/>
    </x:row>
    <x:row r="67">
      <x:c r="A67" s="28" t="n">
        <x:v>64</x:v>
      </x:c>
      <x:c r="B67" s="52" t="str">
        <x:v>}</x:v>
      </x:c>
      <x:c r="C67" t="str"/>
    </x:row>
    <x:row r="68">
      <x:c r="A68" s="28" t="n">
        <x:v>65</x:v>
      </x:c>
      <x:c r="B68" s="52" t="str"/>
      <x:c r="C68" t="str"/>
    </x:row>
    <x:row r="69">
      <x:c r="A69" s="28" t="n">
        <x:v>66</x:v>
      </x:c>
      <x:c r="B69" s="52" t="str">
        <x:v>function setupSystem() {</x:v>
      </x:c>
      <x:c r="C69" t="str"/>
    </x:row>
    <x:row r="70">
      <x:c r="A70" s="28" t="n">
        <x:v>67</x:v>
      </x:c>
      <x:c r="B70" s="52" t="str">
        <x:v>  const ss = SpreadsheetApp.getActive();</x:v>
      </x:c>
      <x:c r="C70" t="str"/>
    </x:row>
    <x:row r="71">
      <x:c r="A71" s="28" t="n">
        <x:v>68</x:v>
      </x:c>
      <x:c r="B71" s="52" t="str">
        <x:v>  ensureSheet_(ss, UC_APP.sheets.parametres);</x:v>
      </x:c>
      <x:c r="C71" t="str"/>
    </x:row>
    <x:row r="72">
      <x:c r="A72" s="28" t="n">
        <x:v>69</x:v>
      </x:c>
      <x:c r="B72" s="52" t="str">
        <x:v>  ensureSheet_(ss, UC_APP.sheets.membres);</x:v>
      </x:c>
      <x:c r="C72" t="str"/>
    </x:row>
    <x:row r="73">
      <x:c r="A73" s="28" t="n">
        <x:v>70</x:v>
      </x:c>
      <x:c r="B73" s="52" t="str">
        <x:v>  ensureSheet_(ss, UC_APP.sheets.calendrier);</x:v>
      </x:c>
      <x:c r="C73" t="str"/>
    </x:row>
    <x:row r="74">
      <x:c r="A74" s="28" t="n">
        <x:v>71</x:v>
      </x:c>
      <x:c r="B74" s="52" t="str">
        <x:v>  ensureSheet_(ss, UC_APP.sheets.reponses);</x:v>
      </x:c>
      <x:c r="C74" t="str"/>
    </x:row>
    <x:row r="75">
      <x:c r="A75" s="28" t="n">
        <x:v>72</x:v>
      </x:c>
      <x:c r="B75" s="52" t="str">
        <x:v>  ensureSheet_(ss, UC_APP.sheets.suivi);</x:v>
      </x:c>
      <x:c r="C75" t="str"/>
    </x:row>
    <x:row r="76">
      <x:c r="A76" s="28" t="n">
        <x:v>73</x:v>
      </x:c>
      <x:c r="B76" s="52" t="str">
        <x:v>  ensureSheet_(ss, UC_APP.sheets.dashboard);</x:v>
      </x:c>
      <x:c r="C76" t="str"/>
    </x:row>
    <x:row r="77">
      <x:c r="A77" s="28" t="n">
        <x:v>74</x:v>
      </x:c>
      <x:c r="B77" s="52" t="str">
        <x:v>  ensureSheet_(ss, UC_APP.sheets.modeleCr);</x:v>
      </x:c>
      <x:c r="C77" t="str"/>
    </x:row>
    <x:row r="78">
      <x:c r="A78" s="28" t="n">
        <x:v>75</x:v>
      </x:c>
      <x:c r="B78" s="52" t="str"/>
      <x:c r="C78" t="str"/>
    </x:row>
    <x:row r="79">
      <x:c r="A79" s="28" t="n">
        <x:v>76</x:v>
      </x:c>
      <x:c r="B79" s="52" t="str">
        <x:v>  setupParametres_(ss.getSheetByName(UC_APP.sheets.parametres));</x:v>
      </x:c>
      <x:c r="C79" t="str"/>
    </x:row>
    <x:row r="80">
      <x:c r="A80" s="28" t="n">
        <x:v>77</x:v>
      </x:c>
      <x:c r="B80" s="52" t="str">
        <x:v>  setupTable_(ss.getSheetByName(UC_APP.sheets.membres), UC_APP.headers.membres);</x:v>
      </x:c>
      <x:c r="C80" t="str"/>
    </x:row>
    <x:row r="81">
      <x:c r="A81" s="28" t="n">
        <x:v>78</x:v>
      </x:c>
      <x:c r="B81" s="52" t="str">
        <x:v>  setupTable_(ss.getSheetByName(UC_APP.sheets.calendrier), UC_APP.headers.calendrier);</x:v>
      </x:c>
      <x:c r="C81" t="str"/>
    </x:row>
    <x:row r="82">
      <x:c r="A82" s="28" t="n">
        <x:v>79</x:v>
      </x:c>
      <x:c r="B82" s="52" t="str">
        <x:v>  setupTable_(ss.getSheetByName(UC_APP.sheets.reponses), UC_APP.headers.reponses);</x:v>
      </x:c>
      <x:c r="C82" t="str"/>
    </x:row>
    <x:row r="83">
      <x:c r="A83" s="28" t="n">
        <x:v>80</x:v>
      </x:c>
      <x:c r="B83" s="52" t="str">
        <x:v>  seedCalendar_(ss.getSheetByName(UC_APP.sheets.calendrier));</x:v>
      </x:c>
      <x:c r="C83" t="str"/>
    </x:row>
    <x:row r="84">
      <x:c r="A84" s="28" t="n">
        <x:v>81</x:v>
      </x:c>
      <x:c r="B84" s="52" t="str">
        <x:v>  setupSuiviSheet_(ss.getSheetByName(UC_APP.sheets.suivi));</x:v>
      </x:c>
      <x:c r="C84" t="str"/>
    </x:row>
    <x:row r="85">
      <x:c r="A85" s="28" t="n">
        <x:v>82</x:v>
      </x:c>
      <x:c r="B85" s="52" t="str">
        <x:v>  refreshDashboardSheet();</x:v>
      </x:c>
      <x:c r="C85" t="str"/>
    </x:row>
    <x:row r="86">
      <x:c r="A86" s="28" t="n">
        <x:v>83</x:v>
      </x:c>
      <x:c r="B86" s="52" t="str">
        <x:v>  setupModeleCr_(ss.getSheetByName(UC_APP.sheets.modeleCr));</x:v>
      </x:c>
      <x:c r="C86" t="str"/>
    </x:row>
    <x:row r="87">
      <x:c r="A87" s="28" t="n">
        <x:v>84</x:v>
      </x:c>
      <x:c r="B87" s="52" t="str">
        <x:v>  applyValidations_();</x:v>
      </x:c>
      <x:c r="C87" t="str"/>
    </x:row>
    <x:row r="88">
      <x:c r="A88" s="28" t="n">
        <x:v>85</x:v>
      </x:c>
      <x:c r="B88" s="52" t="str">
        <x:v>  const eventSheets = generateAllEventSheets(getSettings_().annee_active);</x:v>
      </x:c>
      <x:c r="C88" t="str"/>
    </x:row>
    <x:row r="89">
      <x:c r="A89" s="28" t="n">
        <x:v>86</x:v>
      </x:c>
      <x:c r="B89" s="52" t="str"/>
      <x:c r="C89" t="str"/>
    </x:row>
    <x:row r="90">
      <x:c r="A90" s="28" t="n">
        <x:v>87</x:v>
      </x:c>
      <x:c r="B90" s="52" t="str">
        <x:v>  return {</x:v>
      </x:c>
      <x:c r="C90" t="str"/>
    </x:row>
    <x:row r="91">
      <x:c r="A91" s="28" t="n">
        <x:v>88</x:v>
      </x:c>
      <x:c r="B91" s="52" t="str">
        <x:v>    ok: true,</x:v>
      </x:c>
      <x:c r="C91" t="str"/>
    </x:row>
    <x:row r="92">
      <x:c r="A92" s="28" t="n">
        <x:v>89</x:v>
      </x:c>
      <x:c r="B92" s="52" t="str">
        <x:v>    message: 'Classeur prêt. ' + eventSheets.length + ' feuille(s) événement générée(s). Complétez MEMBRES et CALENDRIER, puis déployez le formulaire.'</x:v>
      </x:c>
      <x:c r="C92" t="str"/>
    </x:row>
    <x:row r="93">
      <x:c r="A93" s="28" t="n">
        <x:v>90</x:v>
      </x:c>
      <x:c r="B93" s="52" t="str">
        <x:v>  };</x:v>
      </x:c>
      <x:c r="C93" t="str"/>
    </x:row>
    <x:row r="94">
      <x:c r="A94" s="28" t="n">
        <x:v>91</x:v>
      </x:c>
      <x:c r="B94" s="52" t="str">
        <x:v>}</x:v>
      </x:c>
      <x:c r="C94" t="str"/>
    </x:row>
    <x:row r="95">
      <x:c r="A95" s="28" t="n">
        <x:v>92</x:v>
      </x:c>
      <x:c r="B95" s="52" t="str"/>
      <x:c r="C95" t="str"/>
    </x:row>
    <x:row r="96">
      <x:c r="A96" s="28" t="n">
        <x:v>93</x:v>
      </x:c>
      <x:c r="B96" s="52" t="str">
        <x:v>function getPublicConfig() {</x:v>
      </x:c>
      <x:c r="C96" t="str"/>
    </x:row>
    <x:row r="97">
      <x:c r="A97" s="28" t="n">
        <x:v>94</x:v>
      </x:c>
      <x:c r="B97" s="52" t="str">
        <x:v>  setupSystemIfMissing_();</x:v>
      </x:c>
      <x:c r="C97" t="str"/>
    </x:row>
    <x:row r="98">
      <x:c r="A98" s="28" t="n">
        <x:v>95</x:v>
      </x:c>
      <x:c r="B98" s="52" t="str">
        <x:v>  const settings = getSettings_();</x:v>
      </x:c>
      <x:c r="C98" t="str"/>
    </x:row>
    <x:row r="99">
      <x:c r="A99" s="28" t="n">
        <x:v>96</x:v>
      </x:c>
      <x:c r="B99" s="52" t="str">
        <x:v>  const year = Number(settings.annee_active || UC_APP.defaults.activeYear);</x:v>
      </x:c>
      <x:c r="C99" t="str"/>
    </x:row>
    <x:row r="100">
      <x:c r="A100" s="28" t="n">
        <x:v>97</x:v>
      </x:c>
      <x:c r="B100" s="52" t="str">
        <x:v>  return {</x:v>
      </x:c>
      <x:c r="C100" t="str"/>
    </x:row>
    <x:row r="101">
      <x:c r="A101" s="28" t="n">
        <x:v>98</x:v>
      </x:c>
      <x:c r="B101" s="52" t="str">
        <x:v>    activeYear: year,</x:v>
      </x:c>
      <x:c r="C101" t="str"/>
    </x:row>
    <x:row r="102">
      <x:c r="A102" s="28" t="n">
        <x:v>99</x:v>
      </x:c>
      <x:c r="B102" s="52" t="str">
        <x:v>    statuses: getOptionList_('D', UC_APP.defaults.statuses),</x:v>
      </x:c>
      <x:c r="C102" t="str"/>
    </x:row>
    <x:row r="103">
      <x:c r="A103" s="28" t="n">
        <x:v>100</x:v>
      </x:c>
      <x:c r="B103" s="52" t="str">
        <x:v>    cayennes: getOptionList_('E', UC_APP.defaults.cayennes),</x:v>
      </x:c>
      <x:c r="C103" t="str"/>
    </x:row>
    <x:row r="104">
      <x:c r="A104" s="28" t="n">
        <x:v>101</x:v>
      </x:c>
      <x:c r="B104" s="52" t="str">
        <x:v>    responseTypes: getOptionList_('F', UC_APP.defaults.reponses),</x:v>
      </x:c>
      <x:c r="C104" t="str"/>
    </x:row>
    <x:row r="105">
      <x:c r="A105" s="28" t="n">
        <x:v>102</x:v>
      </x:c>
      <x:c r="B105" s="52" t="str">
        <x:v>    causes: getOptionList_('G', UC_APP.defaults.causes),</x:v>
      </x:c>
      <x:c r="C105" t="str"/>
    </x:row>
    <x:row r="106">
      <x:c r="A106" s="28" t="n">
        <x:v>103</x:v>
      </x:c>
      <x:c r="B106" s="52" t="str">
        <x:v>    eventTypes: getOptionList_('H', UC_APP.defaults.eventTypes),</x:v>
      </x:c>
      <x:c r="C106" t="str"/>
    </x:row>
    <x:row r="107">
      <x:c r="A107" s="28" t="n">
        <x:v>104</x:v>
      </x:c>
      <x:c r="B107" s="52" t="str">
        <x:v>    events: getEventsForYear_(year).map(formatEventForClient_)</x:v>
      </x:c>
      <x:c r="C107" t="str"/>
    </x:row>
    <x:row r="108">
      <x:c r="A108" s="28" t="n">
        <x:v>105</x:v>
      </x:c>
      <x:c r="B108" s="52" t="str">
        <x:v>  };</x:v>
      </x:c>
      <x:c r="C108" t="str"/>
    </x:row>
    <x:row r="109">
      <x:c r="A109" s="28" t="n">
        <x:v>106</x:v>
      </x:c>
      <x:c r="B109" s="52" t="str">
        <x:v>}</x:v>
      </x:c>
      <x:c r="C109" t="str"/>
    </x:row>
    <x:row r="110">
      <x:c r="A110" s="28" t="n">
        <x:v>107</x:v>
      </x:c>
      <x:c r="B110" s="52" t="str"/>
      <x:c r="C110" t="str"/>
    </x:row>
    <x:row r="111">
      <x:c r="A111" s="28" t="n">
        <x:v>108</x:v>
      </x:c>
      <x:c r="B111" s="52" t="str">
        <x:v>function submitResponses(payload) {</x:v>
      </x:c>
      <x:c r="C111" t="str"/>
    </x:row>
    <x:row r="112">
      <x:c r="A112" s="28" t="n">
        <x:v>109</x:v>
      </x:c>
      <x:c r="B112" s="52" t="str">
        <x:v>  setupSystemIfMissing_();</x:v>
      </x:c>
      <x:c r="C112" t="str"/>
    </x:row>
    <x:row r="113">
      <x:c r="A113" s="28" t="n">
        <x:v>110</x:v>
      </x:c>
      <x:c r="B113" s="52" t="str">
        <x:v>  payload = payload || {};</x:v>
      </x:c>
      <x:c r="C113" t="str"/>
    </x:row>
    <x:row r="114">
      <x:c r="A114" s="28" t="n">
        <x:v>111</x:v>
      </x:c>
      <x:c r="B114" s="52" t="str"/>
      <x:c r="C114" t="str"/>
    </x:row>
    <x:row r="115">
      <x:c r="A115" s="28" t="n">
        <x:v>112</x:v>
      </x:c>
      <x:c r="B115" s="52" t="str">
        <x:v>  const nom = clean_(payload.nom);</x:v>
      </x:c>
      <x:c r="C115" t="str"/>
    </x:row>
    <x:row r="116">
      <x:c r="A116" s="28" t="n">
        <x:v>113</x:v>
      </x:c>
      <x:c r="B116" s="52" t="str">
        <x:v>  const prenom = clean_(payload.prenom);</x:v>
      </x:c>
      <x:c r="C116" t="str"/>
    </x:row>
    <x:row r="117">
      <x:c r="A117" s="28" t="n">
        <x:v>114</x:v>
      </x:c>
      <x:c r="B117" s="52" t="str">
        <x:v>  const statut = clean_(payload.statut);</x:v>
      </x:c>
      <x:c r="C117" t="str"/>
    </x:row>
    <x:row r="118">
      <x:c r="A118" s="28" t="n">
        <x:v>115</x:v>
      </x:c>
      <x:c r="B118" s="52" t="str">
        <x:v>  const cayenne = clean_(payload.cayenne);</x:v>
      </x:c>
      <x:c r="C118" t="str"/>
    </x:row>
    <x:row r="119">
      <x:c r="A119" s="28" t="n">
        <x:v>116</x:v>
      </x:c>
      <x:c r="B119" s="52" t="str">
        <x:v>  const selectedEventIds = Array.isArray(payload.eventIds) ? payload.eventIds : [];</x:v>
      </x:c>
      <x:c r="C119" t="str"/>
    </x:row>
    <x:row r="120">
      <x:c r="A120" s="28" t="n">
        <x:v>117</x:v>
      </x:c>
      <x:c r="B120" s="52" t="str">
        <x:v>  const responseChoice = clean_(payload.reponse);</x:v>
      </x:c>
      <x:c r="C120" t="str"/>
    </x:row>
    <x:row r="121">
      <x:c r="A121" s="28" t="n">
        <x:v>118</x:v>
      </x:c>
      <x:c r="B121" s="52" t="str"/>
      <x:c r="C121" t="str"/>
    </x:row>
    <x:row r="122">
      <x:c r="A122" s="28" t="n">
        <x:v>119</x:v>
      </x:c>
      <x:c r="B122" s="52" t="str">
        <x:v>  if (!nom || !prenom) throw new Error('Nom et prénom obligatoires.');</x:v>
      </x:c>
      <x:c r="C122" t="str"/>
    </x:row>
    <x:row r="123">
      <x:c r="A123" s="28" t="n">
        <x:v>120</x:v>
      </x:c>
      <x:c r="B123" s="52" t="str">
        <x:v>  if (!statut) throw new Error('Statut obligatoire.');</x:v>
      </x:c>
      <x:c r="C123" t="str"/>
    </x:row>
    <x:row r="124">
      <x:c r="A124" s="28" t="n">
        <x:v>121</x:v>
      </x:c>
      <x:c r="B124" s="52" t="str">
        <x:v>  if (!cayenne) throw new Error('Cayenne obligatoire.');</x:v>
      </x:c>
      <x:c r="C124" t="str"/>
    </x:row>
    <x:row r="125">
      <x:c r="A125" s="28" t="n">
        <x:v>122</x:v>
      </x:c>
      <x:c r="B125" s="52" t="str">
        <x:v>  if (!responseChoice) throw new Error('Type de réponse obligatoire.');</x:v>
      </x:c>
      <x:c r="C125" t="str"/>
    </x:row>
    <x:row r="126">
      <x:c r="A126" s="28" t="n">
        <x:v>123</x:v>
      </x:c>
      <x:c r="B126" s="52" t="str">
        <x:v>  if (!selectedEventIds.length) throw new Error('Sélectionnez au moins un événement.');</x:v>
      </x:c>
      <x:c r="C126" t="str"/>
    </x:row>
    <x:row r="127">
      <x:c r="A127" s="28" t="n">
        <x:v>124</x:v>
      </x:c>
      <x:c r="B127" s="52" t="str"/>
      <x:c r="C127" t="str"/>
    </x:row>
    <x:row r="128">
      <x:c r="A128" s="28" t="n">
        <x:v>125</x:v>
      </x:c>
      <x:c r="B128" s="52" t="str">
        <x:v>  const ss = SpreadsheetApp.getActive();</x:v>
      </x:c>
      <x:c r="C128" t="str"/>
    </x:row>
    <x:row r="129">
      <x:c r="A129" s="28" t="n">
        <x:v>126</x:v>
      </x:c>
      <x:c r="B129" s="52" t="str">
        <x:v>  const responseSheet = ss.getSheetByName(UC_APP.sheets.reponses);</x:v>
      </x:c>
      <x:c r="C129" t="str"/>
    </x:row>
    <x:row r="130">
      <x:c r="A130" s="28" t="n">
        <x:v>127</x:v>
      </x:c>
      <x:c r="B130" s="52" t="str">
        <x:v>  const eventsById = indexBy_(getRowsAsObjects_(UC_APP.sheets.calendrier), 'ID_Evenement');</x:v>
      </x:c>
      <x:c r="C130" t="str"/>
    </x:row>
    <x:row r="131">
      <x:c r="A131" s="28" t="n">
        <x:v>128</x:v>
      </x:c>
      <x:c r="B131" s="52" t="str">
        <x:v>  const now = new Date();</x:v>
      </x:c>
      <x:c r="C131" t="str"/>
    </x:row>
    <x:row r="132">
      <x:c r="A132" s="28" t="n">
        <x:v>129</x:v>
      </x:c>
      <x:c r="B132" s="52" t="str">
        <x:v>  const causes = Array.isArray(payload.causes) ? payload.causes.map(clean_).filter(Boolean) : [];</x:v>
      </x:c>
      <x:c r="C132" t="str"/>
    </x:row>
    <x:row r="133">
      <x:c r="A133" s="28" t="n">
        <x:v>130</x:v>
      </x:c>
      <x:c r="B133" s="52" t="str">
        <x:v>  const source = payload.source || (selectedEventIds.length &gt; 1 ? 'Réponse anticipée' : 'Réponse événement');</x:v>
      </x:c>
      <x:c r="C133" t="str"/>
    </x:row>
    <x:row r="134">
      <x:c r="A134" s="28" t="n">
        <x:v>131</x:v>
      </x:c>
      <x:c r="B134" s="52" t="str">
        <x:v>  const isAid = responseChoice === 'Disponible pour aider';</x:v>
      </x:c>
      <x:c r="C134" t="str"/>
    </x:row>
    <x:row r="135">
      <x:c r="A135" s="28" t="n">
        <x:v>132</x:v>
      </x:c>
      <x:c r="B135" s="52" t="str">
        <x:v>  const savedRows = [];</x:v>
      </x:c>
      <x:c r="C135" t="str"/>
    </x:row>
    <x:row r="136">
      <x:c r="A136" s="28" t="n">
        <x:v>133</x:v>
      </x:c>
      <x:c r="B136" s="52" t="str"/>
      <x:c r="C136" t="str"/>
    </x:row>
    <x:row r="137">
      <x:c r="A137" s="28" t="n">
        <x:v>134</x:v>
      </x:c>
      <x:c r="B137" s="52" t="str">
        <x:v>  upsertMember_({</x:v>
      </x:c>
      <x:c r="C137" t="str"/>
    </x:row>
    <x:row r="138">
      <x:c r="A138" s="28" t="n">
        <x:v>135</x:v>
      </x:c>
      <x:c r="B138" s="52" t="str">
        <x:v>    Nom: nom,</x:v>
      </x:c>
      <x:c r="C138" t="str"/>
    </x:row>
    <x:row r="139">
      <x:c r="A139" s="28" t="n">
        <x:v>136</x:v>
      </x:c>
      <x:c r="B139" s="52" t="str">
        <x:v>    Prenom: prenom,</x:v>
      </x:c>
      <x:c r="C139" t="str"/>
    </x:row>
    <x:row r="140">
      <x:c r="A140" s="28" t="n">
        <x:v>137</x:v>
      </x:c>
      <x:c r="B140" s="52" t="str">
        <x:v>    Statut: statut,</x:v>
      </x:c>
      <x:c r="C140" t="str"/>
    </x:row>
    <x:row r="141">
      <x:c r="A141" s="28" t="n">
        <x:v>138</x:v>
      </x:c>
      <x:c r="B141" s="52" t="str">
        <x:v>    Cayenne: cayenne,</x:v>
      </x:c>
      <x:c r="C141" t="str"/>
    </x:row>
    <x:row r="142">
      <x:c r="A142" s="28" t="n">
        <x:v>139</x:v>
      </x:c>
      <x:c r="B142" s="52" t="str">
        <x:v>    Email: clean_(payload.email),</x:v>
      </x:c>
      <x:c r="C142" t="str"/>
    </x:row>
    <x:row r="143">
      <x:c r="A143" s="28" t="n">
        <x:v>140</x:v>
      </x:c>
      <x:c r="B143" s="52" t="str">
        <x:v>    Telephone: clean_(payload.telephone),</x:v>
      </x:c>
      <x:c r="C143" t="str"/>
    </x:row>
    <x:row r="144">
      <x:c r="A144" s="28" t="n">
        <x:v>141</x:v>
      </x:c>
      <x:c r="B144" s="52" t="str">
        <x:v>    Actif: 'Oui',</x:v>
      </x:c>
      <x:c r="C144" t="str"/>
    </x:row>
    <x:row r="145">
      <x:c r="A145" s="28" t="n">
        <x:v>142</x:v>
      </x:c>
      <x:c r="B145" s="52" t="str">
        <x:v>    Notes: ''</x:v>
      </x:c>
      <x:c r="C145" t="str"/>
    </x:row>
    <x:row r="146">
      <x:c r="A146" s="28" t="n">
        <x:v>143</x:v>
      </x:c>
      <x:c r="B146" s="52" t="str">
        <x:v>  });</x:v>
      </x:c>
      <x:c r="C146" t="str"/>
    </x:row>
    <x:row r="147">
      <x:c r="A147" s="28" t="n">
        <x:v>144</x:v>
      </x:c>
      <x:c r="B147" s="52" t="str"/>
      <x:c r="C147" t="str"/>
    </x:row>
    <x:row r="148">
      <x:c r="A148" s="28" t="n">
        <x:v>145</x:v>
      </x:c>
      <x:c r="B148" s="52" t="str">
        <x:v>  selectedEventIds.forEach(function(eventId) {</x:v>
      </x:c>
      <x:c r="C148" t="str"/>
    </x:row>
    <x:row r="149">
      <x:c r="A149" s="28" t="n">
        <x:v>146</x:v>
      </x:c>
      <x:c r="B149" s="52" t="str">
        <x:v>    const event = eventsById[eventId];</x:v>
      </x:c>
      <x:c r="C149" t="str"/>
    </x:row>
    <x:row r="150">
      <x:c r="A150" s="28" t="n">
        <x:v>147</x:v>
      </x:c>
      <x:c r="B150" s="52" t="str">
        <x:v>    if (!event) return;</x:v>
      </x:c>
      <x:c r="C150" t="str"/>
    </x:row>
    <x:row r="151">
      <x:c r="A151" s="28" t="n">
        <x:v>148</x:v>
      </x:c>
      <x:c r="B151" s="52" t="str">
        <x:v>    const eventDate = asDate_(event.Date);</x:v>
      </x:c>
      <x:c r="C151" t="str"/>
    </x:row>
    <x:row r="152">
      <x:c r="A152" s="28" t="n">
        <x:v>149</x:v>
      </x:c>
      <x:c r="B152" s="52" t="str">
        <x:v>    const finalResponse = isAid ? 'Présent' : responseChoice;</x:v>
      </x:c>
      <x:c r="C152" t="str"/>
    </x:row>
    <x:row r="153">
      <x:c r="A153" s="28" t="n">
        <x:v>150</x:v>
      </x:c>
      <x:c r="B153" s="52" t="str">
        <x:v>    const clePersonne = personKey_(nom, prenom, payload.email);</x:v>
      </x:c>
      <x:c r="C153" t="str"/>
    </x:row>
    <x:row r="154">
      <x:c r="A154" s="28" t="n">
        <x:v>151</x:v>
      </x:c>
      <x:c r="B154" s="52" t="str">
        <x:v>    savedRows.push([</x:v>
      </x:c>
      <x:c r="C154" t="str"/>
    </x:row>
    <x:row r="155">
      <x:c r="A155" s="28" t="n">
        <x:v>152</x:v>
      </x:c>
      <x:c r="B155" s="52" t="str">
        <x:v>      Utilities.getUuid(),</x:v>
      </x:c>
      <x:c r="C155" t="str"/>
    </x:row>
    <x:row r="156">
      <x:c r="A156" s="28" t="n">
        <x:v>153</x:v>
      </x:c>
      <x:c r="B156" s="52" t="str">
        <x:v>      now,</x:v>
      </x:c>
      <x:c r="C156" t="str"/>
    </x:row>
    <x:row r="157">
      <x:c r="A157" s="28" t="n">
        <x:v>154</x:v>
      </x:c>
      <x:c r="B157" s="52" t="str">
        <x:v>      source,</x:v>
      </x:c>
      <x:c r="C157" t="str"/>
    </x:row>
    <x:row r="158">
      <x:c r="A158" s="28" t="n">
        <x:v>155</x:v>
      </x:c>
      <x:c r="B158" s="52" t="str">
        <x:v>      Number(event.Annee),</x:v>
      </x:c>
      <x:c r="C158" t="str"/>
    </x:row>
    <x:row r="159">
      <x:c r="A159" s="28" t="n">
        <x:v>156</x:v>
      </x:c>
      <x:c r="B159" s="52" t="str">
        <x:v>      event.ID_Evenement,</x:v>
      </x:c>
      <x:c r="C159" t="str"/>
    </x:row>
    <x:row r="160">
      <x:c r="A160" s="28" t="n">
        <x:v>157</x:v>
      </x:c>
      <x:c r="B160" s="52" t="str">
        <x:v>      eventDate,</x:v>
      </x:c>
      <x:c r="C160" t="str"/>
    </x:row>
    <x:row r="161">
      <x:c r="A161" s="28" t="n">
        <x:v>158</x:v>
      </x:c>
      <x:c r="B161" s="52" t="str">
        <x:v>      event.Titre,</x:v>
      </x:c>
      <x:c r="C161" t="str"/>
    </x:row>
    <x:row r="162">
      <x:c r="A162" s="28" t="n">
        <x:v>159</x:v>
      </x:c>
      <x:c r="B162" s="52" t="str">
        <x:v>      event.Type_Evenement,</x:v>
      </x:c>
      <x:c r="C162" t="str"/>
    </x:row>
    <x:row r="163">
      <x:c r="A163" s="28" t="n">
        <x:v>160</x:v>
      </x:c>
      <x:c r="B163" s="52" t="str">
        <x:v>      nom,</x:v>
      </x:c>
      <x:c r="C163" t="str"/>
    </x:row>
    <x:row r="164">
      <x:c r="A164" s="28" t="n">
        <x:v>161</x:v>
      </x:c>
      <x:c r="B164" s="52" t="str">
        <x:v>      prenom,</x:v>
      </x:c>
      <x:c r="C164" t="str"/>
    </x:row>
    <x:row r="165">
      <x:c r="A165" s="28" t="n">
        <x:v>162</x:v>
      </x:c>
      <x:c r="B165" s="52" t="str">
        <x:v>      clean_(payload.email),</x:v>
      </x:c>
      <x:c r="C165" t="str"/>
    </x:row>
    <x:row r="166">
      <x:c r="A166" s="28" t="n">
        <x:v>163</x:v>
      </x:c>
      <x:c r="B166" s="52" t="str">
        <x:v>      clean_(payload.telephone),</x:v>
      </x:c>
      <x:c r="C166" t="str"/>
    </x:row>
    <x:row r="167">
      <x:c r="A167" s="28" t="n">
        <x:v>164</x:v>
      </x:c>
      <x:c r="B167" s="52" t="str">
        <x:v>      statut,</x:v>
      </x:c>
      <x:c r="C167" t="str"/>
    </x:row>
    <x:row r="168">
      <x:c r="A168" s="28" t="n">
        <x:v>165</x:v>
      </x:c>
      <x:c r="B168" s="52" t="str">
        <x:v>      cayenne,</x:v>
      </x:c>
      <x:c r="C168" t="str"/>
    </x:row>
    <x:row r="169">
      <x:c r="A169" s="28" t="n">
        <x:v>166</x:v>
      </x:c>
      <x:c r="B169" s="52" t="str">
        <x:v>      finalResponse,</x:v>
      </x:c>
      <x:c r="C169" t="str"/>
    </x:row>
    <x:row r="170">
      <x:c r="A170" s="28" t="n">
        <x:v>167</x:v>
      </x:c>
      <x:c r="B170" s="52" t="str">
        <x:v>      causes.join(' ; '),</x:v>
      </x:c>
      <x:c r="C170" t="str"/>
    </x:row>
    <x:row r="171">
      <x:c r="A171" s="28" t="n">
        <x:v>168</x:v>
      </x:c>
      <x:c r="B171" s="52" t="str">
        <x:v>      clean_(payload.precision),</x:v>
      </x:c>
      <x:c r="C171" t="str"/>
    </x:row>
    <x:row r="172">
      <x:c r="A172" s="28" t="n">
        <x:v>169</x:v>
      </x:c>
      <x:c r="B172" s="52" t="str">
        <x:v>      isAid || payload.aideDisponible === true ? 'Oui' : 'Non',</x:v>
      </x:c>
      <x:c r="C172" t="str"/>
    </x:row>
    <x:row r="173">
      <x:c r="A173" s="28" t="n">
        <x:v>170</x:v>
      </x:c>
      <x:c r="B173" s="52" t="str">
        <x:v>      clean_(payload.heureDebutAide),</x:v>
      </x:c>
      <x:c r="C173" t="str"/>
    </x:row>
    <x:row r="174">
      <x:c r="A174" s="28" t="n">
        <x:v>171</x:v>
      </x:c>
      <x:c r="B174" s="52" t="str">
        <x:v>      clean_(payload.heureFinAide),</x:v>
      </x:c>
      <x:c r="C174" t="str"/>
    </x:row>
    <x:row r="175">
      <x:c r="A175" s="28" t="n">
        <x:v>172</x:v>
      </x:c>
      <x:c r="B175" s="52" t="str">
        <x:v>      clean_(payload.commentaire),</x:v>
      </x:c>
      <x:c r="C175" t="str"/>
    </x:row>
    <x:row r="176">
      <x:c r="A176" s="28" t="n">
        <x:v>173</x:v>
      </x:c>
      <x:c r="B176" s="52" t="str">
        <x:v>      clePersonne,</x:v>
      </x:c>
      <x:c r="C176" t="str"/>
    </x:row>
    <x:row r="177">
      <x:c r="A177" s="28" t="n">
        <x:v>174</x:v>
      </x:c>
      <x:c r="B177" s="52" t="str">
        <x:v>      eventDate ? Utilities.formatDate(eventDate, Session.getScriptTimeZone(), 'yyyy-MM') : '',</x:v>
      </x:c>
      <x:c r="C177" t="str"/>
    </x:row>
    <x:row r="178">
      <x:c r="A178" s="28" t="n">
        <x:v>175</x:v>
      </x:c>
      <x:c r="B178" s="52" t="str">
        <x:v>      eventDate ? getWeekNumber_(eventDate) : '',</x:v>
      </x:c>
      <x:c r="C178" t="str"/>
    </x:row>
    <x:row r="179">
      <x:c r="A179" s="28" t="n">
        <x:v>176</x:v>
      </x:c>
      <x:c r="B179" s="52" t="str">
        <x:v>      ''</x:v>
      </x:c>
      <x:c r="C179" t="str"/>
    </x:row>
    <x:row r="180">
      <x:c r="A180" s="28" t="n">
        <x:v>177</x:v>
      </x:c>
      <x:c r="B180" s="52" t="str">
        <x:v>    ]);</x:v>
      </x:c>
      <x:c r="C180" t="str"/>
    </x:row>
    <x:row r="181">
      <x:c r="A181" s="28" t="n">
        <x:v>178</x:v>
      </x:c>
      <x:c r="B181" s="52" t="str">
        <x:v>  });</x:v>
      </x:c>
      <x:c r="C181" t="str"/>
    </x:row>
    <x:row r="182">
      <x:c r="A182" s="28" t="n">
        <x:v>179</x:v>
      </x:c>
      <x:c r="B182" s="52" t="str"/>
      <x:c r="C182" t="str"/>
    </x:row>
    <x:row r="183">
      <x:c r="A183" s="28" t="n">
        <x:v>180</x:v>
      </x:c>
      <x:c r="B183" s="52" t="str">
        <x:v>  if (!savedRows.length) throw new Error('Aucun événement valide trouvé.');</x:v>
      </x:c>
      <x:c r="C183" t="str"/>
    </x:row>
    <x:row r="184">
      <x:c r="A184" s="28" t="n">
        <x:v>181</x:v>
      </x:c>
      <x:c r="B184" s="52" t="str">
        <x:v>  responseSheet</x:v>
      </x:c>
      <x:c r="C184" t="str"/>
    </x:row>
    <x:row r="185">
      <x:c r="A185" s="28" t="n">
        <x:v>182</x:v>
      </x:c>
      <x:c r="B185" s="52" t="str">
        <x:v>    .getRange(responseSheet.getLastRow() + 1, 1, savedRows.length, UC_APP.headers.reponses.length)</x:v>
      </x:c>
      <x:c r="C185" t="str"/>
    </x:row>
    <x:row r="186">
      <x:c r="A186" s="28" t="n">
        <x:v>183</x:v>
      </x:c>
      <x:c r="B186" s="52" t="str">
        <x:v>    .setValues(savedRows);</x:v>
      </x:c>
      <x:c r="C186" t="str"/>
    </x:row>
    <x:row r="187">
      <x:c r="A187" s="28" t="n">
        <x:v>184</x:v>
      </x:c>
      <x:c r="B187" s="52" t="str"/>
      <x:c r="C187" t="str"/>
    </x:row>
    <x:row r="188">
      <x:c r="A188" s="28" t="n">
        <x:v>185</x:v>
      </x:c>
      <x:c r="B188" s="52" t="str">
        <x:v>  refreshDashboardSheet();</x:v>
      </x:c>
      <x:c r="C188" t="str"/>
    </x:row>
    <x:row r="189">
      <x:c r="A189" s="28" t="n">
        <x:v>186</x:v>
      </x:c>
      <x:c r="B189" s="52" t="str">
        <x:v>  const refreshedEvents = {};</x:v>
      </x:c>
      <x:c r="C189" t="str"/>
    </x:row>
    <x:row r="190">
      <x:c r="A190" s="28" t="n">
        <x:v>187</x:v>
      </x:c>
      <x:c r="B190" s="52" t="str">
        <x:v>  savedRows.forEach(function(row) {</x:v>
      </x:c>
      <x:c r="C190" t="str"/>
    </x:row>
    <x:row r="191">
      <x:c r="A191" s="28" t="n">
        <x:v>188</x:v>
      </x:c>
      <x:c r="B191" s="52" t="str">
        <x:v>    refreshedEvents[row[4]] = true;</x:v>
      </x:c>
      <x:c r="C191" t="str"/>
    </x:row>
    <x:row r="192">
      <x:c r="A192" s="28" t="n">
        <x:v>189</x:v>
      </x:c>
      <x:c r="B192" s="52" t="str">
        <x:v>  });</x:v>
      </x:c>
      <x:c r="C192" t="str"/>
    </x:row>
    <x:row r="193">
      <x:c r="A193" s="28" t="n">
        <x:v>190</x:v>
      </x:c>
      <x:c r="B193" s="52" t="str">
        <x:v>  Object.keys(refreshedEvents).forEach(function(eventId) {</x:v>
      </x:c>
      <x:c r="C193" t="str"/>
    </x:row>
    <x:row r="194">
      <x:c r="A194" s="28" t="n">
        <x:v>191</x:v>
      </x:c>
      <x:c r="B194" s="52" t="str">
        <x:v>    generateEventSheet(eventId);</x:v>
      </x:c>
      <x:c r="C194" t="str"/>
    </x:row>
    <x:row r="195">
      <x:c r="A195" s="28" t="n">
        <x:v>192</x:v>
      </x:c>
      <x:c r="B195" s="52" t="str">
        <x:v>  });</x:v>
      </x:c>
      <x:c r="C195" t="str"/>
    </x:row>
    <x:row r="196">
      <x:c r="A196" s="28" t="n">
        <x:v>193</x:v>
      </x:c>
      <x:c r="B196" s="52" t="str"/>
      <x:c r="C196" t="str"/>
    </x:row>
    <x:row r="197">
      <x:c r="A197" s="28" t="n">
        <x:v>194</x:v>
      </x:c>
      <x:c r="B197" s="52" t="str">
        <x:v>  return {</x:v>
      </x:c>
      <x:c r="C197" t="str"/>
    </x:row>
    <x:row r="198">
      <x:c r="A198" s="28" t="n">
        <x:v>195</x:v>
      </x:c>
      <x:c r="B198" s="52" t="str">
        <x:v>    ok: true,</x:v>
      </x:c>
      <x:c r="C198" t="str"/>
    </x:row>
    <x:row r="199">
      <x:c r="A199" s="28" t="n">
        <x:v>196</x:v>
      </x:c>
      <x:c r="B199" s="52" t="str">
        <x:v>    saved: savedRows.length,</x:v>
      </x:c>
      <x:c r="C199" t="str"/>
    </x:row>
    <x:row r="200">
      <x:c r="A200" s="28" t="n">
        <x:v>197</x:v>
      </x:c>
      <x:c r="B200" s="52" t="str">
        <x:v>    message: savedRows.length + ' réponse(s) enregistrée(s).'</x:v>
      </x:c>
      <x:c r="C200" t="str"/>
    </x:row>
    <x:row r="201">
      <x:c r="A201" s="28" t="n">
        <x:v>198</x:v>
      </x:c>
      <x:c r="B201" s="52" t="str">
        <x:v>  };</x:v>
      </x:c>
      <x:c r="C201" t="str"/>
    </x:row>
    <x:row r="202">
      <x:c r="A202" s="28" t="n">
        <x:v>199</x:v>
      </x:c>
      <x:c r="B202" s="52" t="str">
        <x:v>}</x:v>
      </x:c>
      <x:c r="C202" t="str"/>
    </x:row>
    <x:row r="203">
      <x:c r="A203" s="28" t="n">
        <x:v>200</x:v>
      </x:c>
      <x:c r="B203" s="52" t="str"/>
      <x:c r="C203" t="str"/>
    </x:row>
    <x:row r="204">
      <x:c r="A204" s="28" t="n">
        <x:v>201</x:v>
      </x:c>
      <x:c r="B204" s="52" t="str">
        <x:v>function getDashboardData(year, adminPin) {</x:v>
      </x:c>
      <x:c r="C204" t="str"/>
    </x:row>
    <x:row r="205">
      <x:c r="A205" s="28" t="n">
        <x:v>202</x:v>
      </x:c>
      <x:c r="B205" s="52" t="str">
        <x:v>  assertAdmin_(adminPin);</x:v>
      </x:c>
      <x:c r="C205" t="str"/>
    </x:row>
    <x:row r="206">
      <x:c r="A206" s="28" t="n">
        <x:v>203</x:v>
      </x:c>
      <x:c r="B206" s="52" t="str">
        <x:v>  setupSystemIfMissing_();</x:v>
      </x:c>
      <x:c r="C206" t="str"/>
    </x:row>
    <x:row r="207">
      <x:c r="A207" s="28" t="n">
        <x:v>204</x:v>
      </x:c>
      <x:c r="B207" s="52" t="str">
        <x:v>  return computeDashboard_(Number(year || getSettings_().annee_active || UC_APP.defaults.activeYear));</x:v>
      </x:c>
      <x:c r="C207" t="str"/>
    </x:row>
    <x:row r="208">
      <x:c r="A208" s="28" t="n">
        <x:v>205</x:v>
      </x:c>
      <x:c r="B208" s="52" t="str">
        <x:v>}</x:v>
      </x:c>
      <x:c r="C208" t="str"/>
    </x:row>
    <x:row r="209">
      <x:c r="A209" s="28" t="n">
        <x:v>206</x:v>
      </x:c>
      <x:c r="B209" s="52" t="str"/>
      <x:c r="C209" t="str"/>
    </x:row>
    <x:row r="210">
      <x:c r="A210" s="28" t="n">
        <x:v>207</x:v>
      </x:c>
      <x:c r="B210" s="52" t="str">
        <x:v>function generateEventSheet(eventId, adminPin) {</x:v>
      </x:c>
      <x:c r="C210" t="str"/>
    </x:row>
    <x:row r="211">
      <x:c r="A211" s="28" t="n">
        <x:v>208</x:v>
      </x:c>
      <x:c r="B211" s="52" t="str">
        <x:v>  if (typeof adminPin !== 'undefined') assertAdmin_(adminPin);</x:v>
      </x:c>
      <x:c r="C211" t="str"/>
    </x:row>
    <x:row r="212">
      <x:c r="A212" s="28" t="n">
        <x:v>209</x:v>
      </x:c>
      <x:c r="B212" s="52" t="str">
        <x:v>  setupSystemIfMissing_();</x:v>
      </x:c>
      <x:c r="C212" t="str"/>
    </x:row>
    <x:row r="213">
      <x:c r="A213" s="28" t="n">
        <x:v>210</x:v>
      </x:c>
      <x:c r="B213" s="52" t="str"/>
      <x:c r="C213" t="str"/>
    </x:row>
    <x:row r="214">
      <x:c r="A214" s="28" t="n">
        <x:v>211</x:v>
      </x:c>
      <x:c r="B214" s="52" t="str">
        <x:v>  const events = getRowsAsObjects_(UC_APP.sheets.calendrier);</x:v>
      </x:c>
      <x:c r="C214" t="str"/>
    </x:row>
    <x:row r="215">
      <x:c r="A215" s="28" t="n">
        <x:v>212</x:v>
      </x:c>
      <x:c r="B215" s="52" t="str">
        <x:v>  const event = events.filter(function(row) { return row.ID_Evenement === eventId; })[0];</x:v>
      </x:c>
      <x:c r="C215" t="str"/>
    </x:row>
    <x:row r="216">
      <x:c r="A216" s="28" t="n">
        <x:v>213</x:v>
      </x:c>
      <x:c r="B216" s="52" t="str">
        <x:v>  if (!event) throw new Error('Événement introuvable.');</x:v>
      </x:c>
      <x:c r="C216" t="str"/>
    </x:row>
    <x:row r="217">
      <x:c r="A217" s="28" t="n">
        <x:v>214</x:v>
      </x:c>
      <x:c r="B217" s="52" t="str"/>
      <x:c r="C217" t="str"/>
    </x:row>
    <x:row r="218">
      <x:c r="A218" s="28" t="n">
        <x:v>215</x:v>
      </x:c>
      <x:c r="B218" s="52" t="str">
        <x:v>  const ss = SpreadsheetApp.getActive();</x:v>
      </x:c>
      <x:c r="C218" t="str"/>
    </x:row>
    <x:row r="219">
      <x:c r="A219" s="28" t="n">
        <x:v>216</x:v>
      </x:c>
      <x:c r="B219" s="52" t="str">
        <x:v>  const sheetName = makeCrSheetName_(event);</x:v>
      </x:c>
      <x:c r="C219" t="str"/>
    </x:row>
    <x:row r="220">
      <x:c r="A220" s="28" t="n">
        <x:v>217</x:v>
      </x:c>
      <x:c r="B220" s="52" t="str">
        <x:v>  let sheet = ss.getSheetByName(sheetName);</x:v>
      </x:c>
      <x:c r="C220" t="str"/>
    </x:row>
    <x:row r="221">
      <x:c r="A221" s="28" t="n">
        <x:v>218</x:v>
      </x:c>
      <x:c r="B221" s="52" t="str">
        <x:v>  if (!sheet) sheet = ss.insertSheet(sheetName);</x:v>
      </x:c>
      <x:c r="C221" t="str"/>
    </x:row>
    <x:row r="222">
      <x:c r="A222" s="28" t="n">
        <x:v>219</x:v>
      </x:c>
      <x:c r="B222" s="52" t="str">
        <x:v>  sheet.clear();</x:v>
      </x:c>
      <x:c r="C222" t="str"/>
    </x:row>
    <x:row r="223">
      <x:c r="A223" s="28" t="n">
        <x:v>220</x:v>
      </x:c>
      <x:c r="B223" s="52" t="str">
        <x:v>  sheet.setHiddenGridlines(true);</x:v>
      </x:c>
      <x:c r="C223" t="str"/>
    </x:row>
    <x:row r="224">
      <x:c r="A224" s="28" t="n">
        <x:v>221</x:v>
      </x:c>
      <x:c r="B224" s="52" t="str"/>
      <x:c r="C224" t="str"/>
    </x:row>
    <x:row r="225">
      <x:c r="A225" s="28" t="n">
        <x:v>222</x:v>
      </x:c>
      <x:c r="B225" s="52" t="str">
        <x:v>  const rows = buildEventRows_(event.ID_Evenement);</x:v>
      </x:c>
      <x:c r="C225" t="str"/>
    </x:row>
    <x:row r="226">
      <x:c r="A226" s="28" t="n">
        <x:v>223</x:v>
      </x:c>
      <x:c r="B226" s="52" t="str">
        <x:v>  const presentCount = rows.filter(function(row) { return row.reponse === 'Présent'; }).length;</x:v>
      </x:c>
      <x:c r="C226" t="str"/>
    </x:row>
    <x:row r="227">
      <x:c r="A227" s="28" t="n">
        <x:v>224</x:v>
      </x:c>
      <x:c r="B227" s="52" t="str">
        <x:v>  const excusedCount = rows.filter(function(row) { return row.reponse === 'Absent excusé'; }).length;</x:v>
      </x:c>
      <x:c r="C227" t="str"/>
    </x:row>
    <x:row r="228">
      <x:c r="A228" s="28" t="n">
        <x:v>225</x:v>
      </x:c>
      <x:c r="B228" s="52" t="str">
        <x:v>  const noResponseCount = rows.filter(function(row) { return row.reponse === 'Sans réponse'; }).length;</x:v>
      </x:c>
      <x:c r="C228" t="str"/>
    </x:row>
    <x:row r="229">
      <x:c r="A229" s="28" t="n">
        <x:v>226</x:v>
      </x:c>
      <x:c r="B229" s="52" t="str">
        <x:v>  const aidCount = rows.filter(function(row) { return row.aide === 'Oui'; }).length;</x:v>
      </x:c>
      <x:c r="C229" t="str"/>
    </x:row>
    <x:row r="230">
      <x:c r="A230" s="28" t="n">
        <x:v>227</x:v>
      </x:c>
      <x:c r="B230" s="52" t="str"/>
      <x:c r="C230" t="str"/>
    </x:row>
    <x:row r="231">
      <x:c r="A231" s="28" t="n">
        <x:v>228</x:v>
      </x:c>
      <x:c r="B231" s="52" t="str">
        <x:v>  sheet.getRange('A1:I1').merge().setValue('Compte rendu présences - ' + event.Titre);</x:v>
      </x:c>
      <x:c r="C231" t="str"/>
    </x:row>
    <x:row r="232">
      <x:c r="A232" s="28" t="n">
        <x:v>229</x:v>
      </x:c>
      <x:c r="B232" s="52" t="str">
        <x:v>  sheet.getRange('A2:I2').merge().setValue(formatDate_(event.Date) + ' | ' + event.Type_Evenement + ' | ' + (event.Lieu || 'Lieu à préciser'));</x:v>
      </x:c>
      <x:c r="C232" t="str"/>
    </x:row>
    <x:row r="233">
      <x:c r="A233" s="28" t="n">
        <x:v>230</x:v>
      </x:c>
      <x:c r="B233" s="52" t="str">
        <x:v>  sheet.getRange('A1:I2').setFontWeight('bold').setFontColor('#FFFFFF').setBackground('#7A1F2B');</x:v>
      </x:c>
      <x:c r="C233" t="str"/>
    </x:row>
    <x:row r="234">
      <x:c r="A234" s="28" t="n">
        <x:v>231</x:v>
      </x:c>
      <x:c r="B234" s="52" t="str">
        <x:v>  sheet.getRange('A1').setFontSize(16);</x:v>
      </x:c>
      <x:c r="C234" t="str"/>
    </x:row>
    <x:row r="235">
      <x:c r="A235" s="28" t="n">
        <x:v>232</x:v>
      </x:c>
      <x:c r="B235" s="52" t="str"/>
      <x:c r="C235" t="str"/>
    </x:row>
    <x:row r="236">
      <x:c r="A236" s="28" t="n">
        <x:v>233</x:v>
      </x:c>
      <x:c r="B236" s="52" t="str">
        <x:v>  sheet.getRange('A4:B8').setValues([</x:v>
      </x:c>
      <x:c r="C236" t="str"/>
    </x:row>
    <x:row r="237">
      <x:c r="A237" s="28" t="n">
        <x:v>234</x:v>
      </x:c>
      <x:c r="B237" s="52" t="str">
        <x:v>    ['Présents', presentCount],</x:v>
      </x:c>
      <x:c r="C237" t="str"/>
    </x:row>
    <x:row r="238">
      <x:c r="A238" s="28" t="n">
        <x:v>235</x:v>
      </x:c>
      <x:c r="B238" s="52" t="str">
        <x:v>    ['Absents excusés', excusedCount],</x:v>
      </x:c>
      <x:c r="C238" t="str"/>
    </x:row>
    <x:row r="239">
      <x:c r="A239" s="28" t="n">
        <x:v>236</x:v>
      </x:c>
      <x:c r="B239" s="52" t="str">
        <x:v>    ['Sans réponse', noResponseCount],</x:v>
      </x:c>
      <x:c r="C239" t="str"/>
    </x:row>
    <x:row r="240">
      <x:c r="A240" s="28" t="n">
        <x:v>237</x:v>
      </x:c>
      <x:c r="B240" s="52" t="str">
        <x:v>    ['Disponibles pour aider', aidCount],</x:v>
      </x:c>
      <x:c r="C240" t="str"/>
    </x:row>
    <x:row r="241">
      <x:c r="A241" s="28" t="n">
        <x:v>238</x:v>
      </x:c>
      <x:c r="B241" s="52" t="str">
        <x:v>    ['Total suivi', rows.length]</x:v>
      </x:c>
      <x:c r="C241" t="str"/>
    </x:row>
    <x:row r="242">
      <x:c r="A242" s="28" t="n">
        <x:v>239</x:v>
      </x:c>
      <x:c r="B242" s="52" t="str">
        <x:v>  ]);</x:v>
      </x:c>
      <x:c r="C242" t="str"/>
    </x:row>
    <x:row r="243">
      <x:c r="A243" s="28" t="n">
        <x:v>240</x:v>
      </x:c>
      <x:c r="B243" s="52" t="str">
        <x:v>  sheet.getRange('A4:A8').setFontWeight('bold').setBackground('#F2E7E9');</x:v>
      </x:c>
      <x:c r="C243" t="str"/>
    </x:row>
    <x:row r="244">
      <x:c r="A244" s="28" t="n">
        <x:v>241</x:v>
      </x:c>
      <x:c r="B244" s="52" t="str">
        <x:v>  sheet.getRange('B4:B8').setNumberFormat('0');</x:v>
      </x:c>
      <x:c r="C244" t="str"/>
    </x:row>
    <x:row r="245">
      <x:c r="A245" s="28" t="n">
        <x:v>242</x:v>
      </x:c>
      <x:c r="B245" s="52" t="str"/>
      <x:c r="C245" t="str"/>
    </x:row>
    <x:row r="246">
      <x:c r="A246" s="28" t="n">
        <x:v>243</x:v>
      </x:c>
      <x:c r="B246" s="52" t="str">
        <x:v>  const headers = ['Nom', 'Prénom', 'Statut', 'Cayenne', 'Réponse', 'Cause', 'Précision', 'Aide', 'Horaire'];</x:v>
      </x:c>
      <x:c r="C246" t="str"/>
    </x:row>
    <x:row r="247">
      <x:c r="A247" s="28" t="n">
        <x:v>244</x:v>
      </x:c>
      <x:c r="B247" s="52" t="str">
        <x:v>  sheet.getRange(10, 1, 1, headers.length).setValues([headers]);</x:v>
      </x:c>
      <x:c r="C247" t="str"/>
    </x:row>
    <x:row r="248">
      <x:c r="A248" s="28" t="n">
        <x:v>245</x:v>
      </x:c>
      <x:c r="B248" s="52" t="str">
        <x:v>  sheet.getRange(10, 1, 1, headers.length).setFontWeight('bold').setFontColor('#FFFFFF').setBackground('#3F3F46');</x:v>
      </x:c>
      <x:c r="C248" t="str"/>
    </x:row>
    <x:row r="249">
      <x:c r="A249" s="28" t="n">
        <x:v>246</x:v>
      </x:c>
      <x:c r="B249" s="52" t="str"/>
      <x:c r="C249" t="str"/>
    </x:row>
    <x:row r="250">
      <x:c r="A250" s="28" t="n">
        <x:v>247</x:v>
      </x:c>
      <x:c r="B250" s="52" t="str">
        <x:v>  if (rows.length) {</x:v>
      </x:c>
      <x:c r="C250" t="str"/>
    </x:row>
    <x:row r="251">
      <x:c r="A251" s="28" t="n">
        <x:v>248</x:v>
      </x:c>
      <x:c r="B251" s="52" t="str">
        <x:v>    const values = rows.map(function(row) {</x:v>
      </x:c>
      <x:c r="C251" t="str"/>
    </x:row>
    <x:row r="252">
      <x:c r="A252" s="28" t="n">
        <x:v>249</x:v>
      </x:c>
      <x:c r="B252" s="52" t="str">
        <x:v>      return [</x:v>
      </x:c>
      <x:c r="C252" t="str"/>
    </x:row>
    <x:row r="253">
      <x:c r="A253" s="28" t="n">
        <x:v>250</x:v>
      </x:c>
      <x:c r="B253" s="52" t="str">
        <x:v>        row.nom,</x:v>
      </x:c>
      <x:c r="C253" t="str"/>
    </x:row>
    <x:row r="254">
      <x:c r="A254" s="28" t="n">
        <x:v>251</x:v>
      </x:c>
      <x:c r="B254" s="52" t="str">
        <x:v>        row.prenom,</x:v>
      </x:c>
      <x:c r="C254" t="str"/>
    </x:row>
    <x:row r="255">
      <x:c r="A255" s="28" t="n">
        <x:v>252</x:v>
      </x:c>
      <x:c r="B255" s="52" t="str">
        <x:v>        row.statut,</x:v>
      </x:c>
      <x:c r="C255" t="str"/>
    </x:row>
    <x:row r="256">
      <x:c r="A256" s="28" t="n">
        <x:v>253</x:v>
      </x:c>
      <x:c r="B256" s="52" t="str">
        <x:v>        row.cayenne,</x:v>
      </x:c>
      <x:c r="C256" t="str"/>
    </x:row>
    <x:row r="257">
      <x:c r="A257" s="28" t="n">
        <x:v>254</x:v>
      </x:c>
      <x:c r="B257" s="52" t="str">
        <x:v>        row.reponse,</x:v>
      </x:c>
      <x:c r="C257" t="str"/>
    </x:row>
    <x:row r="258">
      <x:c r="A258" s="28" t="n">
        <x:v>255</x:v>
      </x:c>
      <x:c r="B258" s="52" t="str">
        <x:v>        row.causes,</x:v>
      </x:c>
      <x:c r="C258" t="str"/>
    </x:row>
    <x:row r="259">
      <x:c r="A259" s="28" t="n">
        <x:v>256</x:v>
      </x:c>
      <x:c r="B259" s="52" t="str">
        <x:v>        row.precision,</x:v>
      </x:c>
      <x:c r="C259" t="str"/>
    </x:row>
    <x:row r="260">
      <x:c r="A260" s="28" t="n">
        <x:v>257</x:v>
      </x:c>
      <x:c r="B260" s="52" t="str">
        <x:v>        row.aide,</x:v>
      </x:c>
      <x:c r="C260" t="str"/>
    </x:row>
    <x:row r="261">
      <x:c r="A261" s="28" t="n">
        <x:v>258</x:v>
      </x:c>
      <x:c r="B261" s="52" t="str">
        <x:v>        [row.heureDebut, row.heureFin].filter(Boolean).join(' - ')</x:v>
      </x:c>
      <x:c r="C261" t="str"/>
    </x:row>
    <x:row r="262">
      <x:c r="A262" s="28" t="n">
        <x:v>259</x:v>
      </x:c>
      <x:c r="B262" s="52" t="str">
        <x:v>      ];</x:v>
      </x:c>
      <x:c r="C262" t="str"/>
    </x:row>
    <x:row r="263">
      <x:c r="A263" s="28" t="n">
        <x:v>260</x:v>
      </x:c>
      <x:c r="B263" s="52" t="str">
        <x:v>    });</x:v>
      </x:c>
      <x:c r="C263" t="str"/>
    </x:row>
    <x:row r="264">
      <x:c r="A264" s="28" t="n">
        <x:v>261</x:v>
      </x:c>
      <x:c r="B264" s="52" t="str">
        <x:v>    sheet.getRange(11, 1, values.length, headers.length).setValues(values);</x:v>
      </x:c>
      <x:c r="C264" t="str"/>
    </x:row>
    <x:row r="265">
      <x:c r="A265" s="28" t="n">
        <x:v>262</x:v>
      </x:c>
      <x:c r="B265" s="52" t="str">
        <x:v>  }</x:v>
      </x:c>
      <x:c r="C265" t="str"/>
    </x:row>
    <x:row r="266">
      <x:c r="A266" s="28" t="n">
        <x:v>263</x:v>
      </x:c>
      <x:c r="B266" s="52" t="str"/>
      <x:c r="C266" t="str"/>
    </x:row>
    <x:row r="267">
      <x:c r="A267" s="28" t="n">
        <x:v>264</x:v>
      </x:c>
      <x:c r="B267" s="52" t="str">
        <x:v>  sheet.autoResizeColumns(1, headers.length);</x:v>
      </x:c>
      <x:c r="C267" t="str"/>
    </x:row>
    <x:row r="268">
      <x:c r="A268" s="28" t="n">
        <x:v>265</x:v>
      </x:c>
      <x:c r="B268" s="52" t="str">
        <x:v>  sheet.setFrozenRows(10);</x:v>
      </x:c>
      <x:c r="C268" t="str"/>
    </x:row>
    <x:row r="269">
      <x:c r="A269" s="28" t="n">
        <x:v>266</x:v>
      </x:c>
      <x:c r="B269" s="52" t="str">
        <x:v>  colorResponseColumn_(sheet, 11, Math.max(rows.length, 1));</x:v>
      </x:c>
      <x:c r="C269" t="str"/>
    </x:row>
    <x:row r="270">
      <x:c r="A270" s="28" t="n">
        <x:v>267</x:v>
      </x:c>
      <x:c r="B270" s="52" t="str">
        <x:v>  markResponseReportSheet_(event.ID_Evenement, sheetName);</x:v>
      </x:c>
      <x:c r="C270" t="str"/>
    </x:row>
    <x:row r="271">
      <x:c r="A271" s="28" t="n">
        <x:v>268</x:v>
      </x:c>
      <x:c r="B271" s="52" t="str"/>
      <x:c r="C271" t="str"/>
    </x:row>
    <x:row r="272">
      <x:c r="A272" s="28" t="n">
        <x:v>269</x:v>
      </x:c>
      <x:c r="B272" s="52" t="str">
        <x:v>  return {</x:v>
      </x:c>
      <x:c r="C272" t="str"/>
    </x:row>
    <x:row r="273">
      <x:c r="A273" s="28" t="n">
        <x:v>270</x:v>
      </x:c>
      <x:c r="B273" s="52" t="str">
        <x:v>    ok: true,</x:v>
      </x:c>
      <x:c r="C273" t="str"/>
    </x:row>
    <x:row r="274">
      <x:c r="A274" s="28" t="n">
        <x:v>271</x:v>
      </x:c>
      <x:c r="B274" s="52" t="str">
        <x:v>    sheetName: sheetName,</x:v>
      </x:c>
      <x:c r="C274" t="str"/>
    </x:row>
    <x:row r="275">
      <x:c r="A275" s="28" t="n">
        <x:v>272</x:v>
      </x:c>
      <x:c r="B275" s="52" t="str">
        <x:v>    sheetUrl: ss.getUrl() + '#gid=' + sheet.getSheetId(),</x:v>
      </x:c>
      <x:c r="C275" t="str"/>
    </x:row>
    <x:row r="276">
      <x:c r="A276" s="28" t="n">
        <x:v>273</x:v>
      </x:c>
      <x:c r="B276" s="52" t="str">
        <x:v>    counts: {</x:v>
      </x:c>
      <x:c r="C276" t="str"/>
    </x:row>
    <x:row r="277">
      <x:c r="A277" s="28" t="n">
        <x:v>274</x:v>
      </x:c>
      <x:c r="B277" s="52" t="str">
        <x:v>      presents: presentCount,</x:v>
      </x:c>
      <x:c r="C277" t="str"/>
    </x:row>
    <x:row r="278">
      <x:c r="A278" s="28" t="n">
        <x:v>275</x:v>
      </x:c>
      <x:c r="B278" s="52" t="str">
        <x:v>      excuses: excusedCount,</x:v>
      </x:c>
      <x:c r="C278" t="str"/>
    </x:row>
    <x:row r="279">
      <x:c r="A279" s="28" t="n">
        <x:v>276</x:v>
      </x:c>
      <x:c r="B279" s="52" t="str">
        <x:v>      sansReponse: noResponseCount,</x:v>
      </x:c>
      <x:c r="C279" t="str"/>
    </x:row>
    <x:row r="280">
      <x:c r="A280" s="28" t="n">
        <x:v>277</x:v>
      </x:c>
      <x:c r="B280" s="52" t="str">
        <x:v>      aides: aidCount</x:v>
      </x:c>
      <x:c r="C280" t="str"/>
    </x:row>
    <x:row r="281">
      <x:c r="A281" s="28" t="n">
        <x:v>278</x:v>
      </x:c>
      <x:c r="B281" s="52" t="str">
        <x:v>    }</x:v>
      </x:c>
      <x:c r="C281" t="str"/>
    </x:row>
    <x:row r="282">
      <x:c r="A282" s="28" t="n">
        <x:v>279</x:v>
      </x:c>
      <x:c r="B282" s="52" t="str">
        <x:v>  };</x:v>
      </x:c>
      <x:c r="C282" t="str"/>
    </x:row>
    <x:row r="283">
      <x:c r="A283" s="28" t="n">
        <x:v>280</x:v>
      </x:c>
      <x:c r="B283" s="52" t="str">
        <x:v>}</x:v>
      </x:c>
      <x:c r="C283" t="str"/>
    </x:row>
    <x:row r="284">
      <x:c r="A284" s="28" t="n">
        <x:v>281</x:v>
      </x:c>
      <x:c r="B284" s="52" t="str"/>
      <x:c r="C284" t="str"/>
    </x:row>
    <x:row r="285">
      <x:c r="A285" s="28" t="n">
        <x:v>282</x:v>
      </x:c>
      <x:c r="B285" s="52" t="str">
        <x:v>function generateAllEventSheets(year, adminPin) {</x:v>
      </x:c>
      <x:c r="C285" t="str"/>
    </x:row>
    <x:row r="286">
      <x:c r="A286" s="28" t="n">
        <x:v>283</x:v>
      </x:c>
      <x:c r="B286" s="52" t="str">
        <x:v>  if (typeof adminPin !== 'undefined') assertAdmin_(adminPin);</x:v>
      </x:c>
      <x:c r="C286" t="str"/>
    </x:row>
    <x:row r="287">
      <x:c r="A287" s="28" t="n">
        <x:v>284</x:v>
      </x:c>
      <x:c r="B287" s="52" t="str">
        <x:v>  const targetYear = Number(year || getSettings_().annee_active || UC_APP.defaults.activeYear);</x:v>
      </x:c>
      <x:c r="C287" t="str"/>
    </x:row>
    <x:row r="288">
      <x:c r="A288" s="28" t="n">
        <x:v>285</x:v>
      </x:c>
      <x:c r="B288" s="52" t="str">
        <x:v>  const events = getEventsForYear_(targetYear);</x:v>
      </x:c>
      <x:c r="C288" t="str"/>
    </x:row>
    <x:row r="289">
      <x:c r="A289" s="28" t="n">
        <x:v>286</x:v>
      </x:c>
      <x:c r="B289" s="52" t="str">
        <x:v>  return events.map(function(event) {</x:v>
      </x:c>
      <x:c r="C289" t="str"/>
    </x:row>
    <x:row r="290">
      <x:c r="A290" s="28" t="n">
        <x:v>287</x:v>
      </x:c>
      <x:c r="B290" s="52" t="str">
        <x:v>    return generateEventSheet(event.ID_Evenement);</x:v>
      </x:c>
      <x:c r="C290" t="str"/>
    </x:row>
    <x:row r="291">
      <x:c r="A291" s="28" t="n">
        <x:v>288</x:v>
      </x:c>
      <x:c r="B291" s="52" t="str">
        <x:v>  });</x:v>
      </x:c>
      <x:c r="C291" t="str"/>
    </x:row>
    <x:row r="292">
      <x:c r="A292" s="28" t="n">
        <x:v>289</x:v>
      </x:c>
      <x:c r="B292" s="52" t="str">
        <x:v>}</x:v>
      </x:c>
      <x:c r="C292" t="str"/>
    </x:row>
    <x:row r="293">
      <x:c r="A293" s="28" t="n">
        <x:v>290</x:v>
      </x:c>
      <x:c r="B293" s="52" t="str"/>
      <x:c r="C293" t="str"/>
    </x:row>
    <x:row r="294">
      <x:c r="A294" s="28" t="n">
        <x:v>291</x:v>
      </x:c>
      <x:c r="B294" s="52" t="str">
        <x:v>function generateAllEventSheetsForActiveYear() {</x:v>
      </x:c>
      <x:c r="C294" t="str"/>
    </x:row>
    <x:row r="295">
      <x:c r="A295" s="28" t="n">
        <x:v>292</x:v>
      </x:c>
      <x:c r="B295" s="52" t="str">
        <x:v>  const results = generateAllEventSheets(getSettings_().annee_active);</x:v>
      </x:c>
      <x:c r="C295" t="str"/>
    </x:row>
    <x:row r="296">
      <x:c r="A296" s="28" t="n">
        <x:v>293</x:v>
      </x:c>
      <x:c r="B296" s="52" t="str">
        <x:v>  SpreadsheetApp.getUi().alert(results.length + ' feuille(s) événement générée(s).');</x:v>
      </x:c>
      <x:c r="C296" t="str"/>
    </x:row>
    <x:row r="297">
      <x:c r="A297" s="28" t="n">
        <x:v>294</x:v>
      </x:c>
      <x:c r="B297" s="52" t="str">
        <x:v>}</x:v>
      </x:c>
      <x:c r="C297" t="str"/>
    </x:row>
    <x:row r="298">
      <x:c r="A298" s="28" t="n">
        <x:v>295</x:v>
      </x:c>
      <x:c r="B298" s="52" t="str"/>
      <x:c r="C298" t="str"/>
    </x:row>
    <x:row r="299">
      <x:c r="A299" s="28" t="n">
        <x:v>296</x:v>
      </x:c>
      <x:c r="B299" s="52" t="str">
        <x:v>function refreshDashboardSheet() {</x:v>
      </x:c>
      <x:c r="C299" t="str"/>
    </x:row>
    <x:row r="300">
      <x:c r="A300" s="28" t="n">
        <x:v>297</x:v>
      </x:c>
      <x:c r="B300" s="52" t="str">
        <x:v>  const ss = SpreadsheetApp.getActive();</x:v>
      </x:c>
      <x:c r="C300" t="str"/>
    </x:row>
    <x:row r="301">
      <x:c r="A301" s="28" t="n">
        <x:v>298</x:v>
      </x:c>
      <x:c r="B301" s="52" t="str">
        <x:v>  const sheet = ss.getSheetByName(UC_APP.sheets.dashboard);</x:v>
      </x:c>
      <x:c r="C301" t="str"/>
    </x:row>
    <x:row r="302">
      <x:c r="A302" s="28" t="n">
        <x:v>299</x:v>
      </x:c>
      <x:c r="B302" s="52" t="str">
        <x:v>  if (!sheet) return;</x:v>
      </x:c>
      <x:c r="C302" t="str"/>
    </x:row>
    <x:row r="303">
      <x:c r="A303" s="28" t="n">
        <x:v>300</x:v>
      </x:c>
      <x:c r="B303" s="52" t="str">
        <x:v>  const year = Number(getSettings_().annee_active || UC_APP.defaults.activeYear);</x:v>
      </x:c>
      <x:c r="C303" t="str"/>
    </x:row>
    <x:row r="304">
      <x:c r="A304" s="28" t="n">
        <x:v>301</x:v>
      </x:c>
      <x:c r="B304" s="52" t="str">
        <x:v>  const data = computeDashboard_(year);</x:v>
      </x:c>
      <x:c r="C304" t="str"/>
    </x:row>
    <x:row r="305">
      <x:c r="A305" s="28" t="n">
        <x:v>302</x:v>
      </x:c>
      <x:c r="B305" s="52" t="str"/>
      <x:c r="C305" t="str"/>
    </x:row>
    <x:row r="306">
      <x:c r="A306" s="28" t="n">
        <x:v>303</x:v>
      </x:c>
      <x:c r="B306" s="52" t="str">
        <x:v>  sheet.clear();</x:v>
      </x:c>
      <x:c r="C306" t="str"/>
    </x:row>
    <x:row r="307">
      <x:c r="A307" s="28" t="n">
        <x:v>304</x:v>
      </x:c>
      <x:c r="B307" s="52" t="str">
        <x:v>  sheet.setHiddenGridlines(true);</x:v>
      </x:c>
      <x:c r="C307" t="str"/>
    </x:row>
    <x:row r="308">
      <x:c r="A308" s="28" t="n">
        <x:v>305</x:v>
      </x:c>
      <x:c r="B308" s="52" t="str">
        <x:v>  sheet.getRange('A1:H1').merge().setValue('Dashboard annuel des présences - ' + year);</x:v>
      </x:c>
      <x:c r="C308" t="str"/>
    </x:row>
    <x:row r="309">
      <x:c r="A309" s="28" t="n">
        <x:v>306</x:v>
      </x:c>
      <x:c r="B309" s="52" t="str">
        <x:v>  sheet.getRange('A1').setFontSize(16).setFontWeight('bold').setFontColor('#FFFFFF').setBackground('#7A1F2B');</x:v>
      </x:c>
      <x:c r="C309" t="str"/>
    </x:row>
    <x:row r="310">
      <x:c r="A310" s="28" t="n">
        <x:v>307</x:v>
      </x:c>
      <x:c r="B310" s="52" t="str"/>
      <x:c r="C310" t="str"/>
    </x:row>
    <x:row r="311">
      <x:c r="A311" s="28" t="n">
        <x:v>308</x:v>
      </x:c>
      <x:c r="B311" s="52" t="str">
        <x:v>  sheet.getRange('A3:B8').setValues([</x:v>
      </x:c>
      <x:c r="C311" t="str"/>
    </x:row>
    <x:row r="312">
      <x:c r="A312" s="28" t="n">
        <x:v>309</x:v>
      </x:c>
      <x:c r="B312" s="52" t="str">
        <x:v>    ['Événements actifs', data.kpis.events],</x:v>
      </x:c>
      <x:c r="C312" t="str"/>
    </x:row>
    <x:row r="313">
      <x:c r="A313" s="28" t="n">
        <x:v>310</x:v>
      </x:c>
      <x:c r="B313" s="52" t="str">
        <x:v>    ['Membres actifs', data.kpis.members],</x:v>
      </x:c>
      <x:c r="C313" t="str"/>
    </x:row>
    <x:row r="314">
      <x:c r="A314" s="28" t="n">
        <x:v>311</x:v>
      </x:c>
      <x:c r="B314" s="52" t="str">
        <x:v>    ['Présents', data.kpis.presents],</x:v>
      </x:c>
      <x:c r="C314" t="str"/>
    </x:row>
    <x:row r="315">
      <x:c r="A315" s="28" t="n">
        <x:v>312</x:v>
      </x:c>
      <x:c r="B315" s="52" t="str">
        <x:v>    ['Absents excusés', data.kpis.excused],</x:v>
      </x:c>
      <x:c r="C315" t="str"/>
    </x:row>
    <x:row r="316">
      <x:c r="A316" s="28" t="n">
        <x:v>313</x:v>
      </x:c>
      <x:c r="B316" s="52" t="str">
        <x:v>    ['Sans réponse', data.kpis.noResponse],</x:v>
      </x:c>
      <x:c r="C316" t="str"/>
    </x:row>
    <x:row r="317">
      <x:c r="A317" s="28" t="n">
        <x:v>314</x:v>
      </x:c>
      <x:c r="B317" s="52" t="str">
        <x:v>    ['Aides proposées', data.kpis.aids]</x:v>
      </x:c>
      <x:c r="C317" t="str"/>
    </x:row>
    <x:row r="318">
      <x:c r="A318" s="28" t="n">
        <x:v>315</x:v>
      </x:c>
      <x:c r="B318" s="52" t="str">
        <x:v>  ]);</x:v>
      </x:c>
      <x:c r="C318" t="str"/>
    </x:row>
    <x:row r="319">
      <x:c r="A319" s="28" t="n">
        <x:v>316</x:v>
      </x:c>
      <x:c r="B319" s="52" t="str">
        <x:v>  sheet.getRange('A3:A8').setFontWeight('bold').setBackground('#F2E7E9');</x:v>
      </x:c>
      <x:c r="C319" t="str"/>
    </x:row>
    <x:row r="320">
      <x:c r="A320" s="28" t="n">
        <x:v>317</x:v>
      </x:c>
      <x:c r="B320" s="52" t="str">
        <x:v>  sheet.getRange('B3:B8').setFontWeight('bold').setNumberFormat('0');</x:v>
      </x:c>
      <x:c r="C320" t="str"/>
    </x:row>
    <x:row r="321">
      <x:c r="A321" s="28" t="n">
        <x:v>318</x:v>
      </x:c>
      <x:c r="B321" s="52" t="str"/>
      <x:c r="C321" t="str"/>
    </x:row>
    <x:row r="322">
      <x:c r="A322" s="28" t="n">
        <x:v>319</x:v>
      </x:c>
      <x:c r="B322" s="52" t="str">
        <x:v>  sheet.getRange('D3:H3').setValues([['Événement', 'Date', 'Présents', 'Excusés', 'Sans réponse']]);</x:v>
      </x:c>
      <x:c r="C322" t="str"/>
    </x:row>
    <x:row r="323">
      <x:c r="A323" s="28" t="n">
        <x:v>320</x:v>
      </x:c>
      <x:c r="B323" s="52" t="str">
        <x:v>  sheet.getRange('D3:H3').setFontWeight('bold').setFontColor('#FFFFFF').setBackground('#3F3F46');</x:v>
      </x:c>
      <x:c r="C323" t="str"/>
    </x:row>
    <x:row r="324">
      <x:c r="A324" s="28" t="n">
        <x:v>321</x:v>
      </x:c>
      <x:c r="B324" s="52" t="str">
        <x:v>  const eventRows = data.events.map(function(event) {</x:v>
      </x:c>
      <x:c r="C324" t="str"/>
    </x:row>
    <x:row r="325">
      <x:c r="A325" s="28" t="n">
        <x:v>322</x:v>
      </x:c>
      <x:c r="B325" s="52" t="str">
        <x:v>    return [event.title, event.date, event.presents, event.excused, event.noResponse];</x:v>
      </x:c>
      <x:c r="C325" t="str"/>
    </x:row>
    <x:row r="326">
      <x:c r="A326" s="28" t="n">
        <x:v>323</x:v>
      </x:c>
      <x:c r="B326" s="52" t="str">
        <x:v>  });</x:v>
      </x:c>
      <x:c r="C326" t="str"/>
    </x:row>
    <x:row r="327">
      <x:c r="A327" s="28" t="n">
        <x:v>324</x:v>
      </x:c>
      <x:c r="B327" s="52" t="str">
        <x:v>  if (eventRows.length) sheet.getRange(4, 4, eventRows.length, 5).setValues(eventRows);</x:v>
      </x:c>
      <x:c r="C327" t="str"/>
    </x:row>
    <x:row r="328">
      <x:c r="A328" s="28" t="n">
        <x:v>325</x:v>
      </x:c>
      <x:c r="B328" s="52" t="str"/>
      <x:c r="C328" t="str"/>
    </x:row>
    <x:row r="329">
      <x:c r="A329" s="28" t="n">
        <x:v>326</x:v>
      </x:c>
      <x:c r="B329" s="52" t="str">
        <x:v>  const causeRows = data.causes.map(function(cause) {</x:v>
      </x:c>
      <x:c r="C329" t="str"/>
    </x:row>
    <x:row r="330">
      <x:c r="A330" s="28" t="n">
        <x:v>327</x:v>
      </x:c>
      <x:c r="B330" s="52" t="str">
        <x:v>    return [cause.cause, cause.count];</x:v>
      </x:c>
      <x:c r="C330" t="str"/>
    </x:row>
    <x:row r="331">
      <x:c r="A331" s="28" t="n">
        <x:v>328</x:v>
      </x:c>
      <x:c r="B331" s="52" t="str">
        <x:v>  });</x:v>
      </x:c>
      <x:c r="C331" t="str"/>
    </x:row>
    <x:row r="332">
      <x:c r="A332" s="28" t="n">
        <x:v>329</x:v>
      </x:c>
      <x:c r="B332" s="52" t="str">
        <x:v>  sheet.getRange('A11:B11').setValues([['Causes d’absence', 'Total']]);</x:v>
      </x:c>
      <x:c r="C332" t="str"/>
    </x:row>
    <x:row r="333">
      <x:c r="A333" s="28" t="n">
        <x:v>330</x:v>
      </x:c>
      <x:c r="B333" s="52" t="str">
        <x:v>  sheet.getRange('A11:B11').setFontWeight('bold').setFontColor('#FFFFFF').setBackground('#3F3F46');</x:v>
      </x:c>
      <x:c r="C333" t="str"/>
    </x:row>
    <x:row r="334">
      <x:c r="A334" s="28" t="n">
        <x:v>331</x:v>
      </x:c>
      <x:c r="B334" s="52" t="str">
        <x:v>  if (causeRows.length) sheet.getRange(12, 1, causeRows.length, 2).setValues(causeRows);</x:v>
      </x:c>
      <x:c r="C334" t="str"/>
    </x:row>
    <x:row r="335">
      <x:c r="A335" s="28" t="n">
        <x:v>332</x:v>
      </x:c>
      <x:c r="B335" s="52" t="str"/>
      <x:c r="C335" t="str"/>
    </x:row>
    <x:row r="336">
      <x:c r="A336" s="28" t="n">
        <x:v>333</x:v>
      </x:c>
      <x:c r="B336" s="52" t="str">
        <x:v>  const memberRows = data.members.map(function(member) {</x:v>
      </x:c>
      <x:c r="C336" t="str"/>
    </x:row>
    <x:row r="337">
      <x:c r="A337" s="28" t="n">
        <x:v>334</x:v>
      </x:c>
      <x:c r="B337" s="52" t="str">
        <x:v>    return [member.nom, member.prenom, member.statut, member.cayenne, member.presents, member.excused, member.noResponse, member.aids, member.presenceRate];</x:v>
      </x:c>
      <x:c r="C337" t="str"/>
    </x:row>
    <x:row r="338">
      <x:c r="A338" s="28" t="n">
        <x:v>335</x:v>
      </x:c>
      <x:c r="B338" s="52" t="str">
        <x:v>  });</x:v>
      </x:c>
      <x:c r="C338" t="str"/>
    </x:row>
    <x:row r="339">
      <x:c r="A339" s="28" t="n">
        <x:v>336</x:v>
      </x:c>
      <x:c r="B339" s="52" t="str">
        <x:v>  sheet.getRange('A23:I23').setValues([['Nom', 'Prénom', 'Statut', 'Cayenne', 'Présences', 'Excusés', 'Sans réponse', 'Aides', 'Taux']]);</x:v>
      </x:c>
      <x:c r="C339" t="str"/>
    </x:row>
    <x:row r="340">
      <x:c r="A340" s="28" t="n">
        <x:v>337</x:v>
      </x:c>
      <x:c r="B340" s="52" t="str">
        <x:v>  sheet.getRange('A23:I23').setFontWeight('bold').setFontColor('#FFFFFF').setBackground('#3F3F46');</x:v>
      </x:c>
      <x:c r="C340" t="str"/>
    </x:row>
    <x:row r="341">
      <x:c r="A341" s="28" t="n">
        <x:v>338</x:v>
      </x:c>
      <x:c r="B341" s="52" t="str">
        <x:v>  if (memberRows.length) {</x:v>
      </x:c>
      <x:c r="C341" t="str"/>
    </x:row>
    <x:row r="342">
      <x:c r="A342" s="28" t="n">
        <x:v>339</x:v>
      </x:c>
      <x:c r="B342" s="52" t="str">
        <x:v>    sheet.getRange(24, 1, memberRows.length, 9).setValues(memberRows);</x:v>
      </x:c>
      <x:c r="C342" t="str"/>
    </x:row>
    <x:row r="343">
      <x:c r="A343" s="28" t="n">
        <x:v>340</x:v>
      </x:c>
      <x:c r="B343" s="52" t="str">
        <x:v>    sheet.getRange(24, 9, memberRows.length, 1).setNumberFormat('0%');</x:v>
      </x:c>
      <x:c r="C343" t="str"/>
    </x:row>
    <x:row r="344">
      <x:c r="A344" s="28" t="n">
        <x:v>341</x:v>
      </x:c>
      <x:c r="B344" s="52" t="str">
        <x:v>  }</x:v>
      </x:c>
      <x:c r="C344" t="str"/>
    </x:row>
    <x:row r="345">
      <x:c r="A345" s="28" t="n">
        <x:v>342</x:v>
      </x:c>
      <x:c r="B345" s="52" t="str"/>
      <x:c r="C345" t="str"/>
    </x:row>
    <x:row r="346">
      <x:c r="A346" s="28" t="n">
        <x:v>343</x:v>
      </x:c>
      <x:c r="B346" s="52" t="str">
        <x:v>  sheet.autoResizeColumns(1, 9);</x:v>
      </x:c>
      <x:c r="C346" t="str"/>
    </x:row>
    <x:row r="347">
      <x:c r="A347" s="28" t="n">
        <x:v>344</x:v>
      </x:c>
      <x:c r="B347" s="52" t="str">
        <x:v>}</x:v>
      </x:c>
      <x:c r="C347" t="str"/>
    </x:row>
    <x:row r="348">
      <x:c r="A348" s="28" t="n">
        <x:v>345</x:v>
      </x:c>
      <x:c r="B348" s="52" t="str"/>
      <x:c r="C348" t="str"/>
    </x:row>
    <x:row r="349">
      <x:c r="A349" s="28" t="n">
        <x:v>346</x:v>
      </x:c>
      <x:c r="B349" s="52" t="str">
        <x:v>function exportActiveSheetPdf() {</x:v>
      </x:c>
      <x:c r="C349" t="str"/>
    </x:row>
    <x:row r="350">
      <x:c r="A350" s="28" t="n">
        <x:v>347</x:v>
      </x:c>
      <x:c r="B350" s="52" t="str">
        <x:v>  const ss = SpreadsheetApp.getActive();</x:v>
      </x:c>
      <x:c r="C350" t="str"/>
    </x:row>
    <x:row r="351">
      <x:c r="A351" s="28" t="n">
        <x:v>348</x:v>
      </x:c>
      <x:c r="B351" s="52" t="str">
        <x:v>  const sheet = ss.getActiveSheet();</x:v>
      </x:c>
      <x:c r="C351" t="str"/>
    </x:row>
    <x:row r="352">
      <x:c r="A352" s="28" t="n">
        <x:v>349</x:v>
      </x:c>
      <x:c r="B352" s="52" t="str">
        <x:v>  const file = exportSheetToPdf_(sheet);</x:v>
      </x:c>
      <x:c r="C352" t="str"/>
    </x:row>
    <x:row r="353">
      <x:c r="A353" s="28" t="n">
        <x:v>350</x:v>
      </x:c>
      <x:c r="B353" s="52" t="str">
        <x:v>  SpreadsheetApp.getUi().alert('PDF créé : ' + file.getUrl());</x:v>
      </x:c>
      <x:c r="C353" t="str"/>
    </x:row>
    <x:row r="354">
      <x:c r="A354" s="28" t="n">
        <x:v>351</x:v>
      </x:c>
      <x:c r="B354" s="52" t="str">
        <x:v>}</x:v>
      </x:c>
      <x:c r="C354" t="str"/>
    </x:row>
    <x:row r="355">
      <x:c r="A355" s="28" t="n">
        <x:v>352</x:v>
      </x:c>
      <x:c r="B355" s="52" t="str"/>
      <x:c r="C355" t="str"/>
    </x:row>
    <x:row r="356">
      <x:c r="A356" s="28" t="n">
        <x:v>353</x:v>
      </x:c>
      <x:c r="B356" s="52" t="str">
        <x:v>function setupSystemIfMissing_() {</x:v>
      </x:c>
      <x:c r="C356" t="str"/>
    </x:row>
    <x:row r="357">
      <x:c r="A357" s="28" t="n">
        <x:v>354</x:v>
      </x:c>
      <x:c r="B357" s="52" t="str">
        <x:v>  const ss = SpreadsheetApp.getActive();</x:v>
      </x:c>
      <x:c r="C357" t="str"/>
    </x:row>
    <x:row r="358">
      <x:c r="A358" s="28" t="n">
        <x:v>355</x:v>
      </x:c>
      <x:c r="B358" s="52" t="str">
        <x:v>  if (!ss.getSheetByName(UC_APP.sheets.reponses)) setupSystem();</x:v>
      </x:c>
      <x:c r="C358" t="str"/>
    </x:row>
    <x:row r="359">
      <x:c r="A359" s="28" t="n">
        <x:v>356</x:v>
      </x:c>
      <x:c r="B359" s="52" t="str">
        <x:v>}</x:v>
      </x:c>
      <x:c r="C359" t="str"/>
    </x:row>
    <x:row r="360">
      <x:c r="A360" s="28" t="n">
        <x:v>357</x:v>
      </x:c>
      <x:c r="B360" s="52" t="str"/>
      <x:c r="C360" t="str"/>
    </x:row>
    <x:row r="361">
      <x:c r="A361" s="28" t="n">
        <x:v>358</x:v>
      </x:c>
      <x:c r="B361" s="52" t="str">
        <x:v>function ensureSheet_(ss, name) {</x:v>
      </x:c>
      <x:c r="C361" t="str"/>
    </x:row>
    <x:row r="362">
      <x:c r="A362" s="28" t="n">
        <x:v>359</x:v>
      </x:c>
      <x:c r="B362" s="52" t="str">
        <x:v>  return ss.getSheetByName(name) || ss.insertSheet(name);</x:v>
      </x:c>
      <x:c r="C362" t="str"/>
    </x:row>
    <x:row r="363">
      <x:c r="A363" s="28" t="n">
        <x:v>360</x:v>
      </x:c>
      <x:c r="B363" s="52" t="str">
        <x:v>}</x:v>
      </x:c>
      <x:c r="C363" t="str"/>
    </x:row>
    <x:row r="364">
      <x:c r="A364" s="28" t="n">
        <x:v>361</x:v>
      </x:c>
      <x:c r="B364" s="52" t="str"/>
      <x:c r="C364" t="str"/>
    </x:row>
    <x:row r="365">
      <x:c r="A365" s="28" t="n">
        <x:v>362</x:v>
      </x:c>
      <x:c r="B365" s="52" t="str">
        <x:v>function setupTable_(sheet, headers) {</x:v>
      </x:c>
      <x:c r="C365" t="str"/>
    </x:row>
    <x:row r="366">
      <x:c r="A366" s="28" t="n">
        <x:v>363</x:v>
      </x:c>
      <x:c r="B366" s="52" t="str">
        <x:v>  if (sheet.getLastRow() === 0 || sheet.getRange(1, 1).getValue() === '') {</x:v>
      </x:c>
      <x:c r="C366" t="str"/>
    </x:row>
    <x:row r="367">
      <x:c r="A367" s="28" t="n">
        <x:v>364</x:v>
      </x:c>
      <x:c r="B367" s="52" t="str">
        <x:v>    sheet.getRange(1, 1, 1, headers.length).setValues([headers]);</x:v>
      </x:c>
      <x:c r="C367" t="str"/>
    </x:row>
    <x:row r="368">
      <x:c r="A368" s="28" t="n">
        <x:v>365</x:v>
      </x:c>
      <x:c r="B368" s="52" t="str">
        <x:v>  } else {</x:v>
      </x:c>
      <x:c r="C368" t="str"/>
    </x:row>
    <x:row r="369">
      <x:c r="A369" s="28" t="n">
        <x:v>366</x:v>
      </x:c>
      <x:c r="B369" s="52" t="str">
        <x:v>    const current = sheet.getRange(1, 1, 1, headers.length).getValues()[0];</x:v>
      </x:c>
      <x:c r="C369" t="str"/>
    </x:row>
    <x:row r="370">
      <x:c r="A370" s="28" t="n">
        <x:v>367</x:v>
      </x:c>
      <x:c r="B370" s="52" t="str">
        <x:v>    const shouldRewrite = headers.some(function(header, index) { return current[index] !== header; });</x:v>
      </x:c>
      <x:c r="C370" t="str"/>
    </x:row>
    <x:row r="371">
      <x:c r="A371" s="28" t="n">
        <x:v>368</x:v>
      </x:c>
      <x:c r="B371" s="52" t="str">
        <x:v>    if (shouldRewrite) sheet.getRange(1, 1, 1, headers.length).setValues([headers]);</x:v>
      </x:c>
      <x:c r="C371" t="str"/>
    </x:row>
    <x:row r="372">
      <x:c r="A372" s="28" t="n">
        <x:v>369</x:v>
      </x:c>
      <x:c r="B372" s="52" t="str">
        <x:v>  }</x:v>
      </x:c>
      <x:c r="C372" t="str"/>
    </x:row>
    <x:row r="373">
      <x:c r="A373" s="28" t="n">
        <x:v>370</x:v>
      </x:c>
      <x:c r="B373" s="52" t="str">
        <x:v>  sheet.getRange(1, 1, 1, headers.length).setFontWeight('bold').setFontColor('#FFFFFF').setBackground('#7A1F2B');</x:v>
      </x:c>
      <x:c r="C373" t="str"/>
    </x:row>
    <x:row r="374">
      <x:c r="A374" s="28" t="n">
        <x:v>371</x:v>
      </x:c>
      <x:c r="B374" s="52" t="str">
        <x:v>  sheet.setFrozenRows(1);</x:v>
      </x:c>
      <x:c r="C374" t="str"/>
    </x:row>
    <x:row r="375">
      <x:c r="A375" s="28" t="n">
        <x:v>372</x:v>
      </x:c>
      <x:c r="B375" s="52" t="str">
        <x:v>  sheet.autoResizeColumns(1, headers.length);</x:v>
      </x:c>
      <x:c r="C375" t="str"/>
    </x:row>
    <x:row r="376">
      <x:c r="A376" s="28" t="n">
        <x:v>373</x:v>
      </x:c>
      <x:c r="B376" s="52" t="str">
        <x:v>}</x:v>
      </x:c>
      <x:c r="C376" t="str"/>
    </x:row>
    <x:row r="377">
      <x:c r="A377" s="28" t="n">
        <x:v>374</x:v>
      </x:c>
      <x:c r="B377" s="52" t="str"/>
      <x:c r="C377" t="str"/>
    </x:row>
    <x:row r="378">
      <x:c r="A378" s="28" t="n">
        <x:v>375</x:v>
      </x:c>
      <x:c r="B378" s="52" t="str">
        <x:v>function setupParametres_(sheet) {</x:v>
      </x:c>
      <x:c r="C378" t="str"/>
    </x:row>
    <x:row r="379">
      <x:c r="A379" s="28" t="n">
        <x:v>376</x:v>
      </x:c>
      <x:c r="B379" s="52" t="str">
        <x:v>  sheet.clear();</x:v>
      </x:c>
      <x:c r="C379" t="str"/>
    </x:row>
    <x:row r="380">
      <x:c r="A380" s="28" t="n">
        <x:v>377</x:v>
      </x:c>
      <x:c r="B380" s="52" t="str">
        <x:v>  sheet.setHiddenGridlines(true);</x:v>
      </x:c>
      <x:c r="C380" t="str"/>
    </x:row>
    <x:row r="381">
      <x:c r="A381" s="28" t="n">
        <x:v>378</x:v>
      </x:c>
      <x:c r="B381" s="52" t="str">
        <x:v>  sheet.getRange('A1:C1').setValues([['Paramètre', 'Valeur', 'Description']]);</x:v>
      </x:c>
      <x:c r="C381" t="str"/>
    </x:row>
    <x:row r="382">
      <x:c r="A382" s="28" t="n">
        <x:v>379</x:v>
      </x:c>
      <x:c r="B382" s="52" t="str">
        <x:v>  sheet.getRange('A1:C1').setFontWeight('bold').setFontColor('#FFFFFF').setBackground('#7A1F2B');</x:v>
      </x:c>
      <x:c r="C382" t="str"/>
    </x:row>
    <x:row r="383">
      <x:c r="A383" s="28" t="n">
        <x:v>380</x:v>
      </x:c>
      <x:c r="B383" s="52" t="str">
        <x:v>  sheet.getRange('A2:C6').setValues([</x:v>
      </x:c>
      <x:c r="C383" t="str"/>
    </x:row>
    <x:row r="384">
      <x:c r="A384" s="28" t="n">
        <x:v>381</x:v>
      </x:c>
      <x:c r="B384" s="52" t="str">
        <x:v>    ['annee_active', UC_APP.defaults.activeYear, 'Année suivie par défaut'],</x:v>
      </x:c>
      <x:c r="C384" t="str"/>
    </x:row>
    <x:row r="385">
      <x:c r="A385" s="28" t="n">
        <x:v>382</x:v>
      </x:c>
      <x:c r="B385" s="52" t="str">
        <x:v>    ['cayenne_principale', 'Paris', 'Cayenne proposée en premier'],</x:v>
      </x:c>
      <x:c r="C385" t="str"/>
    </x:row>
    <x:row r="386">
      <x:c r="A386" s="28" t="n">
        <x:v>383</x:v>
      </x:c>
      <x:c r="B386" s="52" t="str">
        <x:v>    ['admin_pin', UC_APP.defaults.adminPin, 'Code d’accès au dashboard admin'],</x:v>
      </x:c>
      <x:c r="C386" t="str"/>
    </x:row>
    <x:row r="387">
      <x:c r="A387" s="28" t="n">
        <x:v>384</x:v>
      </x:c>
      <x:c r="B387" s="52" t="str">
        <x:v>    ['nom_application', 'Présences Cayenne de Paris', 'Titre affiché dans le formulaire'],</x:v>
      </x:c>
      <x:c r="C387" t="str"/>
    </x:row>
    <x:row r="388">
      <x:c r="A388" s="28" t="n">
        <x:v>385</x:v>
      </x:c>
      <x:c r="B388" s="52" t="str">
        <x:v>    ['derniere_generation', '', 'Renseigné automatiquement si besoin']</x:v>
      </x:c>
      <x:c r="C388" t="str"/>
    </x:row>
    <x:row r="389">
      <x:c r="A389" s="28" t="n">
        <x:v>386</x:v>
      </x:c>
      <x:c r="B389" s="52" t="str">
        <x:v>  ]);</x:v>
      </x:c>
      <x:c r="C389" t="str"/>
    </x:row>
    <x:row r="390">
      <x:c r="A390" s="28" t="n">
        <x:v>387</x:v>
      </x:c>
      <x:c r="B390" s="52" t="str"/>
      <x:c r="C390" t="str"/>
    </x:row>
    <x:row r="391">
      <x:c r="A391" s="28" t="n">
        <x:v>388</x:v>
      </x:c>
      <x:c r="B391" s="52" t="str">
        <x:v>  writeVerticalList_(sheet, 'D', 'Statuts', UC_APP.defaults.statuses);</x:v>
      </x:c>
      <x:c r="C391" t="str"/>
    </x:row>
    <x:row r="392">
      <x:c r="A392" s="28" t="n">
        <x:v>389</x:v>
      </x:c>
      <x:c r="B392" s="52" t="str">
        <x:v>  writeVerticalList_(sheet, 'E', 'Cayennes', UC_APP.defaults.cayennes);</x:v>
      </x:c>
      <x:c r="C392" t="str"/>
    </x:row>
    <x:row r="393">
      <x:c r="A393" s="28" t="n">
        <x:v>390</x:v>
      </x:c>
      <x:c r="B393" s="52" t="str">
        <x:v>  writeVerticalList_(sheet, 'F', 'Réponses', UC_APP.defaults.reponses);</x:v>
      </x:c>
      <x:c r="C393" t="str"/>
    </x:row>
    <x:row r="394">
      <x:c r="A394" s="28" t="n">
        <x:v>391</x:v>
      </x:c>
      <x:c r="B394" s="52" t="str">
        <x:v>  writeVerticalList_(sheet, 'G', 'Causes', UC_APP.defaults.causes);</x:v>
      </x:c>
      <x:c r="C394" t="str"/>
    </x:row>
    <x:row r="395">
      <x:c r="A395" s="28" t="n">
        <x:v>392</x:v>
      </x:c>
      <x:c r="B395" s="52" t="str">
        <x:v>  writeVerticalList_(sheet, 'H', 'Types événements', UC_APP.defaults.eventTypes);</x:v>
      </x:c>
      <x:c r="C395" t="str"/>
    </x:row>
    <x:row r="396">
      <x:c r="A396" s="28" t="n">
        <x:v>393</x:v>
      </x:c>
      <x:c r="B396" s="52" t="str">
        <x:v>  sheet.autoResizeColumns(1, 8);</x:v>
      </x:c>
      <x:c r="C396" t="str"/>
    </x:row>
    <x:row r="397">
      <x:c r="A397" s="28" t="n">
        <x:v>394</x:v>
      </x:c>
      <x:c r="B397" s="52" t="str">
        <x:v>}</x:v>
      </x:c>
      <x:c r="C397" t="str"/>
    </x:row>
    <x:row r="398">
      <x:c r="A398" s="28" t="n">
        <x:v>395</x:v>
      </x:c>
      <x:c r="B398" s="52" t="str"/>
      <x:c r="C398" t="str"/>
    </x:row>
    <x:row r="399">
      <x:c r="A399" s="28" t="n">
        <x:v>396</x:v>
      </x:c>
      <x:c r="B399" s="52" t="str">
        <x:v>function setupSuiviSheet_(sheet) {</x:v>
      </x:c>
      <x:c r="C399" t="str"/>
    </x:row>
    <x:row r="400">
      <x:c r="A400" s="28" t="n">
        <x:v>397</x:v>
      </x:c>
      <x:c r="B400" s="52" t="str">
        <x:v>  sheet.clear();</x:v>
      </x:c>
      <x:c r="C400" t="str"/>
    </x:row>
    <x:row r="401">
      <x:c r="A401" s="28" t="n">
        <x:v>398</x:v>
      </x:c>
      <x:c r="B401" s="52" t="str">
        <x:v>  sheet.setHiddenGridlines(true);</x:v>
      </x:c>
      <x:c r="C401" t="str"/>
    </x:row>
    <x:row r="402">
      <x:c r="A402" s="28" t="n">
        <x:v>399</x:v>
      </x:c>
      <x:c r="B402" s="52" t="str">
        <x:v>  sheet.getRange('A1:K1').merge().setValue('Suivi annuel par personne');</x:v>
      </x:c>
      <x:c r="C402" t="str"/>
    </x:row>
    <x:row r="403">
      <x:c r="A403" s="28" t="n">
        <x:v>400</x:v>
      </x:c>
      <x:c r="B403" s="52" t="str">
        <x:v>  sheet.getRange('A1').setFontSize(16).setFontWeight('bold').setFontColor('#FFFFFF').setBackground('#7A1F2B');</x:v>
      </x:c>
      <x:c r="C403" t="str"/>
    </x:row>
    <x:row r="404">
      <x:c r="A404" s="28" t="n">
        <x:v>401</x:v>
      </x:c>
      <x:c r="B404" s="52" t="str">
        <x:v>  sheet.getRange('A3:K3').setValues([['Nom', 'Prénom', 'Statut', 'Cayenne', 'Clé personne', 'Présences', 'Absences excusées', 'Sans réponse', 'Aides proposées', 'Taux présence', 'Dernière réponse']]);</x:v>
      </x:c>
      <x:c r="C404" t="str"/>
    </x:row>
    <x:row r="405">
      <x:c r="A405" s="28" t="n">
        <x:v>402</x:v>
      </x:c>
      <x:c r="B405" s="52" t="str">
        <x:v>  sheet.getRange('A3:K3').setFontWeight('bold').setFontColor('#FFFFFF').setBackground('#3F3F46');</x:v>
      </x:c>
      <x:c r="C405" t="str"/>
    </x:row>
    <x:row r="406">
      <x:c r="A406" s="28" t="n">
        <x:v>403</x:v>
      </x:c>
      <x:c r="B406" s="52" t="str"/>
      <x:c r="C406" t="str"/>
    </x:row>
    <x:row r="407">
      <x:c r="A407" s="28" t="n">
        <x:v>404</x:v>
      </x:c>
      <x:c r="B407" s="52" t="str">
        <x:v>  const formulas = [];</x:v>
      </x:c>
      <x:c r="C407" t="str"/>
    </x:row>
    <x:row r="408">
      <x:c r="A408" s="28" t="n">
        <x:v>405</x:v>
      </x:c>
      <x:c r="B408" s="52" t="str">
        <x:v>  for (let row = 4; row &lt;= 203; row++) {</x:v>
      </x:c>
      <x:c r="C408" t="str"/>
    </x:row>
    <x:row r="409">
      <x:c r="A409" s="28" t="n">
        <x:v>406</x:v>
      </x:c>
      <x:c r="B409" s="52" t="str">
        <x:v>    const memberRow = row - 2;</x:v>
      </x:c>
      <x:c r="C409" t="str"/>
    </x:row>
    <x:row r="410">
      <x:c r="A410" s="28" t="n">
        <x:v>407</x:v>
      </x:c>
      <x:c r="B410" s="52" t="str">
        <x:v>    formulas.push([</x:v>
      </x:c>
      <x:c r="C410" t="str"/>
    </x:row>
    <x:row r="411">
      <x:c r="A411" s="28" t="n">
        <x:v>408</x:v>
      </x:c>
      <x:c r="B411" s="52" t="str">
        <x:v>      `=IF('MEMBRES'!A${memberRow}="";"";'MEMBRES'!A${memberRow})`,</x:v>
      </x:c>
      <x:c r="C411" t="str"/>
    </x:row>
    <x:row r="412">
      <x:c r="A412" s="28" t="n">
        <x:v>409</x:v>
      </x:c>
      <x:c r="B412" s="52" t="str">
        <x:v>      `=IF('MEMBRES'!B${memberRow}="";"";'MEMBRES'!B${memberRow})`,</x:v>
      </x:c>
      <x:c r="C412" t="str"/>
    </x:row>
    <x:row r="413">
      <x:c r="A413" s="28" t="n">
        <x:v>410</x:v>
      </x:c>
      <x:c r="B413" s="52" t="str">
        <x:v>      `=IF('MEMBRES'!C${memberRow}="";"";'MEMBRES'!C${memberRow})`,</x:v>
      </x:c>
      <x:c r="C413" t="str"/>
    </x:row>
    <x:row r="414">
      <x:c r="A414" s="28" t="n">
        <x:v>411</x:v>
      </x:c>
      <x:c r="B414" s="52" t="str">
        <x:v>      `=IF('MEMBRES'!D${memberRow}="";"";'MEMBRES'!D${memberRow})`,</x:v>
      </x:c>
      <x:c r="C414" t="str"/>
    </x:row>
    <x:row r="415">
      <x:c r="A415" s="28" t="n">
        <x:v>412</x:v>
      </x:c>
      <x:c r="B415" s="52" t="str">
        <x:v>      `=IF(A${row}="";"";UPPER(TRIM(A${row}&amp;" "&amp;B${row})))`,</x:v>
      </x:c>
      <x:c r="C415" t="str"/>
    </x:row>
    <x:row r="416">
      <x:c r="A416" s="28" t="n">
        <x:v>413</x:v>
      </x:c>
      <x:c r="B416" s="52" t="str">
        <x:v>      `=IF(E${row}="";"";COUNTIFS('REPONSES'!$V$2:$V$2000;E${row};'REPONSES'!$D$2:$D$2000;'PARAMETRES'!$B$2;'REPONSES'!$O$2:$O$2000;"Présent"))`,</x:v>
      </x:c>
      <x:c r="C416" t="str"/>
    </x:row>
    <x:row r="417">
      <x:c r="A417" s="28" t="n">
        <x:v>414</x:v>
      </x:c>
      <x:c r="B417" s="52" t="str">
        <x:v>      `=IF(E${row}="";"";COUNTIFS('REPONSES'!$V$2:$V$2000;E${row};'REPONSES'!$D$2:$D$2000;'PARAMETRES'!$B$2;'REPONSES'!$O$2:$O$2000;"Absent excusé"))`,</x:v>
      </x:c>
      <x:c r="C417" t="str"/>
    </x:row>
    <x:row r="418">
      <x:c r="A418" s="28" t="n">
        <x:v>415</x:v>
      </x:c>
      <x:c r="B418" s="52" t="str">
        <x:v>      `=IF(E${row}="";"";MAX(0;COUNTIFS('CALENDRIER'!$B$2:$B$500;'PARAMETRES'!$B$2;'CALENDRIER'!$K$2:$K$500;"Oui")-F${row}-G${row}))`,</x:v>
      </x:c>
      <x:c r="C418" t="str"/>
    </x:row>
    <x:row r="419">
      <x:c r="A419" s="28" t="n">
        <x:v>416</x:v>
      </x:c>
      <x:c r="B419" s="52" t="str">
        <x:v>      `=IF(E${row}="";"";COUNTIFS('REPONSES'!$V$2:$V$2000;E${row};'REPONSES'!$D$2:$D$2000;'PARAMETRES'!$B$2;'REPONSES'!$R$2:$R$2000;"Oui"))`,</x:v>
      </x:c>
      <x:c r="C419" t="str"/>
    </x:row>
    <x:row r="420">
      <x:c r="A420" s="28" t="n">
        <x:v>417</x:v>
      </x:c>
      <x:c r="B420" s="52" t="str">
        <x:v>      `=IF(E${row}="";"";IFERROR(F${row}/(F${row}+G${row}+H${row});0))`,</x:v>
      </x:c>
      <x:c r="C420" t="str"/>
    </x:row>
    <x:row r="421">
      <x:c r="A421" s="28" t="n">
        <x:v>418</x:v>
      </x:c>
      <x:c r="B421" s="52" t="str">
        <x:v>      `=IF(E${row}="";"";IFERROR(MAXIFS('REPONSES'!$B$2:$B$2000;'REPONSES'!$V$2:$V$2000;E${row};'REPONSES'!$D$2:$D$2000;'PARAMETRES'!$B$2);""))`</x:v>
      </x:c>
      <x:c r="C421" t="str"/>
    </x:row>
    <x:row r="422">
      <x:c r="A422" s="28" t="n">
        <x:v>419</x:v>
      </x:c>
      <x:c r="B422" s="52" t="str">
        <x:v>    ]);</x:v>
      </x:c>
      <x:c r="C422" t="str"/>
    </x:row>
    <x:row r="423">
      <x:c r="A423" s="28" t="n">
        <x:v>420</x:v>
      </x:c>
      <x:c r="B423" s="52" t="str">
        <x:v>  }</x:v>
      </x:c>
      <x:c r="C423" t="str"/>
    </x:row>
    <x:row r="424">
      <x:c r="A424" s="28" t="n">
        <x:v>421</x:v>
      </x:c>
      <x:c r="B424" s="52" t="str">
        <x:v>  sheet.getRange(4, 1, formulas.length, formulas[0].length).setFormulas(formulas);</x:v>
      </x:c>
      <x:c r="C424" t="str"/>
    </x:row>
    <x:row r="425">
      <x:c r="A425" s="28" t="n">
        <x:v>422</x:v>
      </x:c>
      <x:c r="B425" s="52" t="str">
        <x:v>  sheet.getRange('F4:I203').setNumberFormat('0');</x:v>
      </x:c>
      <x:c r="C425" t="str"/>
    </x:row>
    <x:row r="426">
      <x:c r="A426" s="28" t="n">
        <x:v>423</x:v>
      </x:c>
      <x:c r="B426" s="52" t="str">
        <x:v>  sheet.getRange('J4:J203').setNumberFormat('0%');</x:v>
      </x:c>
      <x:c r="C426" t="str"/>
    </x:row>
    <x:row r="427">
      <x:c r="A427" s="28" t="n">
        <x:v>424</x:v>
      </x:c>
      <x:c r="B427" s="52" t="str">
        <x:v>  sheet.getRange('K4:K203').setNumberFormat('yyyy-mm-dd hh:mm');</x:v>
      </x:c>
      <x:c r="C427" t="str"/>
    </x:row>
    <x:row r="428">
      <x:c r="A428" s="28" t="n">
        <x:v>425</x:v>
      </x:c>
      <x:c r="B428" s="52" t="str">
        <x:v>  sheet.autoResizeColumns(1, 11);</x:v>
      </x:c>
      <x:c r="C428" t="str"/>
    </x:row>
    <x:row r="429">
      <x:c r="A429" s="28" t="n">
        <x:v>426</x:v>
      </x:c>
      <x:c r="B429" s="52" t="str">
        <x:v>}</x:v>
      </x:c>
      <x:c r="C429" t="str"/>
    </x:row>
    <x:row r="430">
      <x:c r="A430" s="28" t="n">
        <x:v>427</x:v>
      </x:c>
      <x:c r="B430" s="52" t="str"/>
      <x:c r="C430" t="str"/>
    </x:row>
    <x:row r="431">
      <x:c r="A431" s="28" t="n">
        <x:v>428</x:v>
      </x:c>
      <x:c r="B431" s="52" t="str">
        <x:v>function setupModeleCr_(sheet) {</x:v>
      </x:c>
      <x:c r="C431" t="str"/>
    </x:row>
    <x:row r="432">
      <x:c r="A432" s="28" t="n">
        <x:v>429</x:v>
      </x:c>
      <x:c r="B432" s="52" t="str">
        <x:v>  sheet.clear();</x:v>
      </x:c>
      <x:c r="C432" t="str"/>
    </x:row>
    <x:row r="433">
      <x:c r="A433" s="28" t="n">
        <x:v>430</x:v>
      </x:c>
      <x:c r="B433" s="52" t="str">
        <x:v>  sheet.setHiddenGridlines(true);</x:v>
      </x:c>
      <x:c r="C433" t="str"/>
    </x:row>
    <x:row r="434">
      <x:c r="A434" s="28" t="n">
        <x:v>431</x:v>
      </x:c>
      <x:c r="B434" s="52" t="str">
        <x:v>  sheet.getRange('A1:I1').merge().setValue('Modèle de feuille événement');</x:v>
      </x:c>
      <x:c r="C434" t="str"/>
    </x:row>
    <x:row r="435">
      <x:c r="A435" s="28" t="n">
        <x:v>432</x:v>
      </x:c>
      <x:c r="B435" s="52" t="str">
        <x:v>  sheet.getRange('A1').setFontSize(16).setFontWeight('bold').setFontColor('#FFFFFF').setBackground('#7A1F2B');</x:v>
      </x:c>
      <x:c r="C435" t="str"/>
    </x:row>
    <x:row r="436">
      <x:c r="A436" s="28" t="n">
        <x:v>433</x:v>
      </x:c>
      <x:c r="B436" s="52" t="str">
        <x:v>  sheet.getRange('A3:I3').merge().setValue('Le menu Présences UC génère automatiquement une feuille CR_ par événement. Cette feuille sert seulement de modèle visuel.');</x:v>
      </x:c>
      <x:c r="C436" t="str"/>
    </x:row>
    <x:row r="437">
      <x:c r="A437" s="28" t="n">
        <x:v>434</x:v>
      </x:c>
      <x:c r="B437" s="52" t="str">
        <x:v>  sheet.getRange('A5:B9').setValues([</x:v>
      </x:c>
      <x:c r="C437" t="str"/>
    </x:row>
    <x:row r="438">
      <x:c r="A438" s="28" t="n">
        <x:v>435</x:v>
      </x:c>
      <x:c r="B438" s="52" t="str">
        <x:v>    ['Présents', ''],</x:v>
      </x:c>
      <x:c r="C438" t="str"/>
    </x:row>
    <x:row r="439">
      <x:c r="A439" s="28" t="n">
        <x:v>436</x:v>
      </x:c>
      <x:c r="B439" s="52" t="str">
        <x:v>    ['Absents excusés', ''],</x:v>
      </x:c>
      <x:c r="C439" t="str"/>
    </x:row>
    <x:row r="440">
      <x:c r="A440" s="28" t="n">
        <x:v>437</x:v>
      </x:c>
      <x:c r="B440" s="52" t="str">
        <x:v>    ['Sans réponse', ''],</x:v>
      </x:c>
      <x:c r="C440" t="str"/>
    </x:row>
    <x:row r="441">
      <x:c r="A441" s="28" t="n">
        <x:v>438</x:v>
      </x:c>
      <x:c r="B441" s="52" t="str">
        <x:v>    ['Disponibles pour aider', ''],</x:v>
      </x:c>
      <x:c r="C441" t="str"/>
    </x:row>
    <x:row r="442">
      <x:c r="A442" s="28" t="n">
        <x:v>439</x:v>
      </x:c>
      <x:c r="B442" s="52" t="str">
        <x:v>    ['Total suivi', '']</x:v>
      </x:c>
      <x:c r="C442" t="str"/>
    </x:row>
    <x:row r="443">
      <x:c r="A443" s="28" t="n">
        <x:v>440</x:v>
      </x:c>
      <x:c r="B443" s="52" t="str">
        <x:v>  ]);</x:v>
      </x:c>
      <x:c r="C443" t="str"/>
    </x:row>
    <x:row r="444">
      <x:c r="A444" s="28" t="n">
        <x:v>441</x:v>
      </x:c>
      <x:c r="B444" s="52" t="str">
        <x:v>  sheet.getRange('A11:I11').setValues([['Nom', 'Prénom', 'Statut', 'Cayenne', 'Réponse', 'Cause', 'Précision', 'Aide', 'Horaire']]);</x:v>
      </x:c>
      <x:c r="C444" t="str"/>
    </x:row>
    <x:row r="445">
      <x:c r="A445" s="28" t="n">
        <x:v>442</x:v>
      </x:c>
      <x:c r="B445" s="52" t="str">
        <x:v>  sheet.getRange('A11:I11').setFontWeight('bold').setFontColor('#FFFFFF').setBackground('#3F3F46');</x:v>
      </x:c>
      <x:c r="C445" t="str"/>
    </x:row>
    <x:row r="446">
      <x:c r="A446" s="28" t="n">
        <x:v>443</x:v>
      </x:c>
      <x:c r="B446" s="52" t="str">
        <x:v>  sheet.autoResizeColumns(1, 9);</x:v>
      </x:c>
      <x:c r="C446" t="str"/>
    </x:row>
    <x:row r="447">
      <x:c r="A447" s="28" t="n">
        <x:v>444</x:v>
      </x:c>
      <x:c r="B447" s="52" t="str">
        <x:v>}</x:v>
      </x:c>
      <x:c r="C447" t="str"/>
    </x:row>
    <x:row r="448">
      <x:c r="A448" s="28" t="n">
        <x:v>445</x:v>
      </x:c>
      <x:c r="B448" s="52" t="str"/>
      <x:c r="C448" t="str"/>
    </x:row>
    <x:row r="449">
      <x:c r="A449" s="28" t="n">
        <x:v>446</x:v>
      </x:c>
      <x:c r="B449" s="52" t="str">
        <x:v>function seedCalendar_(sheet) {</x:v>
      </x:c>
      <x:c r="C449" t="str"/>
    </x:row>
    <x:row r="450">
      <x:c r="A450" s="28" t="n">
        <x:v>447</x:v>
      </x:c>
      <x:c r="B450" s="52" t="str">
        <x:v>  if (sheet.getLastRow() &gt; 1) return;</x:v>
      </x:c>
      <x:c r="C450" t="str"/>
    </x:row>
    <x:row r="451">
      <x:c r="A451" s="28" t="n">
        <x:v>448</x:v>
      </x:c>
      <x:c r="B451" s="52" t="str">
        <x:v>  const year = UC_APP.defaults.activeYear;</x:v>
      </x:c>
      <x:c r="C451" t="str"/>
    </x:row>
    <x:row r="452">
      <x:c r="A452" s="28" t="n">
        <x:v>449</x:v>
      </x:c>
      <x:c r="B452" s="52" t="str">
        <x:v>  const rows = [</x:v>
      </x:c>
      <x:c r="C452" t="str"/>
    </x:row>
    <x:row r="453">
      <x:c r="A453" s="28" t="n">
        <x:v>450</x:v>
      </x:c>
      <x:c r="B453" s="52" t="str">
        <x:v>    ['EVT-2026-JEUNES-01', year, new Date(year, 0, 15), 'Réunion des jeunes janvier', 'Réunion des jeunes', '20:00', '22:00', 'Cayenne de Paris', 'Paris', 'Réunion', 'Oui', 'Exemple à ajuster'],</x:v>
      </x:c>
      <x:c r="C453" t="str"/>
    </x:row>
    <x:row r="454">
      <x:c r="A454" s="28" t="n">
        <x:v>451</x:v>
      </x:c>
      <x:c r="B454" s="52" t="str">
        <x:v>    ['EVT-2026-COMPAGNONS-01', year, new Date(year, 1, 12), 'Réunion compagnon février', 'Réunion compagnon', '20:00', '22:00', 'Cayenne de Paris', 'Paris', 'Réunion', 'Oui', 'Exemple à ajuster'],</x:v>
      </x:c>
      <x:c r="C454" t="str"/>
    </x:row>
    <x:row r="455">
      <x:c r="A455" s="28" t="n">
        <x:v>452</x:v>
      </x:c>
      <x:c r="B455" s="52" t="str">
        <x:v>    ['EVT-2026-COURS-01', year, new Date(year, 2, 14), 'Cours en Cayenne', 'Cours en Cayenne', '09:00', '12:00', 'Cayenne de Paris', 'Paris', 'Cours', 'Oui', 'Date exemple'],</x:v>
      </x:c>
      <x:c r="C455" t="str"/>
    </x:row>
    <x:row r="456">
      <x:c r="A456" s="28" t="n">
        <x:v>453</x:v>
      </x:c>
      <x:c r="B456" s="52" t="str">
        <x:v>    ['EVT-2026-FETE-JUIN', year, new Date(year, 5, 20), 'Fête de juin', 'Fête de juin', '08:00', '23:00', 'Cayenne de Paris', 'Paris', 'Événement', 'Oui', 'Date à confirmer'],</x:v>
      </x:c>
      <x:c r="C456" t="str"/>
    </x:row>
    <x:row r="457">
      <x:c r="A457" s="28" t="n">
        <x:v>454</x:v>
      </x:c>
      <x:c r="B457" s="52" t="str">
        <x:v>    ['EVT-2026-JEP', year, new Date(year, 8, 19), 'Journées européennes du patrimoine', 'JEP', '09:00', '18:00', 'Cayenne de Paris', 'Paris', 'Événement', 'Oui', 'Date à confirmer'],</x:v>
      </x:c>
      <x:c r="C457" t="str"/>
    </x:row>
    <x:row r="458">
      <x:c r="A458" s="28" t="n">
        <x:v>455</x:v>
      </x:c>
      <x:c r="B458" s="52" t="str">
        <x:v>    ['EVT-2026-FETE-NOVEMBRE', year, new Date(year, 10, 21), 'Fête de novembre', 'Fête de novembre', '08:00', '23:00', 'Cayenne de Paris', 'Paris', 'Événement', 'Oui', 'Date à confirmer']</x:v>
      </x:c>
      <x:c r="C458" t="str"/>
    </x:row>
    <x:row r="459">
      <x:c r="A459" s="28" t="n">
        <x:v>456</x:v>
      </x:c>
      <x:c r="B459" s="52" t="str">
        <x:v>  ];</x:v>
      </x:c>
      <x:c r="C459" t="str"/>
    </x:row>
    <x:row r="460">
      <x:c r="A460" s="28" t="n">
        <x:v>457</x:v>
      </x:c>
      <x:c r="B460" s="52" t="str">
        <x:v>  sheet.getRange(2, 1, rows.length, rows[0].length).setValues(rows);</x:v>
      </x:c>
      <x:c r="C460" t="str"/>
    </x:row>
    <x:row r="461">
      <x:c r="A461" s="28" t="n">
        <x:v>458</x:v>
      </x:c>
      <x:c r="B461" s="52" t="str">
        <x:v>  sheet.getRange(2, 3, rows.length, 1).setNumberFormat('yyyy-mm-dd');</x:v>
      </x:c>
      <x:c r="C461" t="str"/>
    </x:row>
    <x:row r="462">
      <x:c r="A462" s="28" t="n">
        <x:v>459</x:v>
      </x:c>
      <x:c r="B462" s="52" t="str">
        <x:v>}</x:v>
      </x:c>
      <x:c r="C462" t="str"/>
    </x:row>
    <x:row r="463">
      <x:c r="A463" s="28" t="n">
        <x:v>460</x:v>
      </x:c>
      <x:c r="B463" s="52" t="str"/>
      <x:c r="C463" t="str"/>
    </x:row>
    <x:row r="464">
      <x:c r="A464" s="28" t="n">
        <x:v>461</x:v>
      </x:c>
      <x:c r="B464" s="52" t="str">
        <x:v>function applyValidations_() {</x:v>
      </x:c>
      <x:c r="C464" t="str"/>
    </x:row>
    <x:row r="465">
      <x:c r="A465" s="28" t="n">
        <x:v>462</x:v>
      </x:c>
      <x:c r="B465" s="52" t="str">
        <x:v>  const ss = SpreadsheetApp.getActive();</x:v>
      </x:c>
      <x:c r="C465" t="str"/>
    </x:row>
    <x:row r="466">
      <x:c r="A466" s="28" t="n">
        <x:v>463</x:v>
      </x:c>
      <x:c r="B466" s="52" t="str">
        <x:v>  const membres = ss.getSheetByName(UC_APP.sheets.membres);</x:v>
      </x:c>
      <x:c r="C466" t="str"/>
    </x:row>
    <x:row r="467">
      <x:c r="A467" s="28" t="n">
        <x:v>464</x:v>
      </x:c>
      <x:c r="B467" s="52" t="str">
        <x:v>  const calendrier = ss.getSheetByName(UC_APP.sheets.calendrier);</x:v>
      </x:c>
      <x:c r="C467" t="str"/>
    </x:row>
    <x:row r="468">
      <x:c r="A468" s="28" t="n">
        <x:v>465</x:v>
      </x:c>
      <x:c r="B468" s="52" t="str">
        <x:v>  const reponses = ss.getSheetByName(UC_APP.sheets.reponses);</x:v>
      </x:c>
      <x:c r="C468" t="str"/>
    </x:row>
    <x:row r="469">
      <x:c r="A469" s="28" t="n">
        <x:v>466</x:v>
      </x:c>
      <x:c r="B469" s="52" t="str">
        <x:v>  const statuses = getOptionList_('D', UC_APP.defaults.statuses);</x:v>
      </x:c>
      <x:c r="C469" t="str"/>
    </x:row>
    <x:row r="470">
      <x:c r="A470" s="28" t="n">
        <x:v>467</x:v>
      </x:c>
      <x:c r="B470" s="52" t="str">
        <x:v>  const cayennes = getOptionList_('E', UC_APP.defaults.cayennes);</x:v>
      </x:c>
      <x:c r="C470" t="str"/>
    </x:row>
    <x:row r="471">
      <x:c r="A471" s="28" t="n">
        <x:v>468</x:v>
      </x:c>
      <x:c r="B471" s="52" t="str">
        <x:v>  const responseTypes = ['Présent', 'Absent excusé'];</x:v>
      </x:c>
      <x:c r="C471" t="str"/>
    </x:row>
    <x:row r="472">
      <x:c r="A472" s="28" t="n">
        <x:v>469</x:v>
      </x:c>
      <x:c r="B472" s="52" t="str">
        <x:v>  const eventTypes = getOptionList_('H', UC_APP.defaults.eventTypes);</x:v>
      </x:c>
      <x:c r="C472" t="str"/>
    </x:row>
    <x:row r="473">
      <x:c r="A473" s="28" t="n">
        <x:v>470</x:v>
      </x:c>
      <x:c r="B473" s="52" t="str"/>
      <x:c r="C473" t="str"/>
    </x:row>
    <x:row r="474">
      <x:c r="A474" s="28" t="n">
        <x:v>471</x:v>
      </x:c>
      <x:c r="B474" s="52" t="str">
        <x:v>  setListValidation_(membres.getRange('C2:C500'), statuses);</x:v>
      </x:c>
      <x:c r="C474" t="str"/>
    </x:row>
    <x:row r="475">
      <x:c r="A475" s="28" t="n">
        <x:v>472</x:v>
      </x:c>
      <x:c r="B475" s="52" t="str">
        <x:v>  setListValidation_(membres.getRange('D2:D500'), cayennes);</x:v>
      </x:c>
      <x:c r="C475" t="str"/>
    </x:row>
    <x:row r="476">
      <x:c r="A476" s="28" t="n">
        <x:v>473</x:v>
      </x:c>
      <x:c r="B476" s="52" t="str">
        <x:v>  setListValidation_(membres.getRange('G2:G500'), ['Oui', 'Non']);</x:v>
      </x:c>
      <x:c r="C476" t="str"/>
    </x:row>
    <x:row r="477">
      <x:c r="A477" s="28" t="n">
        <x:v>474</x:v>
      </x:c>
      <x:c r="B477" s="52" t="str">
        <x:v>  setListValidation_(calendrier.getRange('E2:E500'), eventTypes);</x:v>
      </x:c>
      <x:c r="C477" t="str"/>
    </x:row>
    <x:row r="478">
      <x:c r="A478" s="28" t="n">
        <x:v>475</x:v>
      </x:c>
      <x:c r="B478" s="52" t="str">
        <x:v>  setListValidation_(calendrier.getRange('I2:I500'), cayennes);</x:v>
      </x:c>
      <x:c r="C478" t="str"/>
    </x:row>
    <x:row r="479">
      <x:c r="A479" s="28" t="n">
        <x:v>476</x:v>
      </x:c>
      <x:c r="B479" s="52" t="str">
        <x:v>  setListValidation_(calendrier.getRange('K2:K500'), ['Oui', 'Non']);</x:v>
      </x:c>
      <x:c r="C479" t="str"/>
    </x:row>
    <x:row r="480">
      <x:c r="A480" s="28" t="n">
        <x:v>477</x:v>
      </x:c>
      <x:c r="B480" s="52" t="str">
        <x:v>  setListValidation_(reponses.getRange('M2:M2000'), statuses);</x:v>
      </x:c>
      <x:c r="C480" t="str"/>
    </x:row>
    <x:row r="481">
      <x:c r="A481" s="28" t="n">
        <x:v>478</x:v>
      </x:c>
      <x:c r="B481" s="52" t="str">
        <x:v>  setListValidation_(reponses.getRange('N2:N2000'), cayennes);</x:v>
      </x:c>
      <x:c r="C481" t="str"/>
    </x:row>
    <x:row r="482">
      <x:c r="A482" s="28" t="n">
        <x:v>479</x:v>
      </x:c>
      <x:c r="B482" s="52" t="str">
        <x:v>  setListValidation_(reponses.getRange('O2:O2000'), responseTypes);</x:v>
      </x:c>
      <x:c r="C482" t="str"/>
    </x:row>
    <x:row r="483">
      <x:c r="A483" s="28" t="n">
        <x:v>480</x:v>
      </x:c>
      <x:c r="B483" s="52" t="str">
        <x:v>  setListValidation_(reponses.getRange('R2:R2000'), ['Oui', 'Non']);</x:v>
      </x:c>
      <x:c r="C483" t="str"/>
    </x:row>
    <x:row r="484">
      <x:c r="A484" s="28" t="n">
        <x:v>481</x:v>
      </x:c>
      <x:c r="B484" s="52" t="str">
        <x:v>}</x:v>
      </x:c>
      <x:c r="C484" t="str"/>
    </x:row>
    <x:row r="485">
      <x:c r="A485" s="28" t="n">
        <x:v>482</x:v>
      </x:c>
      <x:c r="B485" s="52" t="str"/>
      <x:c r="C485" t="str"/>
    </x:row>
    <x:row r="486">
      <x:c r="A486" s="28" t="n">
        <x:v>483</x:v>
      </x:c>
      <x:c r="B486" s="52" t="str">
        <x:v>function setListValidation_(range, values) {</x:v>
      </x:c>
      <x:c r="C486" t="str"/>
    </x:row>
    <x:row r="487">
      <x:c r="A487" s="28" t="n">
        <x:v>484</x:v>
      </x:c>
      <x:c r="B487" s="52" t="str">
        <x:v>  const rule = SpreadsheetApp.newDataValidation()</x:v>
      </x:c>
      <x:c r="C487" t="str"/>
    </x:row>
    <x:row r="488">
      <x:c r="A488" s="28" t="n">
        <x:v>485</x:v>
      </x:c>
      <x:c r="B488" s="52" t="str">
        <x:v>    .requireValueInList(values, true)</x:v>
      </x:c>
      <x:c r="C488" t="str"/>
    </x:row>
    <x:row r="489">
      <x:c r="A489" s="28" t="n">
        <x:v>486</x:v>
      </x:c>
      <x:c r="B489" s="52" t="str">
        <x:v>    .setAllowInvalid(false)</x:v>
      </x:c>
      <x:c r="C489" t="str"/>
    </x:row>
    <x:row r="490">
      <x:c r="A490" s="28" t="n">
        <x:v>487</x:v>
      </x:c>
      <x:c r="B490" s="52" t="str">
        <x:v>    .build();</x:v>
      </x:c>
      <x:c r="C490" t="str"/>
    </x:row>
    <x:row r="491">
      <x:c r="A491" s="28" t="n">
        <x:v>488</x:v>
      </x:c>
      <x:c r="B491" s="52" t="str">
        <x:v>  range.setDataValidation(rule);</x:v>
      </x:c>
      <x:c r="C491" t="str"/>
    </x:row>
    <x:row r="492">
      <x:c r="A492" s="28" t="n">
        <x:v>489</x:v>
      </x:c>
      <x:c r="B492" s="52" t="str">
        <x:v>}</x:v>
      </x:c>
      <x:c r="C492" t="str"/>
    </x:row>
    <x:row r="493">
      <x:c r="A493" s="28" t="n">
        <x:v>490</x:v>
      </x:c>
      <x:c r="B493" s="52" t="str"/>
      <x:c r="C493" t="str"/>
    </x:row>
    <x:row r="494">
      <x:c r="A494" s="28" t="n">
        <x:v>491</x:v>
      </x:c>
      <x:c r="B494" s="52" t="str">
        <x:v>function writeVerticalList_(sheet, columnLetter, title, values) {</x:v>
      </x:c>
      <x:c r="C494" t="str"/>
    </x:row>
    <x:row r="495">
      <x:c r="A495" s="28" t="n">
        <x:v>492</x:v>
      </x:c>
      <x:c r="B495" s="52" t="str">
        <x:v>  sheet.getRange(columnLetter + '1').setValue(title).setFontWeight('bold').setFontColor('#FFFFFF').setBackground('#3F3F46');</x:v>
      </x:c>
      <x:c r="C495" t="str"/>
    </x:row>
    <x:row r="496">
      <x:c r="A496" s="28" t="n">
        <x:v>493</x:v>
      </x:c>
      <x:c r="B496" s="52" t="str">
        <x:v>  sheet.getRange(columnLetter + '2:' + columnLetter + (values.length + 1)).setValues(values.map(function(value) { return [value]; }));</x:v>
      </x:c>
      <x:c r="C496" t="str"/>
    </x:row>
    <x:row r="497">
      <x:c r="A497" s="28" t="n">
        <x:v>494</x:v>
      </x:c>
      <x:c r="B497" s="52" t="str">
        <x:v>}</x:v>
      </x:c>
      <x:c r="C497" t="str"/>
    </x:row>
    <x:row r="498">
      <x:c r="A498" s="28" t="n">
        <x:v>495</x:v>
      </x:c>
      <x:c r="B498" s="52" t="str"/>
      <x:c r="C498" t="str"/>
    </x:row>
    <x:row r="499">
      <x:c r="A499" s="28" t="n">
        <x:v>496</x:v>
      </x:c>
      <x:c r="B499" s="52" t="str">
        <x:v>function getOptionList_(columnLetter, fallback) {</x:v>
      </x:c>
      <x:c r="C499" t="str"/>
    </x:row>
    <x:row r="500">
      <x:c r="A500" s="28" t="n">
        <x:v>497</x:v>
      </x:c>
      <x:c r="B500" s="52" t="str">
        <x:v>  const sheet = SpreadsheetApp.getActive().getSheetByName(UC_APP.sheets.parametres);</x:v>
      </x:c>
      <x:c r="C500" t="str"/>
    </x:row>
    <x:row r="501">
      <x:c r="A501" s="28" t="n">
        <x:v>498</x:v>
      </x:c>
      <x:c r="B501" s="52" t="str">
        <x:v>  if (!sheet) return fallback;</x:v>
      </x:c>
      <x:c r="C501" t="str"/>
    </x:row>
    <x:row r="502">
      <x:c r="A502" s="28" t="n">
        <x:v>499</x:v>
      </x:c>
      <x:c r="B502" s="52" t="str">
        <x:v>  const values = sheet.getRange(columnLetter + '2:' + columnLetter + '100').getValues()</x:v>
      </x:c>
      <x:c r="C502" t="str"/>
    </x:row>
    <x:row r="503">
      <x:c r="A503" s="28" t="n">
        <x:v>500</x:v>
      </x:c>
      <x:c r="B503" s="52" t="str">
        <x:v>    .map(function(row) { return clean_(row[0]); })</x:v>
      </x:c>
      <x:c r="C503" t="str"/>
    </x:row>
    <x:row r="504">
      <x:c r="A504" s="28" t="n">
        <x:v>501</x:v>
      </x:c>
      <x:c r="B504" s="52" t="str">
        <x:v>    .filter(Boolean);</x:v>
      </x:c>
      <x:c r="C504" t="str"/>
    </x:row>
    <x:row r="505">
      <x:c r="A505" s="28" t="n">
        <x:v>502</x:v>
      </x:c>
      <x:c r="B505" s="52" t="str">
        <x:v>  return values.length ? values : fallback;</x:v>
      </x:c>
      <x:c r="C505" t="str"/>
    </x:row>
    <x:row r="506">
      <x:c r="A506" s="28" t="n">
        <x:v>503</x:v>
      </x:c>
      <x:c r="B506" s="52" t="str">
        <x:v>}</x:v>
      </x:c>
      <x:c r="C506" t="str"/>
    </x:row>
    <x:row r="507">
      <x:c r="A507" s="28" t="n">
        <x:v>504</x:v>
      </x:c>
      <x:c r="B507" s="52" t="str"/>
      <x:c r="C507" t="str"/>
    </x:row>
    <x:row r="508">
      <x:c r="A508" s="28" t="n">
        <x:v>505</x:v>
      </x:c>
      <x:c r="B508" s="52" t="str">
        <x:v>function getSettings_() {</x:v>
      </x:c>
      <x:c r="C508" t="str"/>
    </x:row>
    <x:row r="509">
      <x:c r="A509" s="28" t="n">
        <x:v>506</x:v>
      </x:c>
      <x:c r="B509" s="52" t="str">
        <x:v>  const sheet = SpreadsheetApp.getActive().getSheetByName(UC_APP.sheets.parametres);</x:v>
      </x:c>
      <x:c r="C509" t="str"/>
    </x:row>
    <x:row r="510">
      <x:c r="A510" s="28" t="n">
        <x:v>507</x:v>
      </x:c>
      <x:c r="B510" s="52" t="str">
        <x:v>  if (!sheet) return {};</x:v>
      </x:c>
      <x:c r="C510" t="str"/>
    </x:row>
    <x:row r="511">
      <x:c r="A511" s="28" t="n">
        <x:v>508</x:v>
      </x:c>
      <x:c r="B511" s="52" t="str">
        <x:v>  const values = sheet.getRange('A2:B50').getValues();</x:v>
      </x:c>
      <x:c r="C511" t="str"/>
    </x:row>
    <x:row r="512">
      <x:c r="A512" s="28" t="n">
        <x:v>509</x:v>
      </x:c>
      <x:c r="B512" s="52" t="str">
        <x:v>  return values.reduce(function(settings, row) {</x:v>
      </x:c>
      <x:c r="C512" t="str"/>
    </x:row>
    <x:row r="513">
      <x:c r="A513" s="28" t="n">
        <x:v>510</x:v>
      </x:c>
      <x:c r="B513" s="52" t="str">
        <x:v>    const key = clean_(row[0]);</x:v>
      </x:c>
      <x:c r="C513" t="str"/>
    </x:row>
    <x:row r="514">
      <x:c r="A514" s="28" t="n">
        <x:v>511</x:v>
      </x:c>
      <x:c r="B514" s="52" t="str">
        <x:v>    if (key) settings[key] = row[1];</x:v>
      </x:c>
      <x:c r="C514" t="str"/>
    </x:row>
    <x:row r="515">
      <x:c r="A515" s="28" t="n">
        <x:v>512</x:v>
      </x:c>
      <x:c r="B515" s="52" t="str">
        <x:v>    return settings;</x:v>
      </x:c>
      <x:c r="C515" t="str"/>
    </x:row>
    <x:row r="516">
      <x:c r="A516" s="28" t="n">
        <x:v>513</x:v>
      </x:c>
      <x:c r="B516" s="52" t="str">
        <x:v>  }, {});</x:v>
      </x:c>
      <x:c r="C516" t="str"/>
    </x:row>
    <x:row r="517">
      <x:c r="A517" s="28" t="n">
        <x:v>514</x:v>
      </x:c>
      <x:c r="B517" s="52" t="str">
        <x:v>}</x:v>
      </x:c>
      <x:c r="C517" t="str"/>
    </x:row>
    <x:row r="518">
      <x:c r="A518" s="28" t="n">
        <x:v>515</x:v>
      </x:c>
      <x:c r="B518" s="52" t="str"/>
      <x:c r="C518" t="str"/>
    </x:row>
    <x:row r="519">
      <x:c r="A519" s="28" t="n">
        <x:v>516</x:v>
      </x:c>
      <x:c r="B519" s="52" t="str">
        <x:v>function assertAdmin_(pin) {</x:v>
      </x:c>
      <x:c r="C519" t="str"/>
    </x:row>
    <x:row r="520">
      <x:c r="A520" s="28" t="n">
        <x:v>517</x:v>
      </x:c>
      <x:c r="B520" s="52" t="str">
        <x:v>  const expected = String(getSettings_().admin_pin || UC_APP.defaults.adminPin).trim();</x:v>
      </x:c>
      <x:c r="C520" t="str"/>
    </x:row>
    <x:row r="521">
      <x:c r="A521" s="28" t="n">
        <x:v>518</x:v>
      </x:c>
      <x:c r="B521" s="52" t="str">
        <x:v>  if (String(pin || '').trim() !== expected) throw new Error('Code admin incorrect.');</x:v>
      </x:c>
      <x:c r="C521" t="str"/>
    </x:row>
    <x:row r="522">
      <x:c r="A522" s="28" t="n">
        <x:v>519</x:v>
      </x:c>
      <x:c r="B522" s="52" t="str">
        <x:v>}</x:v>
      </x:c>
      <x:c r="C522" t="str"/>
    </x:row>
    <x:row r="523">
      <x:c r="A523" s="28" t="n">
        <x:v>520</x:v>
      </x:c>
      <x:c r="B523" s="52" t="str"/>
      <x:c r="C523" t="str"/>
    </x:row>
    <x:row r="524">
      <x:c r="A524" s="28" t="n">
        <x:v>521</x:v>
      </x:c>
      <x:c r="B524" s="52" t="str">
        <x:v>function getEventsForYear_(year) {</x:v>
      </x:c>
      <x:c r="C524" t="str"/>
    </x:row>
    <x:row r="525">
      <x:c r="A525" s="28" t="n">
        <x:v>522</x:v>
      </x:c>
      <x:c r="B525" s="52" t="str">
        <x:v>  return getRowsAsObjects_(UC_APP.sheets.calendrier)</x:v>
      </x:c>
      <x:c r="C525" t="str"/>
    </x:row>
    <x:row r="526">
      <x:c r="A526" s="28" t="n">
        <x:v>523</x:v>
      </x:c>
      <x:c r="B526" s="52" t="str">
        <x:v>    .filter(function(row) {</x:v>
      </x:c>
      <x:c r="C526" t="str"/>
    </x:row>
    <x:row r="527">
      <x:c r="A527" s="28" t="n">
        <x:v>524</x:v>
      </x:c>
      <x:c r="B527" s="52" t="str">
        <x:v>      return Number(row.Annee) === Number(year) &amp;&amp; isActive_(row.Actif);</x:v>
      </x:c>
      <x:c r="C527" t="str"/>
    </x:row>
    <x:row r="528">
      <x:c r="A528" s="28" t="n">
        <x:v>525</x:v>
      </x:c>
      <x:c r="B528" s="52" t="str">
        <x:v>    })</x:v>
      </x:c>
      <x:c r="C528" t="str"/>
    </x:row>
    <x:row r="529">
      <x:c r="A529" s="28" t="n">
        <x:v>526</x:v>
      </x:c>
      <x:c r="B529" s="52" t="str">
        <x:v>    .sort(function(a, b) { return asDate_(a.Date) - asDate_(b.Date); });</x:v>
      </x:c>
      <x:c r="C529" t="str"/>
    </x:row>
    <x:row r="530">
      <x:c r="A530" s="28" t="n">
        <x:v>527</x:v>
      </x:c>
      <x:c r="B530" s="52" t="str">
        <x:v>}</x:v>
      </x:c>
      <x:c r="C530" t="str"/>
    </x:row>
    <x:row r="531">
      <x:c r="A531" s="28" t="n">
        <x:v>528</x:v>
      </x:c>
      <x:c r="B531" s="52" t="str"/>
      <x:c r="C531" t="str"/>
    </x:row>
    <x:row r="532">
      <x:c r="A532" s="28" t="n">
        <x:v>529</x:v>
      </x:c>
      <x:c r="B532" s="52" t="str">
        <x:v>function formatEventForClient_(event) {</x:v>
      </x:c>
      <x:c r="C532" t="str"/>
    </x:row>
    <x:row r="533">
      <x:c r="A533" s="28" t="n">
        <x:v>530</x:v>
      </x:c>
      <x:c r="B533" s="52" t="str">
        <x:v>  return {</x:v>
      </x:c>
      <x:c r="C533" t="str"/>
    </x:row>
    <x:row r="534">
      <x:c r="A534" s="28" t="n">
        <x:v>531</x:v>
      </x:c>
      <x:c r="B534" s="52" t="str">
        <x:v>    id: event.ID_Evenement,</x:v>
      </x:c>
      <x:c r="C534" t="str"/>
    </x:row>
    <x:row r="535">
      <x:c r="A535" s="28" t="n">
        <x:v>532</x:v>
      </x:c>
      <x:c r="B535" s="52" t="str">
        <x:v>    year: Number(event.Annee),</x:v>
      </x:c>
      <x:c r="C535" t="str"/>
    </x:row>
    <x:row r="536">
      <x:c r="A536" s="28" t="n">
        <x:v>533</x:v>
      </x:c>
      <x:c r="B536" s="52" t="str">
        <x:v>    date: formatDate_(event.Date),</x:v>
      </x:c>
      <x:c r="C536" t="str"/>
    </x:row>
    <x:row r="537">
      <x:c r="A537" s="28" t="n">
        <x:v>534</x:v>
      </x:c>
      <x:c r="B537" s="52" t="str">
        <x:v>    title: event.Titre,</x:v>
      </x:c>
      <x:c r="C537" t="str"/>
    </x:row>
    <x:row r="538">
      <x:c r="A538" s="28" t="n">
        <x:v>535</x:v>
      </x:c>
      <x:c r="B538" s="52" t="str">
        <x:v>    type: event.Type_Evenement,</x:v>
      </x:c>
      <x:c r="C538" t="str"/>
    </x:row>
    <x:row r="539">
      <x:c r="A539" s="28" t="n">
        <x:v>536</x:v>
      </x:c>
      <x:c r="B539" s="52" t="str">
        <x:v>    start: event.Heure_Debut,</x:v>
      </x:c>
      <x:c r="C539" t="str"/>
    </x:row>
    <x:row r="540">
      <x:c r="A540" s="28" t="n">
        <x:v>537</x:v>
      </x:c>
      <x:c r="B540" s="52" t="str">
        <x:v>    end: event.Heure_Fin,</x:v>
      </x:c>
      <x:c r="C540" t="str"/>
    </x:row>
    <x:row r="541">
      <x:c r="A541" s="28" t="n">
        <x:v>538</x:v>
      </x:c>
      <x:c r="B541" s="52" t="str">
        <x:v>    place: event.Lieu,</x:v>
      </x:c>
      <x:c r="C541" t="str"/>
    </x:row>
    <x:row r="542">
      <x:c r="A542" s="28" t="n">
        <x:v>539</x:v>
      </x:c>
      <x:c r="B542" s="52" t="str">
        <x:v>    cayenne: event.Cayenne</x:v>
      </x:c>
      <x:c r="C542" t="str"/>
    </x:row>
    <x:row r="543">
      <x:c r="A543" s="28" t="n">
        <x:v>540</x:v>
      </x:c>
      <x:c r="B543" s="52" t="str">
        <x:v>  };</x:v>
      </x:c>
      <x:c r="C543" t="str"/>
    </x:row>
    <x:row r="544">
      <x:c r="A544" s="28" t="n">
        <x:v>541</x:v>
      </x:c>
      <x:c r="B544" s="52" t="str">
        <x:v>}</x:v>
      </x:c>
      <x:c r="C544" t="str"/>
    </x:row>
    <x:row r="545">
      <x:c r="A545" s="28" t="n">
        <x:v>542</x:v>
      </x:c>
      <x:c r="B545" s="52" t="str"/>
      <x:c r="C545" t="str"/>
    </x:row>
    <x:row r="546">
      <x:c r="A546" s="28" t="n">
        <x:v>543</x:v>
      </x:c>
      <x:c r="B546" s="52" t="str">
        <x:v>function computeDashboard_(year) {</x:v>
      </x:c>
      <x:c r="C546" t="str"/>
    </x:row>
    <x:row r="547">
      <x:c r="A547" s="28" t="n">
        <x:v>544</x:v>
      </x:c>
      <x:c r="B547" s="52" t="str">
        <x:v>  const events = getEventsForYear_(year);</x:v>
      </x:c>
      <x:c r="C547" t="str"/>
    </x:row>
    <x:row r="548">
      <x:c r="A548" s="28" t="n">
        <x:v>545</x:v>
      </x:c>
      <x:c r="B548" s="52" t="str">
        <x:v>  const members = getRowsAsObjects_(UC_APP.sheets.membres).filter(function(member) {</x:v>
      </x:c>
      <x:c r="C548" t="str"/>
    </x:row>
    <x:row r="549">
      <x:c r="A549" s="28" t="n">
        <x:v>546</x:v>
      </x:c>
      <x:c r="B549" s="52" t="str">
        <x:v>    return member.Nom &amp;&amp; member.Prenom &amp;&amp; isActive_(member.Actif);</x:v>
      </x:c>
      <x:c r="C549" t="str"/>
    </x:row>
    <x:row r="550">
      <x:c r="A550" s="28" t="n">
        <x:v>547</x:v>
      </x:c>
      <x:c r="B550" s="52" t="str">
        <x:v>  });</x:v>
      </x:c>
      <x:c r="C550" t="str"/>
    </x:row>
    <x:row r="551">
      <x:c r="A551" s="28" t="n">
        <x:v>548</x:v>
      </x:c>
      <x:c r="B551" s="52" t="str">
        <x:v>  const responses = getRowsAsObjects_(UC_APP.sheets.reponses).filter(function(row) {</x:v>
      </x:c>
      <x:c r="C551" t="str"/>
    </x:row>
    <x:row r="552">
      <x:c r="A552" s="28" t="n">
        <x:v>549</x:v>
      </x:c>
      <x:c r="B552" s="52" t="str">
        <x:v>    return Number(row.Annee) === Number(year);</x:v>
      </x:c>
      <x:c r="C552" t="str"/>
    </x:row>
    <x:row r="553">
      <x:c r="A553" s="28" t="n">
        <x:v>550</x:v>
      </x:c>
      <x:c r="B553" s="52" t="str">
        <x:v>  });</x:v>
      </x:c>
      <x:c r="C553" t="str"/>
    </x:row>
    <x:row r="554">
      <x:c r="A554" s="28" t="n">
        <x:v>551</x:v>
      </x:c>
      <x:c r="B554" s="52" t="str"/>
      <x:c r="C554" t="str"/>
    </x:row>
    <x:row r="555">
      <x:c r="A555" s="28" t="n">
        <x:v>552</x:v>
      </x:c>
      <x:c r="B555" s="52" t="str">
        <x:v>  const latestByEventPerson = {};</x:v>
      </x:c>
      <x:c r="C555" t="str"/>
    </x:row>
    <x:row r="556">
      <x:c r="A556" s="28" t="n">
        <x:v>553</x:v>
      </x:c>
      <x:c r="B556" s="52" t="str">
        <x:v>  responses.forEach(function(row) {</x:v>
      </x:c>
      <x:c r="C556" t="str"/>
    </x:row>
    <x:row r="557">
      <x:c r="A557" s="28" t="n">
        <x:v>554</x:v>
      </x:c>
      <x:c r="B557" s="52" t="str">
        <x:v>    const key = row.ID_Evenement + '|' + row.Cle_Personne;</x:v>
      </x:c>
      <x:c r="C557" t="str"/>
    </x:row>
    <x:row r="558">
      <x:c r="A558" s="28" t="n">
        <x:v>555</x:v>
      </x:c>
      <x:c r="B558" s="52" t="str">
        <x:v>    const current = latestByEventPerson[key];</x:v>
      </x:c>
      <x:c r="C558" t="str"/>
    </x:row>
    <x:row r="559">
      <x:c r="A559" s="28" t="n">
        <x:v>556</x:v>
      </x:c>
      <x:c r="B559" s="52" t="str">
        <x:v>    if (!current || asDate_(row.Horodatage) &gt; asDate_(current.Horodatage)) latestByEventPerson[key] = row;</x:v>
      </x:c>
      <x:c r="C559" t="str"/>
    </x:row>
    <x:row r="560">
      <x:c r="A560" s="28" t="n">
        <x:v>557</x:v>
      </x:c>
      <x:c r="B560" s="52" t="str">
        <x:v>  });</x:v>
      </x:c>
      <x:c r="C560" t="str"/>
    </x:row>
    <x:row r="561">
      <x:c r="A561" s="28" t="n">
        <x:v>558</x:v>
      </x:c>
      <x:c r="B561" s="52" t="str">
        <x:v>  const latestResponses = Object.keys(latestByEventPerson).map(function(key) { return latestByEventPerson[key]; });</x:v>
      </x:c>
      <x:c r="C561" t="str"/>
    </x:row>
    <x:row r="562">
      <x:c r="A562" s="28" t="n">
        <x:v>559</x:v>
      </x:c>
      <x:c r="B562" s="52" t="str"/>
      <x:c r="C562" t="str"/>
    </x:row>
    <x:row r="563">
      <x:c r="A563" s="28" t="n">
        <x:v>560</x:v>
      </x:c>
      <x:c r="B563" s="52" t="str">
        <x:v>  const membersByKey = {};</x:v>
      </x:c>
      <x:c r="C563" t="str"/>
    </x:row>
    <x:row r="564">
      <x:c r="A564" s="28" t="n">
        <x:v>561</x:v>
      </x:c>
      <x:c r="B564" s="52" t="str">
        <x:v>  members.forEach(function(member) {</x:v>
      </x:c>
      <x:c r="C564" t="str"/>
    </x:row>
    <x:row r="565">
      <x:c r="A565" s="28" t="n">
        <x:v>562</x:v>
      </x:c>
      <x:c r="B565" s="52" t="str">
        <x:v>    const key = personKey_(member.Nom, member.Prenom, member.Email);</x:v>
      </x:c>
      <x:c r="C565" t="str"/>
    </x:row>
    <x:row r="566">
      <x:c r="A566" s="28" t="n">
        <x:v>563</x:v>
      </x:c>
      <x:c r="B566" s="52" t="str">
        <x:v>    membersByKey[key] = member;</x:v>
      </x:c>
      <x:c r="C566" t="str"/>
    </x:row>
    <x:row r="567">
      <x:c r="A567" s="28" t="n">
        <x:v>564</x:v>
      </x:c>
      <x:c r="B567" s="52" t="str">
        <x:v>  });</x:v>
      </x:c>
      <x:c r="C567" t="str"/>
    </x:row>
    <x:row r="568">
      <x:c r="A568" s="28" t="n">
        <x:v>565</x:v>
      </x:c>
      <x:c r="B568" s="52" t="str"/>
      <x:c r="C568" t="str"/>
    </x:row>
    <x:row r="569">
      <x:c r="A569" s="28" t="n">
        <x:v>566</x:v>
      </x:c>
      <x:c r="B569" s="52" t="str">
        <x:v>  const eventStats = events.map(function(event) {</x:v>
      </x:c>
      <x:c r="C569" t="str"/>
    </x:row>
    <x:row r="570">
      <x:c r="A570" s="28" t="n">
        <x:v>567</x:v>
      </x:c>
      <x:c r="B570" s="52" t="str">
        <x:v>    const eventResponses = latestResponses.filter(function(row) { return row.ID_Evenement === event.ID_Evenement; });</x:v>
      </x:c>
      <x:c r="C570" t="str"/>
    </x:row>
    <x:row r="571">
      <x:c r="A571" s="28" t="n">
        <x:v>568</x:v>
      </x:c>
      <x:c r="B571" s="52" t="str">
        <x:v>    const responders = {};</x:v>
      </x:c>
      <x:c r="C571" t="str"/>
    </x:row>
    <x:row r="572">
      <x:c r="A572" s="28" t="n">
        <x:v>569</x:v>
      </x:c>
      <x:c r="B572" s="52" t="str">
        <x:v>    eventResponses.forEach(function(row) { responders[row.Cle_Personne] = true; });</x:v>
      </x:c>
      <x:c r="C572" t="str"/>
    </x:row>
    <x:row r="573">
      <x:c r="A573" s="28" t="n">
        <x:v>570</x:v>
      </x:c>
      <x:c r="B573" s="52" t="str">
        <x:v>    const presents = eventResponses.filter(function(row) { return row.Reponse === 'Présent'; }).length;</x:v>
      </x:c>
      <x:c r="C573" t="str"/>
    </x:row>
    <x:row r="574">
      <x:c r="A574" s="28" t="n">
        <x:v>571</x:v>
      </x:c>
      <x:c r="B574" s="52" t="str">
        <x:v>    const excused = eventResponses.filter(function(row) { return row.Reponse === 'Absent excusé'; }).length;</x:v>
      </x:c>
      <x:c r="C574" t="str"/>
    </x:row>
    <x:row r="575">
      <x:c r="A575" s="28" t="n">
        <x:v>572</x:v>
      </x:c>
      <x:c r="B575" s="52" t="str">
        <x:v>    const aids = eventResponses.filter(function(row) { return row.Aide_Disponible === 'Oui'; }).length;</x:v>
      </x:c>
      <x:c r="C575" t="str"/>
    </x:row>
    <x:row r="576">
      <x:c r="A576" s="28" t="n">
        <x:v>573</x:v>
      </x:c>
      <x:c r="B576" s="52" t="str">
        <x:v>    return {</x:v>
      </x:c>
      <x:c r="C576" t="str"/>
    </x:row>
    <x:row r="577">
      <x:c r="A577" s="28" t="n">
        <x:v>574</x:v>
      </x:c>
      <x:c r="B577" s="52" t="str">
        <x:v>      id: event.ID_Evenement,</x:v>
      </x:c>
      <x:c r="C577" t="str"/>
    </x:row>
    <x:row r="578">
      <x:c r="A578" s="28" t="n">
        <x:v>575</x:v>
      </x:c>
      <x:c r="B578" s="52" t="str">
        <x:v>      title: event.Titre,</x:v>
      </x:c>
      <x:c r="C578" t="str"/>
    </x:row>
    <x:row r="579">
      <x:c r="A579" s="28" t="n">
        <x:v>576</x:v>
      </x:c>
      <x:c r="B579" s="52" t="str">
        <x:v>      type: event.Type_Evenement,</x:v>
      </x:c>
      <x:c r="C579" t="str"/>
    </x:row>
    <x:row r="580">
      <x:c r="A580" s="28" t="n">
        <x:v>577</x:v>
      </x:c>
      <x:c r="B580" s="52" t="str">
        <x:v>      date: formatDate_(event.Date),</x:v>
      </x:c>
      <x:c r="C580" t="str"/>
    </x:row>
    <x:row r="581">
      <x:c r="A581" s="28" t="n">
        <x:v>578</x:v>
      </x:c>
      <x:c r="B581" s="52" t="str">
        <x:v>      presents: presents,</x:v>
      </x:c>
      <x:c r="C581" t="str"/>
    </x:row>
    <x:row r="582">
      <x:c r="A582" s="28" t="n">
        <x:v>579</x:v>
      </x:c>
      <x:c r="B582" s="52" t="str">
        <x:v>      excused: excused,</x:v>
      </x:c>
      <x:c r="C582" t="str"/>
    </x:row>
    <x:row r="583">
      <x:c r="A583" s="28" t="n">
        <x:v>580</x:v>
      </x:c>
      <x:c r="B583" s="52" t="str">
        <x:v>      aids: aids,</x:v>
      </x:c>
      <x:c r="C583" t="str"/>
    </x:row>
    <x:row r="584">
      <x:c r="A584" s="28" t="n">
        <x:v>581</x:v>
      </x:c>
      <x:c r="B584" s="52" t="str">
        <x:v>      noResponse: Math.max(0, members.length - Object.keys(responders).length),</x:v>
      </x:c>
      <x:c r="C584" t="str"/>
    </x:row>
    <x:row r="585">
      <x:c r="A585" s="28" t="n">
        <x:v>582</x:v>
      </x:c>
      <x:c r="B585" s="52" t="str">
        <x:v>      sheetName: makeCrSheetName_(event)</x:v>
      </x:c>
      <x:c r="C585" t="str"/>
    </x:row>
    <x:row r="586">
      <x:c r="A586" s="28" t="n">
        <x:v>583</x:v>
      </x:c>
      <x:c r="B586" s="52" t="str">
        <x:v>    };</x:v>
      </x:c>
      <x:c r="C586" t="str"/>
    </x:row>
    <x:row r="587">
      <x:c r="A587" s="28" t="n">
        <x:v>584</x:v>
      </x:c>
      <x:c r="B587" s="52" t="str">
        <x:v>  });</x:v>
      </x:c>
      <x:c r="C587" t="str"/>
    </x:row>
    <x:row r="588">
      <x:c r="A588" s="28" t="n">
        <x:v>585</x:v>
      </x:c>
      <x:c r="B588" s="52" t="str"/>
      <x:c r="C588" t="str"/>
    </x:row>
    <x:row r="589">
      <x:c r="A589" s="28" t="n">
        <x:v>586</x:v>
      </x:c>
      <x:c r="B589" s="52" t="str">
        <x:v>  const memberStats = members.map(function(member) {</x:v>
      </x:c>
      <x:c r="C589" t="str"/>
    </x:row>
    <x:row r="590">
      <x:c r="A590" s="28" t="n">
        <x:v>587</x:v>
      </x:c>
      <x:c r="B590" s="52" t="str">
        <x:v>    const key = personKey_(member.Nom, member.Prenom, member.Email);</x:v>
      </x:c>
      <x:c r="C590" t="str"/>
    </x:row>
    <x:row r="591">
      <x:c r="A591" s="28" t="n">
        <x:v>588</x:v>
      </x:c>
      <x:c r="B591" s="52" t="str">
        <x:v>    const memberResponses = latestResponses.filter(function(row) { return row.Cle_Personne === key; });</x:v>
      </x:c>
      <x:c r="C591" t="str"/>
    </x:row>
    <x:row r="592">
      <x:c r="A592" s="28" t="n">
        <x:v>589</x:v>
      </x:c>
      <x:c r="B592" s="52" t="str">
        <x:v>    const answered = {};</x:v>
      </x:c>
      <x:c r="C592" t="str"/>
    </x:row>
    <x:row r="593">
      <x:c r="A593" s="28" t="n">
        <x:v>590</x:v>
      </x:c>
      <x:c r="B593" s="52" t="str">
        <x:v>    memberResponses.forEach(function(row) { answered[row.ID_Evenement] = true; });</x:v>
      </x:c>
      <x:c r="C593" t="str"/>
    </x:row>
    <x:row r="594">
      <x:c r="A594" s="28" t="n">
        <x:v>591</x:v>
      </x:c>
      <x:c r="B594" s="52" t="str">
        <x:v>    const presents = memberResponses.filter(function(row) { return row.Reponse === 'Présent'; }).length;</x:v>
      </x:c>
      <x:c r="C594" t="str"/>
    </x:row>
    <x:row r="595">
      <x:c r="A595" s="28" t="n">
        <x:v>592</x:v>
      </x:c>
      <x:c r="B595" s="52" t="str">
        <x:v>    const excused = memberResponses.filter(function(row) { return row.Reponse === 'Absent excusé'; }).length;</x:v>
      </x:c>
      <x:c r="C595" t="str"/>
    </x:row>
    <x:row r="596">
      <x:c r="A596" s="28" t="n">
        <x:v>593</x:v>
      </x:c>
      <x:c r="B596" s="52" t="str">
        <x:v>    const aids = memberResponses.filter(function(row) { return row.Aide_Disponible === 'Oui'; }).length;</x:v>
      </x:c>
      <x:c r="C596" t="str"/>
    </x:row>
    <x:row r="597">
      <x:c r="A597" s="28" t="n">
        <x:v>594</x:v>
      </x:c>
      <x:c r="B597" s="52" t="str">
        <x:v>    const noResponse = Math.max(0, events.length - Object.keys(answered).length);</x:v>
      </x:c>
      <x:c r="C597" t="str"/>
    </x:row>
    <x:row r="598">
      <x:c r="A598" s="28" t="n">
        <x:v>595</x:v>
      </x:c>
      <x:c r="B598" s="52" t="str">
        <x:v>    const denominator = presents + excused + noResponse;</x:v>
      </x:c>
      <x:c r="C598" t="str"/>
    </x:row>
    <x:row r="599">
      <x:c r="A599" s="28" t="n">
        <x:v>596</x:v>
      </x:c>
      <x:c r="B599" s="52" t="str">
        <x:v>    return {</x:v>
      </x:c>
      <x:c r="C599" t="str"/>
    </x:row>
    <x:row r="600">
      <x:c r="A600" s="28" t="n">
        <x:v>597</x:v>
      </x:c>
      <x:c r="B600" s="52" t="str">
        <x:v>      key: key,</x:v>
      </x:c>
      <x:c r="C600" t="str"/>
    </x:row>
    <x:row r="601">
      <x:c r="A601" s="28" t="n">
        <x:v>598</x:v>
      </x:c>
      <x:c r="B601" s="52" t="str">
        <x:v>      nom: member.Nom,</x:v>
      </x:c>
      <x:c r="C601" t="str"/>
    </x:row>
    <x:row r="602">
      <x:c r="A602" s="28" t="n">
        <x:v>599</x:v>
      </x:c>
      <x:c r="B602" s="52" t="str">
        <x:v>      prenom: member.Prenom,</x:v>
      </x:c>
      <x:c r="C602" t="str"/>
    </x:row>
    <x:row r="603">
      <x:c r="A603" s="28" t="n">
        <x:v>600</x:v>
      </x:c>
      <x:c r="B603" s="52" t="str">
        <x:v>      statut: member.Statut,</x:v>
      </x:c>
      <x:c r="C603" t="str"/>
    </x:row>
    <x:row r="604">
      <x:c r="A604" s="28" t="n">
        <x:v>601</x:v>
      </x:c>
      <x:c r="B604" s="52" t="str">
        <x:v>      cayenne: member.Cayenne,</x:v>
      </x:c>
      <x:c r="C604" t="str"/>
    </x:row>
    <x:row r="605">
      <x:c r="A605" s="28" t="n">
        <x:v>602</x:v>
      </x:c>
      <x:c r="B605" s="52" t="str">
        <x:v>      presents: presents,</x:v>
      </x:c>
      <x:c r="C605" t="str"/>
    </x:row>
    <x:row r="606">
      <x:c r="A606" s="28" t="n">
        <x:v>603</x:v>
      </x:c>
      <x:c r="B606" s="52" t="str">
        <x:v>      excused: excused,</x:v>
      </x:c>
      <x:c r="C606" t="str"/>
    </x:row>
    <x:row r="607">
      <x:c r="A607" s="28" t="n">
        <x:v>604</x:v>
      </x:c>
      <x:c r="B607" s="52" t="str">
        <x:v>      noResponse: noResponse,</x:v>
      </x:c>
      <x:c r="C607" t="str"/>
    </x:row>
    <x:row r="608">
      <x:c r="A608" s="28" t="n">
        <x:v>605</x:v>
      </x:c>
      <x:c r="B608" s="52" t="str">
        <x:v>      aids: aids,</x:v>
      </x:c>
      <x:c r="C608" t="str"/>
    </x:row>
    <x:row r="609">
      <x:c r="A609" s="28" t="n">
        <x:v>606</x:v>
      </x:c>
      <x:c r="B609" s="52" t="str">
        <x:v>      presenceRate: denominator ? presents / denominator : 0</x:v>
      </x:c>
      <x:c r="C609" t="str"/>
    </x:row>
    <x:row r="610">
      <x:c r="A610" s="28" t="n">
        <x:v>607</x:v>
      </x:c>
      <x:c r="B610" s="52" t="str">
        <x:v>    };</x:v>
      </x:c>
      <x:c r="C610" t="str"/>
    </x:row>
    <x:row r="611">
      <x:c r="A611" s="28" t="n">
        <x:v>608</x:v>
      </x:c>
      <x:c r="B611" s="52" t="str">
        <x:v>  });</x:v>
      </x:c>
      <x:c r="C611" t="str"/>
    </x:row>
    <x:row r="612">
      <x:c r="A612" s="28" t="n">
        <x:v>609</x:v>
      </x:c>
      <x:c r="B612" s="52" t="str"/>
      <x:c r="C612" t="str"/>
    </x:row>
    <x:row r="613">
      <x:c r="A613" s="28" t="n">
        <x:v>610</x:v>
      </x:c>
      <x:c r="B613" s="52" t="str">
        <x:v>  const causeMap = {};</x:v>
      </x:c>
      <x:c r="C613" t="str"/>
    </x:row>
    <x:row r="614">
      <x:c r="A614" s="28" t="n">
        <x:v>611</x:v>
      </x:c>
      <x:c r="B614" s="52" t="str">
        <x:v>  latestResponses.forEach(function(row) {</x:v>
      </x:c>
      <x:c r="C614" t="str"/>
    </x:row>
    <x:row r="615">
      <x:c r="A615" s="28" t="n">
        <x:v>612</x:v>
      </x:c>
      <x:c r="B615" s="52" t="str">
        <x:v>    if (row.Reponse !== 'Absent excusé') return;</x:v>
      </x:c>
      <x:c r="C615" t="str"/>
    </x:row>
    <x:row r="616">
      <x:c r="A616" s="28" t="n">
        <x:v>613</x:v>
      </x:c>
      <x:c r="B616" s="52" t="str">
        <x:v>    String(row.Causes || '').split(';').map(clean_).filter(Boolean).forEach(function(cause) {</x:v>
      </x:c>
      <x:c r="C616" t="str"/>
    </x:row>
    <x:row r="617">
      <x:c r="A617" s="28" t="n">
        <x:v>614</x:v>
      </x:c>
      <x:c r="B617" s="52" t="str">
        <x:v>      causeMap[cause] = (causeMap[cause] || 0) + 1;</x:v>
      </x:c>
      <x:c r="C617" t="str"/>
    </x:row>
    <x:row r="618">
      <x:c r="A618" s="28" t="n">
        <x:v>615</x:v>
      </x:c>
      <x:c r="B618" s="52" t="str">
        <x:v>    });</x:v>
      </x:c>
      <x:c r="C618" t="str"/>
    </x:row>
    <x:row r="619">
      <x:c r="A619" s="28" t="n">
        <x:v>616</x:v>
      </x:c>
      <x:c r="B619" s="52" t="str">
        <x:v>  });</x:v>
      </x:c>
      <x:c r="C619" t="str"/>
    </x:row>
    <x:row r="620">
      <x:c r="A620" s="28" t="n">
        <x:v>617</x:v>
      </x:c>
      <x:c r="B620" s="52" t="str"/>
      <x:c r="C620" t="str"/>
    </x:row>
    <x:row r="621">
      <x:c r="A621" s="28" t="n">
        <x:v>618</x:v>
      </x:c>
      <x:c r="B621" s="52" t="str">
        <x:v>  const totalNoResponse = eventStats.reduce(function(sum, event) { return sum + event.noResponse; }, 0);</x:v>
      </x:c>
      <x:c r="C621" t="str"/>
    </x:row>
    <x:row r="622">
      <x:c r="A622" s="28" t="n">
        <x:v>619</x:v>
      </x:c>
      <x:c r="B622" s="52" t="str">
        <x:v>  return {</x:v>
      </x:c>
      <x:c r="C622" t="str"/>
    </x:row>
    <x:row r="623">
      <x:c r="A623" s="28" t="n">
        <x:v>620</x:v>
      </x:c>
      <x:c r="B623" s="52" t="str">
        <x:v>    year: year,</x:v>
      </x:c>
      <x:c r="C623" t="str"/>
    </x:row>
    <x:row r="624">
      <x:c r="A624" s="28" t="n">
        <x:v>621</x:v>
      </x:c>
      <x:c r="B624" s="52" t="str">
        <x:v>    kpis: {</x:v>
      </x:c>
      <x:c r="C624" t="str"/>
    </x:row>
    <x:row r="625">
      <x:c r="A625" s="28" t="n">
        <x:v>622</x:v>
      </x:c>
      <x:c r="B625" s="52" t="str">
        <x:v>      events: events.length,</x:v>
      </x:c>
      <x:c r="C625" t="str"/>
    </x:row>
    <x:row r="626">
      <x:c r="A626" s="28" t="n">
        <x:v>623</x:v>
      </x:c>
      <x:c r="B626" s="52" t="str">
        <x:v>      members: members.length,</x:v>
      </x:c>
      <x:c r="C626" t="str"/>
    </x:row>
    <x:row r="627">
      <x:c r="A627" s="28" t="n">
        <x:v>624</x:v>
      </x:c>
      <x:c r="B627" s="52" t="str">
        <x:v>      responses: latestResponses.length,</x:v>
      </x:c>
      <x:c r="C627" t="str"/>
    </x:row>
    <x:row r="628">
      <x:c r="A628" s="28" t="n">
        <x:v>625</x:v>
      </x:c>
      <x:c r="B628" s="52" t="str">
        <x:v>      presents: latestResponses.filter(function(row) { return row.Reponse === 'Présent'; }).length,</x:v>
      </x:c>
      <x:c r="C628" t="str"/>
    </x:row>
    <x:row r="629">
      <x:c r="A629" s="28" t="n">
        <x:v>626</x:v>
      </x:c>
      <x:c r="B629" s="52" t="str">
        <x:v>      excused: latestResponses.filter(function(row) { return row.Reponse === 'Absent excusé'; }).length,</x:v>
      </x:c>
      <x:c r="C629" t="str"/>
    </x:row>
    <x:row r="630">
      <x:c r="A630" s="28" t="n">
        <x:v>627</x:v>
      </x:c>
      <x:c r="B630" s="52" t="str">
        <x:v>      aids: latestResponses.filter(function(row) { return row.Aide_Disponible === 'Oui'; }).length,</x:v>
      </x:c>
      <x:c r="C630" t="str"/>
    </x:row>
    <x:row r="631">
      <x:c r="A631" s="28" t="n">
        <x:v>628</x:v>
      </x:c>
      <x:c r="B631" s="52" t="str">
        <x:v>      noResponse: totalNoResponse</x:v>
      </x:c>
      <x:c r="C631" t="str"/>
    </x:row>
    <x:row r="632">
      <x:c r="A632" s="28" t="n">
        <x:v>629</x:v>
      </x:c>
      <x:c r="B632" s="52" t="str">
        <x:v>    },</x:v>
      </x:c>
      <x:c r="C632" t="str"/>
    </x:row>
    <x:row r="633">
      <x:c r="A633" s="28" t="n">
        <x:v>630</x:v>
      </x:c>
      <x:c r="B633" s="52" t="str">
        <x:v>    events: eventStats,</x:v>
      </x:c>
      <x:c r="C633" t="str"/>
    </x:row>
    <x:row r="634">
      <x:c r="A634" s="28" t="n">
        <x:v>631</x:v>
      </x:c>
      <x:c r="B634" s="52" t="str">
        <x:v>    members: memberStats,</x:v>
      </x:c>
      <x:c r="C634" t="str"/>
    </x:row>
    <x:row r="635">
      <x:c r="A635" s="28" t="n">
        <x:v>632</x:v>
      </x:c>
      <x:c r="B635" s="52" t="str">
        <x:v>    causes: Object.keys(causeMap).sort().map(function(cause) {</x:v>
      </x:c>
      <x:c r="C635" t="str"/>
    </x:row>
    <x:row r="636">
      <x:c r="A636" s="28" t="n">
        <x:v>633</x:v>
      </x:c>
      <x:c r="B636" s="52" t="str">
        <x:v>      return { cause: cause, count: causeMap[cause] };</x:v>
      </x:c>
      <x:c r="C636" t="str"/>
    </x:row>
    <x:row r="637">
      <x:c r="A637" s="28" t="n">
        <x:v>634</x:v>
      </x:c>
      <x:c r="B637" s="52" t="str">
        <x:v>    })</x:v>
      </x:c>
      <x:c r="C637" t="str"/>
    </x:row>
    <x:row r="638">
      <x:c r="A638" s="28" t="n">
        <x:v>635</x:v>
      </x:c>
      <x:c r="B638" s="52" t="str">
        <x:v>  };</x:v>
      </x:c>
      <x:c r="C638" t="str"/>
    </x:row>
    <x:row r="639">
      <x:c r="A639" s="28" t="n">
        <x:v>636</x:v>
      </x:c>
      <x:c r="B639" s="52" t="str">
        <x:v>}</x:v>
      </x:c>
      <x:c r="C639" t="str"/>
    </x:row>
    <x:row r="640">
      <x:c r="A640" s="28" t="n">
        <x:v>637</x:v>
      </x:c>
      <x:c r="B640" s="52" t="str"/>
      <x:c r="C640" t="str"/>
    </x:row>
    <x:row r="641">
      <x:c r="A641" s="28" t="n">
        <x:v>638</x:v>
      </x:c>
      <x:c r="B641" s="52" t="str">
        <x:v>function buildEventRows_(eventId) {</x:v>
      </x:c>
      <x:c r="C641" t="str"/>
    </x:row>
    <x:row r="642">
      <x:c r="A642" s="28" t="n">
        <x:v>639</x:v>
      </x:c>
      <x:c r="B642" s="52" t="str">
        <x:v>  const members = getRowsAsObjects_(UC_APP.sheets.membres).filter(function(member) {</x:v>
      </x:c>
      <x:c r="C642" t="str"/>
    </x:row>
    <x:row r="643">
      <x:c r="A643" s="28" t="n">
        <x:v>640</x:v>
      </x:c>
      <x:c r="B643" s="52" t="str">
        <x:v>    return member.Nom &amp;&amp; member.Prenom &amp;&amp; isActive_(member.Actif);</x:v>
      </x:c>
      <x:c r="C643" t="str"/>
    </x:row>
    <x:row r="644">
      <x:c r="A644" s="28" t="n">
        <x:v>641</x:v>
      </x:c>
      <x:c r="B644" s="52" t="str">
        <x:v>  });</x:v>
      </x:c>
      <x:c r="C644" t="str"/>
    </x:row>
    <x:row r="645">
      <x:c r="A645" s="28" t="n">
        <x:v>642</x:v>
      </x:c>
      <x:c r="B645" s="52" t="str">
        <x:v>  const responses = getRowsAsObjects_(UC_APP.sheets.reponses)</x:v>
      </x:c>
      <x:c r="C645" t="str"/>
    </x:row>
    <x:row r="646">
      <x:c r="A646" s="28" t="n">
        <x:v>643</x:v>
      </x:c>
      <x:c r="B646" s="52" t="str">
        <x:v>    .filter(function(row) { return row.ID_Evenement === eventId; });</x:v>
      </x:c>
      <x:c r="C646" t="str"/>
    </x:row>
    <x:row r="647">
      <x:c r="A647" s="28" t="n">
        <x:v>644</x:v>
      </x:c>
      <x:c r="B647" s="52" t="str">
        <x:v>  const latestByPerson = {};</x:v>
      </x:c>
      <x:c r="C647" t="str"/>
    </x:row>
    <x:row r="648">
      <x:c r="A648" s="28" t="n">
        <x:v>645</x:v>
      </x:c>
      <x:c r="B648" s="52" t="str">
        <x:v>  responses.forEach(function(row) {</x:v>
      </x:c>
      <x:c r="C648" t="str"/>
    </x:row>
    <x:row r="649">
      <x:c r="A649" s="28" t="n">
        <x:v>646</x:v>
      </x:c>
      <x:c r="B649" s="52" t="str">
        <x:v>    const key = row.Cle_Personne || personKey_(row.Nom, row.Prenom, row.Email);</x:v>
      </x:c>
      <x:c r="C649" t="str"/>
    </x:row>
    <x:row r="650">
      <x:c r="A650" s="28" t="n">
        <x:v>647</x:v>
      </x:c>
      <x:c r="B650" s="52" t="str">
        <x:v>    const current = latestByPerson[key];</x:v>
      </x:c>
      <x:c r="C650" t="str"/>
    </x:row>
    <x:row r="651">
      <x:c r="A651" s="28" t="n">
        <x:v>648</x:v>
      </x:c>
      <x:c r="B651" s="52" t="str">
        <x:v>    if (!current || asDate_(row.Horodatage) &gt; asDate_(current.Horodatage)) latestByPerson[key] = row;</x:v>
      </x:c>
      <x:c r="C651" t="str"/>
    </x:row>
    <x:row r="652">
      <x:c r="A652" s="28" t="n">
        <x:v>649</x:v>
      </x:c>
      <x:c r="B652" s="52" t="str">
        <x:v>  });</x:v>
      </x:c>
      <x:c r="C652" t="str"/>
    </x:row>
    <x:row r="653">
      <x:c r="A653" s="28" t="n">
        <x:v>650</x:v>
      </x:c>
      <x:c r="B653" s="52" t="str"/>
      <x:c r="C653" t="str"/>
    </x:row>
    <x:row r="654">
      <x:c r="A654" s="28" t="n">
        <x:v>651</x:v>
      </x:c>
      <x:c r="B654" s="52" t="str">
        <x:v>  const rows = members.map(function(member) {</x:v>
      </x:c>
      <x:c r="C654" t="str"/>
    </x:row>
    <x:row r="655">
      <x:c r="A655" s="28" t="n">
        <x:v>652</x:v>
      </x:c>
      <x:c r="B655" s="52" t="str">
        <x:v>    const key = personKey_(member.Nom, member.Prenom, member.Email);</x:v>
      </x:c>
      <x:c r="C655" t="str"/>
    </x:row>
    <x:row r="656">
      <x:c r="A656" s="28" t="n">
        <x:v>653</x:v>
      </x:c>
      <x:c r="B656" s="52" t="str">
        <x:v>    const response = latestByPerson[key];</x:v>
      </x:c>
      <x:c r="C656" t="str"/>
    </x:row>
    <x:row r="657">
      <x:c r="A657" s="28" t="n">
        <x:v>654</x:v>
      </x:c>
      <x:c r="B657" s="52" t="str">
        <x:v>    return {</x:v>
      </x:c>
      <x:c r="C657" t="str"/>
    </x:row>
    <x:row r="658">
      <x:c r="A658" s="28" t="n">
        <x:v>655</x:v>
      </x:c>
      <x:c r="B658" s="52" t="str">
        <x:v>      nom: member.Nom,</x:v>
      </x:c>
      <x:c r="C658" t="str"/>
    </x:row>
    <x:row r="659">
      <x:c r="A659" s="28" t="n">
        <x:v>656</x:v>
      </x:c>
      <x:c r="B659" s="52" t="str">
        <x:v>      prenom: member.Prenom,</x:v>
      </x:c>
      <x:c r="C659" t="str"/>
    </x:row>
    <x:row r="660">
      <x:c r="A660" s="28" t="n">
        <x:v>657</x:v>
      </x:c>
      <x:c r="B660" s="52" t="str">
        <x:v>      statut: member.Statut,</x:v>
      </x:c>
      <x:c r="C660" t="str"/>
    </x:row>
    <x:row r="661">
      <x:c r="A661" s="28" t="n">
        <x:v>658</x:v>
      </x:c>
      <x:c r="B661" s="52" t="str">
        <x:v>      cayenne: member.Cayenne,</x:v>
      </x:c>
      <x:c r="C661" t="str"/>
    </x:row>
    <x:row r="662">
      <x:c r="A662" s="28" t="n">
        <x:v>659</x:v>
      </x:c>
      <x:c r="B662" s="52" t="str">
        <x:v>      key: key,</x:v>
      </x:c>
      <x:c r="C662" t="str"/>
    </x:row>
    <x:row r="663">
      <x:c r="A663" s="28" t="n">
        <x:v>660</x:v>
      </x:c>
      <x:c r="B663" s="52" t="str">
        <x:v>      reponse: response ? response.Reponse : 'Sans réponse',</x:v>
      </x:c>
      <x:c r="C663" t="str"/>
    </x:row>
    <x:row r="664">
      <x:c r="A664" s="28" t="n">
        <x:v>661</x:v>
      </x:c>
      <x:c r="B664" s="52" t="str">
        <x:v>      causes: response ? response.Causes : '',</x:v>
      </x:c>
      <x:c r="C664" t="str"/>
    </x:row>
    <x:row r="665">
      <x:c r="A665" s="28" t="n">
        <x:v>662</x:v>
      </x:c>
      <x:c r="B665" s="52" t="str">
        <x:v>      precision: response ? response.Precision : '',</x:v>
      </x:c>
      <x:c r="C665" t="str"/>
    </x:row>
    <x:row r="666">
      <x:c r="A666" s="28" t="n">
        <x:v>663</x:v>
      </x:c>
      <x:c r="B666" s="52" t="str">
        <x:v>      aide: response ? response.Aide_Disponible : 'Non',</x:v>
      </x:c>
      <x:c r="C666" t="str"/>
    </x:row>
    <x:row r="667">
      <x:c r="A667" s="28" t="n">
        <x:v>664</x:v>
      </x:c>
      <x:c r="B667" s="52" t="str">
        <x:v>      heureDebut: response ? response.Heure_Debut_Aide : '',</x:v>
      </x:c>
      <x:c r="C667" t="str"/>
    </x:row>
    <x:row r="668">
      <x:c r="A668" s="28" t="n">
        <x:v>665</x:v>
      </x:c>
      <x:c r="B668" s="52" t="str">
        <x:v>      heureFin: response ? response.Heure_Fin_Aide : ''</x:v>
      </x:c>
      <x:c r="C668" t="str"/>
    </x:row>
    <x:row r="669">
      <x:c r="A669" s="28" t="n">
        <x:v>666</x:v>
      </x:c>
      <x:c r="B669" s="52" t="str">
        <x:v>    };</x:v>
      </x:c>
      <x:c r="C669" t="str"/>
    </x:row>
    <x:row r="670">
      <x:c r="A670" s="28" t="n">
        <x:v>667</x:v>
      </x:c>
      <x:c r="B670" s="52" t="str">
        <x:v>  });</x:v>
      </x:c>
      <x:c r="C670" t="str"/>
    </x:row>
    <x:row r="671">
      <x:c r="A671" s="28" t="n">
        <x:v>668</x:v>
      </x:c>
      <x:c r="B671" s="52" t="str"/>
      <x:c r="C671" t="str"/>
    </x:row>
    <x:row r="672">
      <x:c r="A672" s="28" t="n">
        <x:v>669</x:v>
      </x:c>
      <x:c r="B672" s="52" t="str">
        <x:v>  Object.keys(latestByPerson).forEach(function(key) {</x:v>
      </x:c>
      <x:c r="C672" t="str"/>
    </x:row>
    <x:row r="673">
      <x:c r="A673" s="28" t="n">
        <x:v>670</x:v>
      </x:c>
      <x:c r="B673" s="52" t="str">
        <x:v>    const alreadyListed = rows.some(function(row) {</x:v>
      </x:c>
      <x:c r="C673" t="str"/>
    </x:row>
    <x:row r="674">
      <x:c r="A674" s="28" t="n">
        <x:v>671</x:v>
      </x:c>
      <x:c r="B674" s="52" t="str">
        <x:v>      return row.key === key || personKey_(row.nom, row.prenom, '') === key;</x:v>
      </x:c>
      <x:c r="C674" t="str"/>
    </x:row>
    <x:row r="675">
      <x:c r="A675" s="28" t="n">
        <x:v>672</x:v>
      </x:c>
      <x:c r="B675" s="52" t="str">
        <x:v>    });</x:v>
      </x:c>
      <x:c r="C675" t="str"/>
    </x:row>
    <x:row r="676">
      <x:c r="A676" s="28" t="n">
        <x:v>673</x:v>
      </x:c>
      <x:c r="B676" s="52" t="str">
        <x:v>    if (alreadyListed) return;</x:v>
      </x:c>
      <x:c r="C676" t="str"/>
    </x:row>
    <x:row r="677">
      <x:c r="A677" s="28" t="n">
        <x:v>674</x:v>
      </x:c>
      <x:c r="B677" s="52" t="str">
        <x:v>    const response = latestByPerson[key];</x:v>
      </x:c>
      <x:c r="C677" t="str"/>
    </x:row>
    <x:row r="678">
      <x:c r="A678" s="28" t="n">
        <x:v>675</x:v>
      </x:c>
      <x:c r="B678" s="52" t="str">
        <x:v>    rows.push({</x:v>
      </x:c>
      <x:c r="C678" t="str"/>
    </x:row>
    <x:row r="679">
      <x:c r="A679" s="28" t="n">
        <x:v>676</x:v>
      </x:c>
      <x:c r="B679" s="52" t="str">
        <x:v>      nom: response.Nom,</x:v>
      </x:c>
      <x:c r="C679" t="str"/>
    </x:row>
    <x:row r="680">
      <x:c r="A680" s="28" t="n">
        <x:v>677</x:v>
      </x:c>
      <x:c r="B680" s="52" t="str">
        <x:v>      prenom: response.Prenom,</x:v>
      </x:c>
      <x:c r="C680" t="str"/>
    </x:row>
    <x:row r="681">
      <x:c r="A681" s="28" t="n">
        <x:v>678</x:v>
      </x:c>
      <x:c r="B681" s="52" t="str">
        <x:v>      statut: response.Statut,</x:v>
      </x:c>
      <x:c r="C681" t="str"/>
    </x:row>
    <x:row r="682">
      <x:c r="A682" s="28" t="n">
        <x:v>679</x:v>
      </x:c>
      <x:c r="B682" s="52" t="str">
        <x:v>      cayenne: response.Cayenne,</x:v>
      </x:c>
      <x:c r="C682" t="str"/>
    </x:row>
    <x:row r="683">
      <x:c r="A683" s="28" t="n">
        <x:v>680</x:v>
      </x:c>
      <x:c r="B683" s="52" t="str">
        <x:v>      reponse: response.Reponse,</x:v>
      </x:c>
      <x:c r="C683" t="str"/>
    </x:row>
    <x:row r="684">
      <x:c r="A684" s="28" t="n">
        <x:v>681</x:v>
      </x:c>
      <x:c r="B684" s="52" t="str">
        <x:v>      causes: response.Causes,</x:v>
      </x:c>
      <x:c r="C684" t="str"/>
    </x:row>
    <x:row r="685">
      <x:c r="A685" s="28" t="n">
        <x:v>682</x:v>
      </x:c>
      <x:c r="B685" s="52" t="str">
        <x:v>      precision: response.Precision,</x:v>
      </x:c>
      <x:c r="C685" t="str"/>
    </x:row>
    <x:row r="686">
      <x:c r="A686" s="28" t="n">
        <x:v>683</x:v>
      </x:c>
      <x:c r="B686" s="52" t="str">
        <x:v>      aide: response.Aide_Disponible,</x:v>
      </x:c>
      <x:c r="C686" t="str"/>
    </x:row>
    <x:row r="687">
      <x:c r="A687" s="28" t="n">
        <x:v>684</x:v>
      </x:c>
      <x:c r="B687" s="52" t="str">
        <x:v>      heureDebut: response.Heure_Debut_Aide,</x:v>
      </x:c>
      <x:c r="C687" t="str"/>
    </x:row>
    <x:row r="688">
      <x:c r="A688" s="28" t="n">
        <x:v>685</x:v>
      </x:c>
      <x:c r="B688" s="52" t="str">
        <x:v>      heureFin: response.Heure_Fin_Aide</x:v>
      </x:c>
      <x:c r="C688" t="str"/>
    </x:row>
    <x:row r="689">
      <x:c r="A689" s="28" t="n">
        <x:v>686</x:v>
      </x:c>
      <x:c r="B689" s="52" t="str">
        <x:v>    });</x:v>
      </x:c>
      <x:c r="C689" t="str"/>
    </x:row>
    <x:row r="690">
      <x:c r="A690" s="28" t="n">
        <x:v>687</x:v>
      </x:c>
      <x:c r="B690" s="52" t="str">
        <x:v>  });</x:v>
      </x:c>
      <x:c r="C690" t="str"/>
    </x:row>
    <x:row r="691">
      <x:c r="A691" s="28" t="n">
        <x:v>688</x:v>
      </x:c>
      <x:c r="B691" s="52" t="str"/>
      <x:c r="C691" t="str"/>
    </x:row>
    <x:row r="692">
      <x:c r="A692" s="28" t="n">
        <x:v>689</x:v>
      </x:c>
      <x:c r="B692" s="52" t="str">
        <x:v>  const order = { 'Présent': 1, 'Absent excusé': 2, 'Sans réponse': 3 };</x:v>
      </x:c>
      <x:c r="C692" t="str"/>
    </x:row>
    <x:row r="693">
      <x:c r="A693" s="28" t="n">
        <x:v>690</x:v>
      </x:c>
      <x:c r="B693" s="52" t="str">
        <x:v>  return rows.sort(function(a, b) {</x:v>
      </x:c>
      <x:c r="C693" t="str"/>
    </x:row>
    <x:row r="694">
      <x:c r="A694" s="28" t="n">
        <x:v>691</x:v>
      </x:c>
      <x:c r="B694" s="52" t="str">
        <x:v>    return (order[a.reponse] || 9) - (order[b.reponse] || 9) || String(a.nom).localeCompare(String(b.nom));</x:v>
      </x:c>
      <x:c r="C694" t="str"/>
    </x:row>
    <x:row r="695">
      <x:c r="A695" s="28" t="n">
        <x:v>692</x:v>
      </x:c>
      <x:c r="B695" s="52" t="str">
        <x:v>  });</x:v>
      </x:c>
      <x:c r="C695" t="str"/>
    </x:row>
    <x:row r="696">
      <x:c r="A696" s="28" t="n">
        <x:v>693</x:v>
      </x:c>
      <x:c r="B696" s="52" t="str">
        <x:v>}</x:v>
      </x:c>
      <x:c r="C696" t="str"/>
    </x:row>
    <x:row r="697">
      <x:c r="A697" s="28" t="n">
        <x:v>694</x:v>
      </x:c>
      <x:c r="B697" s="52" t="str"/>
      <x:c r="C697" t="str"/>
    </x:row>
    <x:row r="698">
      <x:c r="A698" s="28" t="n">
        <x:v>695</x:v>
      </x:c>
      <x:c r="B698" s="52" t="str">
        <x:v>function getRowsAsObjects_(sheetName) {</x:v>
      </x:c>
      <x:c r="C698" t="str"/>
    </x:row>
    <x:row r="699">
      <x:c r="A699" s="28" t="n">
        <x:v>696</x:v>
      </x:c>
      <x:c r="B699" s="52" t="str">
        <x:v>  const sheet = SpreadsheetApp.getActive().getSheetByName(sheetName);</x:v>
      </x:c>
      <x:c r="C699" t="str"/>
    </x:row>
    <x:row r="700">
      <x:c r="A700" s="28" t="n">
        <x:v>697</x:v>
      </x:c>
      <x:c r="B700" s="52" t="str">
        <x:v>  if (!sheet || sheet.getLastRow() &lt; 2) return [];</x:v>
      </x:c>
      <x:c r="C700" t="str"/>
    </x:row>
    <x:row r="701">
      <x:c r="A701" s="28" t="n">
        <x:v>698</x:v>
      </x:c>
      <x:c r="B701" s="52" t="str">
        <x:v>  const values = sheet.getRange(1, 1, sheet.getLastRow(), sheet.getLastColumn()).getValues();</x:v>
      </x:c>
      <x:c r="C701" t="str"/>
    </x:row>
    <x:row r="702">
      <x:c r="A702" s="28" t="n">
        <x:v>699</x:v>
      </x:c>
      <x:c r="B702" s="52" t="str">
        <x:v>  const headers = values.shift().map(clean_);</x:v>
      </x:c>
      <x:c r="C702" t="str"/>
    </x:row>
    <x:row r="703">
      <x:c r="A703" s="28" t="n">
        <x:v>700</x:v>
      </x:c>
      <x:c r="B703" s="52" t="str">
        <x:v>  return values</x:v>
      </x:c>
      <x:c r="C703" t="str"/>
    </x:row>
    <x:row r="704">
      <x:c r="A704" s="28" t="n">
        <x:v>701</x:v>
      </x:c>
      <x:c r="B704" s="52" t="str">
        <x:v>    .filter(function(row) { return row.some(function(cell) { return cell !== '' &amp;&amp; cell !== null; }); })</x:v>
      </x:c>
      <x:c r="C704" t="str"/>
    </x:row>
    <x:row r="705">
      <x:c r="A705" s="28" t="n">
        <x:v>702</x:v>
      </x:c>
      <x:c r="B705" s="52" t="str">
        <x:v>    .map(function(row) {</x:v>
      </x:c>
      <x:c r="C705" t="str"/>
    </x:row>
    <x:row r="706">
      <x:c r="A706" s="28" t="n">
        <x:v>703</x:v>
      </x:c>
      <x:c r="B706" s="52" t="str">
        <x:v>      return headers.reduce(function(obj, header, index) {</x:v>
      </x:c>
      <x:c r="C706" t="str"/>
    </x:row>
    <x:row r="707">
      <x:c r="A707" s="28" t="n">
        <x:v>704</x:v>
      </x:c>
      <x:c r="B707" s="52" t="str">
        <x:v>        obj[header] = row[index];</x:v>
      </x:c>
      <x:c r="C707" t="str"/>
    </x:row>
    <x:row r="708">
      <x:c r="A708" s="28" t="n">
        <x:v>705</x:v>
      </x:c>
      <x:c r="B708" s="52" t="str">
        <x:v>        return obj;</x:v>
      </x:c>
      <x:c r="C708" t="str"/>
    </x:row>
    <x:row r="709">
      <x:c r="A709" s="28" t="n">
        <x:v>706</x:v>
      </x:c>
      <x:c r="B709" s="52" t="str">
        <x:v>      }, {});</x:v>
      </x:c>
      <x:c r="C709" t="str"/>
    </x:row>
    <x:row r="710">
      <x:c r="A710" s="28" t="n">
        <x:v>707</x:v>
      </x:c>
      <x:c r="B710" s="52" t="str">
        <x:v>    });</x:v>
      </x:c>
      <x:c r="C710" t="str"/>
    </x:row>
    <x:row r="711">
      <x:c r="A711" s="28" t="n">
        <x:v>708</x:v>
      </x:c>
      <x:c r="B711" s="52" t="str">
        <x:v>}</x:v>
      </x:c>
      <x:c r="C711" t="str"/>
    </x:row>
    <x:row r="712">
      <x:c r="A712" s="28" t="n">
        <x:v>709</x:v>
      </x:c>
      <x:c r="B712" s="52" t="str"/>
      <x:c r="C712" t="str"/>
    </x:row>
    <x:row r="713">
      <x:c r="A713" s="28" t="n">
        <x:v>710</x:v>
      </x:c>
      <x:c r="B713" s="52" t="str">
        <x:v>function upsertMember_(member) {</x:v>
      </x:c>
      <x:c r="C713" t="str"/>
    </x:row>
    <x:row r="714">
      <x:c r="A714" s="28" t="n">
        <x:v>711</x:v>
      </x:c>
      <x:c r="B714" s="52" t="str">
        <x:v>  const sheet = SpreadsheetApp.getActive().getSheetByName(UC_APP.sheets.membres);</x:v>
      </x:c>
      <x:c r="C714" t="str"/>
    </x:row>
    <x:row r="715">
      <x:c r="A715" s="28" t="n">
        <x:v>712</x:v>
      </x:c>
      <x:c r="B715" s="52" t="str">
        <x:v>  const members = getRowsAsObjects_(UC_APP.sheets.membres);</x:v>
      </x:c>
      <x:c r="C715" t="str"/>
    </x:row>
    <x:row r="716">
      <x:c r="A716" s="28" t="n">
        <x:v>713</x:v>
      </x:c>
      <x:c r="B716" s="52" t="str">
        <x:v>  const key = personKey_(member.Nom, member.Prenom, member.Email);</x:v>
      </x:c>
      <x:c r="C716" t="str"/>
    </x:row>
    <x:row r="717">
      <x:c r="A717" s="28" t="n">
        <x:v>714</x:v>
      </x:c>
      <x:c r="B717" s="52" t="str">
        <x:v>  const index = members.findIndex(function(row) {</x:v>
      </x:c>
      <x:c r="C717" t="str"/>
    </x:row>
    <x:row r="718">
      <x:c r="A718" s="28" t="n">
        <x:v>715</x:v>
      </x:c>
      <x:c r="B718" s="52" t="str">
        <x:v>    return personKey_(row.Nom, row.Prenom, row.Email) === key;</x:v>
      </x:c>
      <x:c r="C718" t="str"/>
    </x:row>
    <x:row r="719">
      <x:c r="A719" s="28" t="n">
        <x:v>716</x:v>
      </x:c>
      <x:c r="B719" s="52" t="str">
        <x:v>  });</x:v>
      </x:c>
      <x:c r="C719" t="str"/>
    </x:row>
    <x:row r="720">
      <x:c r="A720" s="28" t="n">
        <x:v>717</x:v>
      </x:c>
      <x:c r="B720" s="52" t="str">
        <x:v>  const values = [[member.Nom, member.Prenom, member.Statut, member.Cayenne, member.Email, member.Telephone, 'Oui', member.Notes || '']];</x:v>
      </x:c>
      <x:c r="C720" t="str"/>
    </x:row>
    <x:row r="721">
      <x:c r="A721" s="28" t="n">
        <x:v>718</x:v>
      </x:c>
      <x:c r="B721" s="52" t="str">
        <x:v>  if (index &gt;= 0) {</x:v>
      </x:c>
      <x:c r="C721" t="str"/>
    </x:row>
    <x:row r="722">
      <x:c r="A722" s="28" t="n">
        <x:v>719</x:v>
      </x:c>
      <x:c r="B722" s="52" t="str">
        <x:v>    sheet.getRange(index + 2, 1, 1, values[0].length).setValues(values);</x:v>
      </x:c>
      <x:c r="C722" t="str"/>
    </x:row>
    <x:row r="723">
      <x:c r="A723" s="28" t="n">
        <x:v>720</x:v>
      </x:c>
      <x:c r="B723" s="52" t="str">
        <x:v>  } else {</x:v>
      </x:c>
      <x:c r="C723" t="str"/>
    </x:row>
    <x:row r="724">
      <x:c r="A724" s="28" t="n">
        <x:v>721</x:v>
      </x:c>
      <x:c r="B724" s="52" t="str">
        <x:v>    sheet.getRange(sheet.getLastRow() + 1, 1, 1, values[0].length).setValues(values);</x:v>
      </x:c>
      <x:c r="C724" t="str"/>
    </x:row>
    <x:row r="725">
      <x:c r="A725" s="28" t="n">
        <x:v>722</x:v>
      </x:c>
      <x:c r="B725" s="52" t="str">
        <x:v>  }</x:v>
      </x:c>
      <x:c r="C725" t="str"/>
    </x:row>
    <x:row r="726">
      <x:c r="A726" s="28" t="n">
        <x:v>723</x:v>
      </x:c>
      <x:c r="B726" s="52" t="str">
        <x:v>}</x:v>
      </x:c>
      <x:c r="C726" t="str"/>
    </x:row>
    <x:row r="727">
      <x:c r="A727" s="28" t="n">
        <x:v>724</x:v>
      </x:c>
      <x:c r="B727" s="52" t="str"/>
      <x:c r="C727" t="str"/>
    </x:row>
    <x:row r="728">
      <x:c r="A728" s="28" t="n">
        <x:v>725</x:v>
      </x:c>
      <x:c r="B728" s="52" t="str">
        <x:v>function markResponseReportSheet_(eventId, sheetName) {</x:v>
      </x:c>
      <x:c r="C728" t="str"/>
    </x:row>
    <x:row r="729">
      <x:c r="A729" s="28" t="n">
        <x:v>726</x:v>
      </x:c>
      <x:c r="B729" s="52" t="str">
        <x:v>  const sheet = SpreadsheetApp.getActive().getSheetByName(UC_APP.sheets.reponses);</x:v>
      </x:c>
      <x:c r="C729" t="str"/>
    </x:row>
    <x:row r="730">
      <x:c r="A730" s="28" t="n">
        <x:v>727</x:v>
      </x:c>
      <x:c r="B730" s="52" t="str">
        <x:v>  if (!sheet || sheet.getLastRow() &lt; 2) return;</x:v>
      </x:c>
      <x:c r="C730" t="str"/>
    </x:row>
    <x:row r="731">
      <x:c r="A731" s="28" t="n">
        <x:v>728</x:v>
      </x:c>
      <x:c r="B731" s="52" t="str">
        <x:v>  const values = sheet.getRange(2, 1, sheet.getLastRow() - 1, UC_APP.headers.reponses.length).getValues();</x:v>
      </x:c>
      <x:c r="C731" t="str"/>
    </x:row>
    <x:row r="732">
      <x:c r="A732" s="28" t="n">
        <x:v>729</x:v>
      </x:c>
      <x:c r="B732" s="52" t="str">
        <x:v>  let changed = false;</x:v>
      </x:c>
      <x:c r="C732" t="str"/>
    </x:row>
    <x:row r="733">
      <x:c r="A733" s="28" t="n">
        <x:v>730</x:v>
      </x:c>
      <x:c r="B733" s="52" t="str">
        <x:v>  values.forEach(function(row) {</x:v>
      </x:c>
      <x:c r="C733" t="str"/>
    </x:row>
    <x:row r="734">
      <x:c r="A734" s="28" t="n">
        <x:v>731</x:v>
      </x:c>
      <x:c r="B734" s="52" t="str">
        <x:v>    if (row[4] === eventId) {</x:v>
      </x:c>
      <x:c r="C734" t="str"/>
    </x:row>
    <x:row r="735">
      <x:c r="A735" s="28" t="n">
        <x:v>732</x:v>
      </x:c>
      <x:c r="B735" s="52" t="str">
        <x:v>      row[24] = sheetName;</x:v>
      </x:c>
      <x:c r="C735" t="str"/>
    </x:row>
    <x:row r="736">
      <x:c r="A736" s="28" t="n">
        <x:v>733</x:v>
      </x:c>
      <x:c r="B736" s="52" t="str">
        <x:v>      changed = true;</x:v>
      </x:c>
      <x:c r="C736" t="str"/>
    </x:row>
    <x:row r="737">
      <x:c r="A737" s="28" t="n">
        <x:v>734</x:v>
      </x:c>
      <x:c r="B737" s="52" t="str">
        <x:v>    }</x:v>
      </x:c>
      <x:c r="C737" t="str"/>
    </x:row>
    <x:row r="738">
      <x:c r="A738" s="28" t="n">
        <x:v>735</x:v>
      </x:c>
      <x:c r="B738" s="52" t="str">
        <x:v>  });</x:v>
      </x:c>
      <x:c r="C738" t="str"/>
    </x:row>
    <x:row r="739">
      <x:c r="A739" s="28" t="n">
        <x:v>736</x:v>
      </x:c>
      <x:c r="B739" s="52" t="str">
        <x:v>  if (changed) sheet.getRange(2, 1, values.length, UC_APP.headers.reponses.length).setValues(values);</x:v>
      </x:c>
      <x:c r="C739" t="str"/>
    </x:row>
    <x:row r="740">
      <x:c r="A740" s="28" t="n">
        <x:v>737</x:v>
      </x:c>
      <x:c r="B740" s="52" t="str">
        <x:v>}</x:v>
      </x:c>
      <x:c r="C740" t="str"/>
    </x:row>
    <x:row r="741">
      <x:c r="A741" s="28" t="n">
        <x:v>738</x:v>
      </x:c>
      <x:c r="B741" s="52" t="str"/>
      <x:c r="C741" t="str"/>
    </x:row>
    <x:row r="742">
      <x:c r="A742" s="28" t="n">
        <x:v>739</x:v>
      </x:c>
      <x:c r="B742" s="52" t="str">
        <x:v>function colorResponseColumn_(sheet, startRow, rowCount) {</x:v>
      </x:c>
      <x:c r="C742" t="str"/>
    </x:row>
    <x:row r="743">
      <x:c r="A743" s="28" t="n">
        <x:v>740</x:v>
      </x:c>
      <x:c r="B743" s="52" t="str">
        <x:v>  const range = sheet.getRange(startRow, 5, rowCount, 1);</x:v>
      </x:c>
      <x:c r="C743" t="str"/>
    </x:row>
    <x:row r="744">
      <x:c r="A744" s="28" t="n">
        <x:v>741</x:v>
      </x:c>
      <x:c r="B744" s="52" t="str">
        <x:v>  const rules = [</x:v>
      </x:c>
      <x:c r="C744" t="str"/>
    </x:row>
    <x:row r="745">
      <x:c r="A745" s="28" t="n">
        <x:v>742</x:v>
      </x:c>
      <x:c r="B745" s="52" t="str">
        <x:v>    SpreadsheetApp.newConditionalFormatRule().whenTextEqualTo('Présent').setBackground('#DCFCE7').setRanges([range]).build(),</x:v>
      </x:c>
      <x:c r="C745" t="str"/>
    </x:row>
    <x:row r="746">
      <x:c r="A746" s="28" t="n">
        <x:v>743</x:v>
      </x:c>
      <x:c r="B746" s="52" t="str">
        <x:v>    SpreadsheetApp.newConditionalFormatRule().whenTextEqualTo('Absent excusé').setBackground('#FEF3C7').setRanges([range]).build(),</x:v>
      </x:c>
      <x:c r="C746" t="str"/>
    </x:row>
    <x:row r="747">
      <x:c r="A747" s="28" t="n">
        <x:v>744</x:v>
      </x:c>
      <x:c r="B747" s="52" t="str">
        <x:v>    SpreadsheetApp.newConditionalFormatRule().whenTextEqualTo('Sans réponse').setBackground('#FEE2E2').setRanges([range]).build()</x:v>
      </x:c>
      <x:c r="C747" t="str"/>
    </x:row>
    <x:row r="748">
      <x:c r="A748" s="28" t="n">
        <x:v>745</x:v>
      </x:c>
      <x:c r="B748" s="52" t="str">
        <x:v>  ];</x:v>
      </x:c>
      <x:c r="C748" t="str"/>
    </x:row>
    <x:row r="749">
      <x:c r="A749" s="28" t="n">
        <x:v>746</x:v>
      </x:c>
      <x:c r="B749" s="52" t="str">
        <x:v>  sheet.setConditionalFormatRules(rules);</x:v>
      </x:c>
      <x:c r="C749" t="str"/>
    </x:row>
    <x:row r="750">
      <x:c r="A750" s="28" t="n">
        <x:v>747</x:v>
      </x:c>
      <x:c r="B750" s="52" t="str">
        <x:v>}</x:v>
      </x:c>
      <x:c r="C750" t="str"/>
    </x:row>
    <x:row r="751">
      <x:c r="A751" s="28" t="n">
        <x:v>748</x:v>
      </x:c>
      <x:c r="B751" s="52" t="str"/>
      <x:c r="C751" t="str"/>
    </x:row>
    <x:row r="752">
      <x:c r="A752" s="28" t="n">
        <x:v>749</x:v>
      </x:c>
      <x:c r="B752" s="52" t="str">
        <x:v>function exportSheetToPdf_(sheet) {</x:v>
      </x:c>
      <x:c r="C752" t="str"/>
    </x:row>
    <x:row r="753">
      <x:c r="A753" s="28" t="n">
        <x:v>750</x:v>
      </x:c>
      <x:c r="B753" s="52" t="str">
        <x:v>  const ss = SpreadsheetApp.getActive();</x:v>
      </x:c>
      <x:c r="C753" t="str"/>
    </x:row>
    <x:row r="754">
      <x:c r="A754" s="28" t="n">
        <x:v>751</x:v>
      </x:c>
      <x:c r="B754" s="52" t="str">
        <x:v>  const url = ss.getUrl().replace(/edit.*$/, '') +</x:v>
      </x:c>
      <x:c r="C754" t="str"/>
    </x:row>
    <x:row r="755">
      <x:c r="A755" s="28" t="n">
        <x:v>752</x:v>
      </x:c>
      <x:c r="B755" s="52" t="str">
        <x:v>    'export?format=pdf&amp;portrait=false&amp;size=A4&amp;fitw=true&amp;sheetnames=false&amp;printtitle=false&amp;pagenumbers=true&amp;gridlines=false&amp;fzr=true&amp;gid=' +</x:v>
      </x:c>
      <x:c r="C755" t="str"/>
    </x:row>
    <x:row r="756">
      <x:c r="A756" s="28" t="n">
        <x:v>753</x:v>
      </x:c>
      <x:c r="B756" s="52" t="str">
        <x:v>    sheet.getSheetId();</x:v>
      </x:c>
      <x:c r="C756" t="str"/>
    </x:row>
    <x:row r="757">
      <x:c r="A757" s="28" t="n">
        <x:v>754</x:v>
      </x:c>
      <x:c r="B757" s="52" t="str">
        <x:v>  const token = ScriptApp.getOAuthToken();</x:v>
      </x:c>
      <x:c r="C757" t="str"/>
    </x:row>
    <x:row r="758">
      <x:c r="A758" s="28" t="n">
        <x:v>755</x:v>
      </x:c>
      <x:c r="B758" s="52" t="str">
        <x:v>  const response = UrlFetchApp.fetch(url, {</x:v>
      </x:c>
      <x:c r="C758" t="str"/>
    </x:row>
    <x:row r="759">
      <x:c r="A759" s="28" t="n">
        <x:v>756</x:v>
      </x:c>
      <x:c r="B759" s="52" t="str">
        <x:v>    headers: { Authorization: 'Bearer ' + token }</x:v>
      </x:c>
      <x:c r="C759" t="str"/>
    </x:row>
    <x:row r="760">
      <x:c r="A760" s="28" t="n">
        <x:v>757</x:v>
      </x:c>
      <x:c r="B760" s="52" t="str">
        <x:v>  });</x:v>
      </x:c>
      <x:c r="C760" t="str"/>
    </x:row>
    <x:row r="761">
      <x:c r="A761" s="28" t="n">
        <x:v>758</x:v>
      </x:c>
      <x:c r="B761" s="52" t="str">
        <x:v>  const blob = response.getBlob().setName(sheet.getName() + '.pdf');</x:v>
      </x:c>
      <x:c r="C761" t="str"/>
    </x:row>
    <x:row r="762">
      <x:c r="A762" s="28" t="n">
        <x:v>759</x:v>
      </x:c>
      <x:c r="B762" s="52" t="str">
        <x:v>  return DriveApp.createFile(blob);</x:v>
      </x:c>
      <x:c r="C762" t="str"/>
    </x:row>
    <x:row r="763">
      <x:c r="A763" s="28" t="n">
        <x:v>760</x:v>
      </x:c>
      <x:c r="B763" s="52" t="str">
        <x:v>}</x:v>
      </x:c>
      <x:c r="C763" t="str"/>
    </x:row>
    <x:row r="764">
      <x:c r="A764" s="28" t="n">
        <x:v>761</x:v>
      </x:c>
      <x:c r="B764" s="52" t="str"/>
      <x:c r="C764" t="str"/>
    </x:row>
    <x:row r="765">
      <x:c r="A765" s="28" t="n">
        <x:v>762</x:v>
      </x:c>
      <x:c r="B765" s="52" t="str">
        <x:v>function makeCrSheetName_(event) {</x:v>
      </x:c>
      <x:c r="C765" t="str"/>
    </x:row>
    <x:row r="766">
      <x:c r="A766" s="28" t="n">
        <x:v>763</x:v>
      </x:c>
      <x:c r="B766" s="52" t="str">
        <x:v>  const date = asDate_(event.Date);</x:v>
      </x:c>
      <x:c r="C766" t="str"/>
    </x:row>
    <x:row r="767">
      <x:c r="A767" s="28" t="n">
        <x:v>764</x:v>
      </x:c>
      <x:c r="B767" s="52" t="str">
        <x:v>  const datePart = date ? Utilities.formatDate(date, Session.getScriptTimeZone(), 'yyyy_MM_dd') : String(event.Annee || 'ANNEE');</x:v>
      </x:c>
      <x:c r="C767" t="str"/>
    </x:row>
    <x:row r="768">
      <x:c r="A768" s="28" t="n">
        <x:v>765</x:v>
      </x:c>
      <x:c r="B768" s="52" t="str">
        <x:v>  return ('CR_' + datePart + '_' + slug_(event.Type_Evenement || event.Titre)).substring(0, 95);</x:v>
      </x:c>
      <x:c r="C768" t="str"/>
    </x:row>
    <x:row r="769">
      <x:c r="A769" s="28" t="n">
        <x:v>766</x:v>
      </x:c>
      <x:c r="B769" s="52" t="str">
        <x:v>}</x:v>
      </x:c>
      <x:c r="C769" t="str"/>
    </x:row>
    <x:row r="770">
      <x:c r="A770" s="28" t="n">
        <x:v>767</x:v>
      </x:c>
      <x:c r="B770" s="52" t="str"/>
      <x:c r="C770" t="str"/>
    </x:row>
    <x:row r="771">
      <x:c r="A771" s="28" t="n">
        <x:v>768</x:v>
      </x:c>
      <x:c r="B771" s="52" t="str">
        <x:v>function indexBy_(rows, key) {</x:v>
      </x:c>
      <x:c r="C771" t="str"/>
    </x:row>
    <x:row r="772">
      <x:c r="A772" s="28" t="n">
        <x:v>769</x:v>
      </x:c>
      <x:c r="B772" s="52" t="str">
        <x:v>  return rows.reduce(function(map, row) {</x:v>
      </x:c>
      <x:c r="C772" t="str"/>
    </x:row>
    <x:row r="773">
      <x:c r="A773" s="28" t="n">
        <x:v>770</x:v>
      </x:c>
      <x:c r="B773" s="52" t="str">
        <x:v>    map[row[key]] = row;</x:v>
      </x:c>
      <x:c r="C773" t="str"/>
    </x:row>
    <x:row r="774">
      <x:c r="A774" s="28" t="n">
        <x:v>771</x:v>
      </x:c>
      <x:c r="B774" s="52" t="str">
        <x:v>    return map;</x:v>
      </x:c>
      <x:c r="C774" t="str"/>
    </x:row>
    <x:row r="775">
      <x:c r="A775" s="28" t="n">
        <x:v>772</x:v>
      </x:c>
      <x:c r="B775" s="52" t="str">
        <x:v>  }, {});</x:v>
      </x:c>
      <x:c r="C775" t="str"/>
    </x:row>
    <x:row r="776">
      <x:c r="A776" s="28" t="n">
        <x:v>773</x:v>
      </x:c>
      <x:c r="B776" s="52" t="str">
        <x:v>}</x:v>
      </x:c>
      <x:c r="C776" t="str"/>
    </x:row>
    <x:row r="777">
      <x:c r="A777" s="28" t="n">
        <x:v>774</x:v>
      </x:c>
      <x:c r="B777" s="52" t="str"/>
      <x:c r="C777" t="str"/>
    </x:row>
    <x:row r="778">
      <x:c r="A778" s="28" t="n">
        <x:v>775</x:v>
      </x:c>
      <x:c r="B778" s="52" t="str">
        <x:v>function clean_(value) {</x:v>
      </x:c>
      <x:c r="C778" t="str"/>
    </x:row>
    <x:row r="779">
      <x:c r="A779" s="28" t="n">
        <x:v>776</x:v>
      </x:c>
      <x:c r="B779" s="52" t="str">
        <x:v>  return String(value === null || typeof value === 'undefined' ? '' : value).trim();</x:v>
      </x:c>
      <x:c r="C779" t="str"/>
    </x:row>
    <x:row r="780">
      <x:c r="A780" s="28" t="n">
        <x:v>777</x:v>
      </x:c>
      <x:c r="B780" s="52" t="str">
        <x:v>}</x:v>
      </x:c>
      <x:c r="C780" t="str"/>
    </x:row>
    <x:row r="781">
      <x:c r="A781" s="28" t="n">
        <x:v>778</x:v>
      </x:c>
      <x:c r="B781" s="52" t="str"/>
      <x:c r="C781" t="str"/>
    </x:row>
    <x:row r="782">
      <x:c r="A782" s="28" t="n">
        <x:v>779</x:v>
      </x:c>
      <x:c r="B782" s="52" t="str">
        <x:v>function isActive_(value) {</x:v>
      </x:c>
      <x:c r="C782" t="str"/>
    </x:row>
    <x:row r="783">
      <x:c r="A783" s="28" t="n">
        <x:v>780</x:v>
      </x:c>
      <x:c r="B783" s="52" t="str">
        <x:v>  const normalized = clean_(value).toLowerCase();</x:v>
      </x:c>
      <x:c r="C783" t="str"/>
    </x:row>
    <x:row r="784">
      <x:c r="A784" s="28" t="n">
        <x:v>781</x:v>
      </x:c>
      <x:c r="B784" s="52" t="str">
        <x:v>  return !(value === false || normalized === 'false' || normalized === 'non' || normalized === '0');</x:v>
      </x:c>
      <x:c r="C784" t="str"/>
    </x:row>
    <x:row r="785">
      <x:c r="A785" s="28" t="n">
        <x:v>782</x:v>
      </x:c>
      <x:c r="B785" s="52" t="str">
        <x:v>}</x:v>
      </x:c>
      <x:c r="C785" t="str"/>
    </x:row>
    <x:row r="786">
      <x:c r="A786" s="28" t="n">
        <x:v>783</x:v>
      </x:c>
      <x:c r="B786" s="52" t="str"/>
      <x:c r="C786" t="str"/>
    </x:row>
    <x:row r="787">
      <x:c r="A787" s="28" t="n">
        <x:v>784</x:v>
      </x:c>
      <x:c r="B787" s="52" t="str">
        <x:v>function personKey_(nom, prenom, email) {</x:v>
      </x:c>
      <x:c r="C787" t="str"/>
    </x:row>
    <x:row r="788">
      <x:c r="A788" s="28" t="n">
        <x:v>785</x:v>
      </x:c>
      <x:c r="B788" s="52" t="str">
        <x:v>  const mail = clean_(email).toLowerCase();</x:v>
      </x:c>
      <x:c r="C788" t="str"/>
    </x:row>
    <x:row r="789">
      <x:c r="A789" s="28" t="n">
        <x:v>786</x:v>
      </x:c>
      <x:c r="B789" s="52" t="str">
        <x:v>  if (mail) return mail;</x:v>
      </x:c>
      <x:c r="C789" t="str"/>
    </x:row>
    <x:row r="790">
      <x:c r="A790" s="28" t="n">
        <x:v>787</x:v>
      </x:c>
      <x:c r="B790" s="52" t="str">
        <x:v>  return (clean_(nom) + ' ' + clean_(prenom))</x:v>
      </x:c>
      <x:c r="C790" t="str"/>
    </x:row>
    <x:row r="791">
      <x:c r="A791" s="28" t="n">
        <x:v>788</x:v>
      </x:c>
      <x:c r="B791" s="52" t="str">
        <x:v>    .normalize('NFD')</x:v>
      </x:c>
      <x:c r="C791" t="str"/>
    </x:row>
    <x:row r="792">
      <x:c r="A792" s="28" t="n">
        <x:v>789</x:v>
      </x:c>
      <x:c r="B792" s="52" t="str">
        <x:v>    .replace(/[\u0300-\u036f]/g, '')</x:v>
      </x:c>
      <x:c r="C792" t="str"/>
    </x:row>
    <x:row r="793">
      <x:c r="A793" s="28" t="n">
        <x:v>790</x:v>
      </x:c>
      <x:c r="B793" s="52" t="str">
        <x:v>    .replace(/\s+/g, ' ')</x:v>
      </x:c>
      <x:c r="C793" t="str"/>
    </x:row>
    <x:row r="794">
      <x:c r="A794" s="28" t="n">
        <x:v>791</x:v>
      </x:c>
      <x:c r="B794" s="52" t="str">
        <x:v>    .toUpperCase();</x:v>
      </x:c>
      <x:c r="C794" t="str"/>
    </x:row>
    <x:row r="795">
      <x:c r="A795" s="28" t="n">
        <x:v>792</x:v>
      </x:c>
      <x:c r="B795" s="52" t="str">
        <x:v>}</x:v>
      </x:c>
      <x:c r="C795" t="str"/>
    </x:row>
    <x:row r="796">
      <x:c r="A796" s="28" t="n">
        <x:v>793</x:v>
      </x:c>
      <x:c r="B796" s="52" t="str"/>
      <x:c r="C796" t="str"/>
    </x:row>
    <x:row r="797">
      <x:c r="A797" s="28" t="n">
        <x:v>794</x:v>
      </x:c>
      <x:c r="B797" s="52" t="str">
        <x:v>function slug_(value) {</x:v>
      </x:c>
      <x:c r="C797" t="str"/>
    </x:row>
    <x:row r="798">
      <x:c r="A798" s="28" t="n">
        <x:v>795</x:v>
      </x:c>
      <x:c r="B798" s="52" t="str">
        <x:v>  return clean_(value)</x:v>
      </x:c>
      <x:c r="C798" t="str"/>
    </x:row>
    <x:row r="799">
      <x:c r="A799" s="28" t="n">
        <x:v>796</x:v>
      </x:c>
      <x:c r="B799" s="52" t="str">
        <x:v>    .normalize('NFD')</x:v>
      </x:c>
      <x:c r="C799" t="str"/>
    </x:row>
    <x:row r="800">
      <x:c r="A800" s="28" t="n">
        <x:v>797</x:v>
      </x:c>
      <x:c r="B800" s="52" t="str">
        <x:v>    .replace(/[\u0300-\u036f]/g, '')</x:v>
      </x:c>
      <x:c r="C800" t="str"/>
    </x:row>
    <x:row r="801">
      <x:c r="A801" s="28" t="n">
        <x:v>798</x:v>
      </x:c>
      <x:c r="B801" s="52" t="str">
        <x:v>    .replace(/[^A-Za-z0-9]+/g, '_')</x:v>
      </x:c>
      <x:c r="C801" t="str"/>
    </x:row>
    <x:row r="802">
      <x:c r="A802" s="28" t="n">
        <x:v>799</x:v>
      </x:c>
      <x:c r="B802" s="52" t="str">
        <x:v>    .replace(/^_+|_+$/g, '')</x:v>
      </x:c>
      <x:c r="C802" t="str"/>
    </x:row>
    <x:row r="803">
      <x:c r="A803" s="28" t="n">
        <x:v>800</x:v>
      </x:c>
      <x:c r="B803" s="52" t="str">
        <x:v>    .toUpperCase();</x:v>
      </x:c>
      <x:c r="C803" t="str"/>
    </x:row>
    <x:row r="804">
      <x:c r="A804" s="28" t="n">
        <x:v>801</x:v>
      </x:c>
      <x:c r="B804" s="52" t="str">
        <x:v>}</x:v>
      </x:c>
      <x:c r="C804" t="str"/>
    </x:row>
    <x:row r="805">
      <x:c r="A805" s="28" t="n">
        <x:v>802</x:v>
      </x:c>
      <x:c r="B805" s="52" t="str"/>
      <x:c r="C805" t="str"/>
    </x:row>
    <x:row r="806">
      <x:c r="A806" s="28" t="n">
        <x:v>803</x:v>
      </x:c>
      <x:c r="B806" s="52" t="str">
        <x:v>function asDate_(value) {</x:v>
      </x:c>
      <x:c r="C806" t="str"/>
    </x:row>
    <x:row r="807">
      <x:c r="A807" s="28" t="n">
        <x:v>804</x:v>
      </x:c>
      <x:c r="B807" s="52" t="str">
        <x:v>  if (value instanceof Date &amp;&amp; !isNaN(value)) return value;</x:v>
      </x:c>
      <x:c r="C807" t="str"/>
    </x:row>
    <x:row r="808">
      <x:c r="A808" s="28" t="n">
        <x:v>805</x:v>
      </x:c>
      <x:c r="B808" s="52" t="str">
        <x:v>  if (!value) return null;</x:v>
      </x:c>
      <x:c r="C808" t="str"/>
    </x:row>
    <x:row r="809">
      <x:c r="A809" s="28" t="n">
        <x:v>806</x:v>
      </x:c>
      <x:c r="B809" s="52" t="str">
        <x:v>  const date = new Date(value);</x:v>
      </x:c>
      <x:c r="C809" t="str"/>
    </x:row>
    <x:row r="810">
      <x:c r="A810" s="28" t="n">
        <x:v>807</x:v>
      </x:c>
      <x:c r="B810" s="52" t="str">
        <x:v>  return isNaN(date) ? null : date;</x:v>
      </x:c>
      <x:c r="C810" t="str"/>
    </x:row>
    <x:row r="811">
      <x:c r="A811" s="28" t="n">
        <x:v>808</x:v>
      </x:c>
      <x:c r="B811" s="52" t="str">
        <x:v>}</x:v>
      </x:c>
      <x:c r="C811" t="str"/>
    </x:row>
    <x:row r="812">
      <x:c r="A812" s="28" t="n">
        <x:v>809</x:v>
      </x:c>
      <x:c r="B812" s="52" t="str"/>
      <x:c r="C812" t="str"/>
    </x:row>
    <x:row r="813">
      <x:c r="A813" s="28" t="n">
        <x:v>810</x:v>
      </x:c>
      <x:c r="B813" s="52" t="str">
        <x:v>function formatDate_(value) {</x:v>
      </x:c>
      <x:c r="C813" t="str"/>
    </x:row>
    <x:row r="814">
      <x:c r="A814" s="28" t="n">
        <x:v>811</x:v>
      </x:c>
      <x:c r="B814" s="52" t="str">
        <x:v>  const date = asDate_(value);</x:v>
      </x:c>
      <x:c r="C814" t="str"/>
    </x:row>
    <x:row r="815">
      <x:c r="A815" s="28" t="n">
        <x:v>812</x:v>
      </x:c>
      <x:c r="B815" s="52" t="str">
        <x:v>  if (!date) return '';</x:v>
      </x:c>
      <x:c r="C815" t="str"/>
    </x:row>
    <x:row r="816">
      <x:c r="A816" s="28" t="n">
        <x:v>813</x:v>
      </x:c>
      <x:c r="B816" s="52" t="str">
        <x:v>  return Utilities.formatDate(date, Session.getScriptTimeZone(), 'yyyy-MM-dd');</x:v>
      </x:c>
      <x:c r="C816" t="str"/>
    </x:row>
    <x:row r="817">
      <x:c r="A817" s="28" t="n">
        <x:v>814</x:v>
      </x:c>
      <x:c r="B817" s="52" t="str">
        <x:v>}</x:v>
      </x:c>
      <x:c r="C817" t="str"/>
    </x:row>
    <x:row r="818">
      <x:c r="A818" s="28" t="n">
        <x:v>815</x:v>
      </x:c>
      <x:c r="B818" s="52" t="str"/>
      <x:c r="C818" t="str"/>
    </x:row>
    <x:row r="819">
      <x:c r="A819" s="28" t="n">
        <x:v>816</x:v>
      </x:c>
      <x:c r="B819" s="52" t="str">
        <x:v>function getWeekNumber_(date) {</x:v>
      </x:c>
      <x:c r="C819" t="str"/>
    </x:row>
    <x:row r="820">
      <x:c r="A820" s="28" t="n">
        <x:v>817</x:v>
      </x:c>
      <x:c r="B820" s="52" t="str">
        <x:v>  const copy = new Date(Date.UTC(date.getFullYear(), date.getMonth(), date.getDate()));</x:v>
      </x:c>
      <x:c r="C820" t="str"/>
    </x:row>
    <x:row r="821">
      <x:c r="A821" s="28" t="n">
        <x:v>818</x:v>
      </x:c>
      <x:c r="B821" s="52" t="str">
        <x:v>  const dayNum = copy.getUTCDay() || 7;</x:v>
      </x:c>
      <x:c r="C821" t="str"/>
    </x:row>
    <x:row r="822">
      <x:c r="A822" s="28" t="n">
        <x:v>819</x:v>
      </x:c>
      <x:c r="B822" s="52" t="str">
        <x:v>  copy.setUTCDate(copy.getUTCDate() + 4 - dayNum);</x:v>
      </x:c>
      <x:c r="C822" t="str"/>
    </x:row>
    <x:row r="823">
      <x:c r="A823" s="28" t="n">
        <x:v>820</x:v>
      </x:c>
      <x:c r="B823" s="52" t="str">
        <x:v>  const yearStart = new Date(Date.UTC(copy.getUTCFullYear(), 0, 1));</x:v>
      </x:c>
      <x:c r="C823" t="str"/>
    </x:row>
    <x:row r="824">
      <x:c r="A824" s="28" t="n">
        <x:v>821</x:v>
      </x:c>
      <x:c r="B824" s="52" t="str">
        <x:v>  return Math.ceil((((copy - yearStart) / 86400000) + 1) / 7);</x:v>
      </x:c>
      <x:c r="C824" t="str"/>
    </x:row>
    <x:row r="825">
      <x:c r="A825" s="28" t="n">
        <x:v>822</x:v>
      </x:c>
      <x:c r="B825" s="52" t="str">
        <x:v>}</x:v>
      </x:c>
      <x:c r="C825" t="str"/>
    </x:row>
    <x:row r="826">
      <x:c r="A826" s="28" t="n">
        <x:v>823</x:v>
      </x:c>
      <x:c r="B826" s="52" t="str"/>
      <x:c r="C826" t="str"/>
    </x:row>
    <x:row r="827">
      <x:c r="A827" s="28"/>
      <x:c r="B827" s="52"/>
    </x:row>
    <x:row r="828">
      <x:c r="A828" s="28"/>
      <x:c r="B828" s="52"/>
    </x:row>
    <x:row r="829">
      <x:c r="A829" s="28"/>
      <x:c r="B829" s="52"/>
    </x:row>
    <x:row r="830">
      <x:c r="A830" s="28"/>
      <x:c r="B830" s="52"/>
    </x:row>
    <x:row r="831">
      <x:c r="A831" s="28"/>
      <x:c r="B831" s="52"/>
    </x:row>
    <x:row r="832">
      <x:c r="A832" s="28"/>
      <x:c r="B832" s="52"/>
    </x:row>
    <x:row r="833">
      <x:c r="A833" s="28"/>
      <x:c r="B833" s="52"/>
    </x:row>
    <x:row r="834">
      <x:c r="A834" s="28"/>
      <x:c r="B834" s="52"/>
    </x:row>
    <x:row r="835">
      <x:c r="A835" s="28"/>
      <x:c r="B835" s="52"/>
    </x:row>
    <x:row r="836">
      <x:c r="A836" s="28"/>
      <x:c r="B836" s="52"/>
    </x:row>
    <x:row r="837">
      <x:c r="A837" s="28"/>
      <x:c r="B837" s="52"/>
    </x:row>
    <x:row r="838">
      <x:c r="A838" s="28"/>
      <x:c r="B838" s="52"/>
    </x:row>
    <x:row r="839">
      <x:c r="A839" s="28"/>
      <x:c r="B839" s="52"/>
    </x:row>
    <x:row r="840">
      <x:c r="A840" s="28"/>
      <x:c r="B840" s="52"/>
    </x:row>
    <x:row r="841">
      <x:c r="A841" s="28"/>
      <x:c r="B841" s="52"/>
    </x:row>
    <x:row r="842">
      <x:c r="A842" s="28"/>
      <x:c r="B842" s="52"/>
    </x:row>
    <x:row r="843">
      <x:c r="A843" s="28"/>
      <x:c r="B843" s="52"/>
    </x:row>
    <x:row r="844">
      <x:c r="A844" s="28"/>
      <x:c r="B844" s="52"/>
    </x:row>
    <x:row r="845">
      <x:c r="A845" s="28"/>
      <x:c r="B845" s="52"/>
    </x:row>
    <x:row r="846">
      <x:c r="A846" s="28"/>
      <x:c r="B846" s="52"/>
    </x:row>
    <x:row r="847">
      <x:c r="A847" s="28"/>
      <x:c r="B847" s="52"/>
    </x:row>
    <x:row r="848">
      <x:c r="A848" s="28"/>
      <x:c r="B848" s="52"/>
    </x:row>
    <x:row r="849">
      <x:c r="A849" s="28"/>
      <x:c r="B849" s="52"/>
    </x:row>
    <x:row r="850">
      <x:c r="A850" s="28"/>
      <x:c r="B850" s="52"/>
    </x:row>
    <x:row r="851">
      <x:c r="A851" s="28"/>
      <x:c r="B851" s="52"/>
    </x:row>
    <x:row r="852">
      <x:c r="A852" s="28"/>
      <x:c r="B852" s="52"/>
    </x:row>
    <x:row r="853">
      <x:c r="A853" s="28"/>
      <x:c r="B853" s="52"/>
    </x:row>
    <x:row r="854">
      <x:c r="A854" s="28"/>
      <x:c r="B854" s="52"/>
    </x:row>
    <x:row r="855">
      <x:c r="A855" s="28"/>
      <x:c r="B855" s="52"/>
    </x:row>
    <x:row r="856">
      <x:c r="A856" s="28"/>
      <x:c r="B856" s="52"/>
    </x:row>
    <x:row r="857">
      <x:c r="A857" s="28"/>
      <x:c r="B857" s="52"/>
    </x:row>
    <x:row r="858">
      <x:c r="A858" s="28"/>
      <x:c r="B858" s="52"/>
    </x:row>
    <x:row r="859">
      <x:c r="A859" s="28"/>
      <x:c r="B859" s="52"/>
    </x:row>
    <x:row r="860">
      <x:c r="A860" s="28"/>
      <x:c r="B860" s="52"/>
    </x:row>
    <x:row r="861">
      <x:c r="A861" s="28"/>
      <x:c r="B861" s="52"/>
    </x:row>
    <x:row r="862">
      <x:c r="A862" s="28"/>
      <x:c r="B862" s="52"/>
    </x:row>
    <x:row r="863">
      <x:c r="A863" s="28"/>
      <x:c r="B863" s="52"/>
    </x:row>
    <x:row r="864">
      <x:c r="A864" s="28"/>
      <x:c r="B864" s="52"/>
    </x:row>
    <x:row r="865">
      <x:c r="A865" s="28"/>
      <x:c r="B865" s="52"/>
    </x:row>
    <x:row r="866">
      <x:c r="A866" s="28"/>
      <x:c r="B866" s="52"/>
    </x:row>
    <x:row r="867">
      <x:c r="A867" s="28"/>
      <x:c r="B867" s="52"/>
    </x:row>
    <x:row r="868">
      <x:c r="A868" s="28"/>
      <x:c r="B868" s="52"/>
    </x:row>
    <x:row r="869">
      <x:c r="A869" s="28"/>
      <x:c r="B869" s="52"/>
    </x:row>
    <x:row r="870">
      <x:c r="A870" s="28"/>
      <x:c r="B870" s="52"/>
    </x:row>
    <x:row r="871">
      <x:c r="A871" s="28"/>
      <x:c r="B871" s="52"/>
    </x:row>
    <x:row r="872">
      <x:c r="A872" s="28"/>
      <x:c r="B872" s="52"/>
    </x:row>
    <x:row r="873">
      <x:c r="A873" s="28"/>
      <x:c r="B873" s="52"/>
    </x:row>
    <x:row r="874">
      <x:c r="A874" s="28"/>
      <x:c r="B874" s="52"/>
    </x:row>
    <x:row r="875">
      <x:c r="A875" s="28"/>
      <x:c r="B875" s="52"/>
    </x:row>
    <x:row r="876">
      <x:c r="A876" s="28"/>
      <x:c r="B876" s="52"/>
    </x:row>
    <x:row r="877">
      <x:c r="A877" s="28"/>
      <x:c r="B877" s="52"/>
    </x:row>
    <x:row r="878">
      <x:c r="A878" s="28"/>
      <x:c r="B878" s="52"/>
    </x:row>
    <x:row r="879">
      <x:c r="A879" s="28"/>
      <x:c r="B879" s="52"/>
    </x:row>
    <x:row r="880">
      <x:c r="A880" s="28"/>
      <x:c r="B880" s="52"/>
    </x:row>
    <x:row r="881">
      <x:c r="A881" s="28"/>
      <x:c r="B881" s="52"/>
    </x:row>
    <x:row r="882">
      <x:c r="A882" s="28"/>
      <x:c r="B882" s="52"/>
    </x:row>
    <x:row r="883">
      <x:c r="A883" s="28"/>
      <x:c r="B883" s="52"/>
    </x:row>
    <x:row r="884">
      <x:c r="A884" s="28"/>
      <x:c r="B884" s="52"/>
    </x:row>
    <x:row r="885">
      <x:c r="A885" s="28"/>
      <x:c r="B885" s="52"/>
    </x:row>
    <x:row r="886">
      <x:c r="A886" s="28"/>
      <x:c r="B886" s="52"/>
    </x:row>
    <x:row r="887">
      <x:c r="A887" s="28"/>
      <x:c r="B887" s="52"/>
    </x:row>
    <x:row r="888">
      <x:c r="A888" s="28"/>
      <x:c r="B888" s="52"/>
    </x:row>
    <x:row r="889">
      <x:c r="A889" s="28"/>
      <x:c r="B889" s="52"/>
    </x:row>
    <x:row r="890">
      <x:c r="A890" s="28"/>
      <x:c r="B890" s="52"/>
    </x:row>
    <x:row r="891">
      <x:c r="A891" s="28"/>
      <x:c r="B891" s="52"/>
    </x:row>
    <x:row r="892">
      <x:c r="A892" s="28"/>
      <x:c r="B892" s="52"/>
    </x:row>
    <x:row r="893">
      <x:c r="A893" s="28"/>
      <x:c r="B893" s="52"/>
    </x:row>
    <x:row r="894">
      <x:c r="A894" s="28"/>
      <x:c r="B894" s="52"/>
    </x:row>
    <x:row r="895">
      <x:c r="A895" s="28"/>
      <x:c r="B895" s="52"/>
    </x:row>
    <x:row r="896">
      <x:c r="A896" s="28"/>
      <x:c r="B896" s="52"/>
    </x:row>
    <x:row r="897">
      <x:c r="A897" s="28"/>
      <x:c r="B897" s="52"/>
    </x:row>
    <x:row r="898">
      <x:c r="A898" s="28"/>
      <x:c r="B898" s="52"/>
    </x:row>
    <x:row r="899">
      <x:c r="A899" s="28"/>
      <x:c r="B899" s="52"/>
    </x:row>
    <x:row r="900">
      <x:c r="A900" s="28"/>
      <x:c r="B900" s="52"/>
    </x:row>
    <x:row r="901">
      <x:c r="A901" s="28"/>
      <x:c r="B901" s="52"/>
    </x:row>
    <x:row r="902">
      <x:c r="A902" s="28"/>
      <x:c r="B902" s="52"/>
    </x:row>
    <x:row r="903">
      <x:c r="A903" s="28"/>
      <x:c r="B903" s="52"/>
    </x:row>
    <x:row r="904">
      <x:c r="A904" s="28"/>
      <x:c r="B904" s="52"/>
    </x:row>
    <x:row r="905">
      <x:c r="A905" s="28"/>
      <x:c r="B905" s="52"/>
    </x:row>
    <x:row r="906">
      <x:c r="A906" s="28"/>
      <x:c r="B906" s="52"/>
    </x:row>
    <x:row r="907">
      <x:c r="A907" s="28"/>
      <x:c r="B907" s="52"/>
    </x:row>
    <x:row r="908">
      <x:c r="A908" s="28"/>
      <x:c r="B908" s="52"/>
    </x:row>
    <x:row r="909">
      <x:c r="A909" s="28"/>
      <x:c r="B909" s="52"/>
    </x:row>
    <x:row r="910">
      <x:c r="A910" s="28"/>
      <x:c r="B910" s="52"/>
    </x:row>
    <x:row r="911">
      <x:c r="A911" s="28"/>
      <x:c r="B911" s="52"/>
    </x:row>
    <x:row r="912">
      <x:c r="A912" s="28"/>
      <x:c r="B912" s="52"/>
    </x:row>
    <x:row r="913">
      <x:c r="A913" s="28"/>
      <x:c r="B913" s="52"/>
    </x:row>
    <x:row r="914">
      <x:c r="A914" s="28"/>
      <x:c r="B914" s="52"/>
    </x:row>
    <x:row r="915">
      <x:c r="A915" s="28"/>
      <x:c r="B915" s="52"/>
    </x:row>
    <x:row r="916">
      <x:c r="A916" s="28"/>
      <x:c r="B916" s="52"/>
    </x:row>
    <x:row r="917">
      <x:c r="A917" s="28"/>
      <x:c r="B917" s="52"/>
    </x:row>
    <x:row r="918">
      <x:c r="A918" s="28"/>
      <x:c r="B918" s="52"/>
    </x:row>
    <x:row r="919">
      <x:c r="A919" s="28"/>
      <x:c r="B919" s="52"/>
    </x:row>
    <x:row r="920">
      <x:c r="A920" s="28"/>
      <x:c r="B920" s="52"/>
    </x:row>
    <x:row r="921">
      <x:c r="A921" s="28"/>
      <x:c r="B921" s="52"/>
    </x:row>
    <x:row r="922">
      <x:c r="A922" s="28"/>
      <x:c r="B922" s="52"/>
    </x:row>
    <x:row r="923">
      <x:c r="A923" s="28"/>
      <x:c r="B923" s="52"/>
    </x:row>
    <x:row r="924">
      <x:c r="A924" s="28"/>
      <x:c r="B924" s="52"/>
    </x:row>
    <x:row r="925">
      <x:c r="A925" s="28"/>
      <x:c r="B925" s="52"/>
    </x:row>
    <x:row r="926">
      <x:c r="A926" s="28"/>
      <x:c r="B926" s="52"/>
    </x:row>
    <x:row r="927">
      <x:c r="A927" s="28"/>
      <x:c r="B927" s="52"/>
    </x:row>
    <x:row r="928">
      <x:c r="A928" s="28"/>
      <x:c r="B928" s="52"/>
    </x:row>
    <x:row r="929">
      <x:c r="A929" s="28"/>
      <x:c r="B929" s="52"/>
    </x:row>
    <x:row r="930">
      <x:c r="A930" s="28"/>
      <x:c r="B930" s="52"/>
    </x:row>
    <x:row r="931">
      <x:c r="A931" s="28"/>
      <x:c r="B931" s="52"/>
    </x:row>
    <x:row r="932">
      <x:c r="A932" s="28"/>
      <x:c r="B932" s="52"/>
    </x:row>
    <x:row r="933">
      <x:c r="A933" s="28"/>
      <x:c r="B933" s="52"/>
    </x:row>
    <x:row r="934">
      <x:c r="A934" s="28"/>
      <x:c r="B934" s="52"/>
    </x:row>
    <x:row r="935">
      <x:c r="A935" s="28"/>
      <x:c r="B935" s="52"/>
    </x:row>
    <x:row r="936">
      <x:c r="A936" s="28"/>
      <x:c r="B936" s="52"/>
    </x:row>
    <x:row r="937">
      <x:c r="A937" s="28"/>
      <x:c r="B937" s="52"/>
    </x:row>
    <x:row r="938">
      <x:c r="A938" s="28"/>
      <x:c r="B938" s="52"/>
    </x:row>
    <x:row r="939">
      <x:c r="A939" s="28"/>
      <x:c r="B939" s="52"/>
    </x:row>
    <x:row r="940">
      <x:c r="A940" s="28"/>
      <x:c r="B940" s="52"/>
    </x:row>
    <x:row r="941">
      <x:c r="A941" s="28"/>
      <x:c r="B941" s="52"/>
    </x:row>
    <x:row r="942">
      <x:c r="A942" s="28"/>
      <x:c r="B942" s="52"/>
    </x:row>
    <x:row r="943">
      <x:c r="A943" s="28"/>
      <x:c r="B943" s="52"/>
    </x:row>
    <x:row r="944">
      <x:c r="A944" s="28"/>
      <x:c r="B944" s="52"/>
    </x:row>
    <x:row r="945">
      <x:c r="A945" s="28"/>
      <x:c r="B945" s="52"/>
    </x:row>
    <x:row r="946">
      <x:c r="A946" s="28"/>
      <x:c r="B946" s="52"/>
    </x:row>
    <x:row r="947">
      <x:c r="A947" s="28"/>
      <x:c r="B947" s="52"/>
    </x:row>
    <x:row r="948">
      <x:c r="A948" s="28"/>
      <x:c r="B948" s="52"/>
    </x:row>
    <x:row r="949">
      <x:c r="A949" s="28"/>
      <x:c r="B949" s="52"/>
    </x:row>
    <x:row r="950">
      <x:c r="A950" s="28"/>
      <x:c r="B950" s="52"/>
    </x:row>
    <x:row r="951">
      <x:c r="A951" s="28"/>
      <x:c r="B951" s="52"/>
    </x:row>
    <x:row r="952">
      <x:c r="A952" s="28"/>
      <x:c r="B952" s="52"/>
    </x:row>
    <x:row r="953">
      <x:c r="A953" s="28"/>
      <x:c r="B953" s="52"/>
    </x:row>
    <x:row r="954">
      <x:c r="A954" s="28"/>
      <x:c r="B954" s="52"/>
    </x:row>
    <x:row r="955">
      <x:c r="A955" s="28"/>
      <x:c r="B955" s="52"/>
    </x:row>
    <x:row r="956">
      <x:c r="A956" s="28"/>
      <x:c r="B956" s="52"/>
    </x:row>
    <x:row r="957">
      <x:c r="A957" s="28"/>
      <x:c r="B957" s="52"/>
    </x:row>
    <x:row r="958">
      <x:c r="A958" s="28"/>
      <x:c r="B958" s="52"/>
    </x:row>
    <x:row r="959">
      <x:c r="A959" s="28"/>
      <x:c r="B959" s="52"/>
    </x:row>
    <x:row r="960">
      <x:c r="A960" s="28"/>
      <x:c r="B960" s="52"/>
    </x:row>
    <x:row r="961">
      <x:c r="A961" s="28"/>
      <x:c r="B961" s="52"/>
    </x:row>
    <x:row r="962">
      <x:c r="A962" s="28"/>
      <x:c r="B962" s="52"/>
    </x:row>
    <x:row r="963">
      <x:c r="A963" s="28"/>
      <x:c r="B963" s="52"/>
    </x:row>
    <x:row r="964">
      <x:c r="A964" s="28"/>
      <x:c r="B964" s="52"/>
    </x:row>
    <x:row r="965">
      <x:c r="A965" s="28"/>
      <x:c r="B965" s="52"/>
    </x:row>
    <x:row r="966">
      <x:c r="A966" s="28"/>
      <x:c r="B966" s="52"/>
    </x:row>
    <x:row r="967">
      <x:c r="A967" s="28"/>
      <x:c r="B967" s="52"/>
    </x:row>
    <x:row r="968">
      <x:c r="A968" s="28"/>
      <x:c r="B968" s="52"/>
    </x:row>
    <x:row r="969">
      <x:c r="A969" s="28"/>
      <x:c r="B969" s="52"/>
    </x:row>
    <x:row r="970">
      <x:c r="A970" s="28"/>
      <x:c r="B970" s="52"/>
    </x:row>
    <x:row r="971">
      <x:c r="A971" s="28"/>
      <x:c r="B971" s="52"/>
    </x:row>
    <x:row r="972">
      <x:c r="A972" s="28"/>
      <x:c r="B972" s="52"/>
    </x:row>
    <x:row r="973">
      <x:c r="A973" s="28"/>
      <x:c r="B973" s="52"/>
    </x:row>
    <x:row r="974">
      <x:c r="A974" s="28"/>
      <x:c r="B974" s="52"/>
    </x:row>
    <x:row r="975">
      <x:c r="A975" s="28"/>
      <x:c r="B975" s="52"/>
    </x:row>
    <x:row r="976">
      <x:c r="A976" s="28"/>
      <x:c r="B976" s="52"/>
    </x:row>
    <x:row r="977">
      <x:c r="A977" s="28"/>
      <x:c r="B977" s="52"/>
    </x:row>
    <x:row r="978">
      <x:c r="A978" s="28"/>
      <x:c r="B978" s="52"/>
    </x:row>
    <x:row r="979">
      <x:c r="A979" s="28"/>
      <x:c r="B979" s="52"/>
    </x:row>
    <x:row r="980">
      <x:c r="A980" s="28"/>
      <x:c r="B980" s="52"/>
    </x:row>
    <x:row r="981">
      <x:c r="A981" s="28"/>
      <x:c r="B981" s="52"/>
    </x:row>
    <x:row r="982">
      <x:c r="A982" s="28"/>
      <x:c r="B982" s="52"/>
    </x:row>
    <x:row r="983">
      <x:c r="A983" s="28"/>
      <x:c r="B983" s="52"/>
    </x:row>
    <x:row r="984">
      <x:c r="A984" s="28"/>
      <x:c r="B984" s="52"/>
    </x:row>
    <x:row r="985">
      <x:c r="A985" s="28"/>
      <x:c r="B985" s="52"/>
    </x:row>
    <x:row r="986">
      <x:c r="A986" s="28"/>
      <x:c r="B986" s="52"/>
    </x:row>
    <x:row r="987">
      <x:c r="A987" s="28"/>
      <x:c r="B987" s="52"/>
    </x:row>
    <x:row r="988">
      <x:c r="A988" s="28"/>
      <x:c r="B988" s="52"/>
    </x:row>
    <x:row r="989">
      <x:c r="A989" s="28"/>
      <x:c r="B989" s="52"/>
    </x:row>
    <x:row r="990">
      <x:c r="A990" s="28"/>
      <x:c r="B990" s="52"/>
    </x:row>
    <x:row r="991">
      <x:c r="A991" s="28"/>
      <x:c r="B991" s="52"/>
    </x:row>
    <x:row r="992">
      <x:c r="A992" s="28"/>
      <x:c r="B992" s="52"/>
    </x:row>
    <x:row r="993">
      <x:c r="A993" s="28"/>
      <x:c r="B993" s="52"/>
    </x:row>
    <x:row r="994">
      <x:c r="A994" s="28"/>
      <x:c r="B994" s="52"/>
    </x:row>
    <x:row r="995">
      <x:c r="A995" s="28"/>
      <x:c r="B995" s="52"/>
    </x:row>
    <x:row r="996">
      <x:c r="A996" s="28"/>
      <x:c r="B996" s="52"/>
    </x:row>
    <x:row r="997">
      <x:c r="A997" s="28"/>
      <x:c r="B997" s="52"/>
    </x:row>
    <x:row r="998">
      <x:c r="A998" s="28"/>
      <x:c r="B998" s="52"/>
    </x:row>
    <x:row r="999">
      <x:c r="A999" s="28"/>
      <x:c r="B999" s="52"/>
    </x:row>
    <x:row r="1000">
      <x:c r="A1000" s="28"/>
      <x:c r="B1000" s="52"/>
    </x:row>
    <x:row r="1001">
      <x:c r="A1001" s="28"/>
      <x:c r="B1001" s="52"/>
    </x:row>
    <x:row r="1002">
      <x:c r="A1002" s="28"/>
      <x:c r="B1002" s="52"/>
    </x:row>
    <x:row r="1003">
      <x:c r="A1003" s="28"/>
      <x:c r="B1003" s="52"/>
    </x:row>
    <x:row r="1004">
      <x:c r="A1004" s="28"/>
      <x:c r="B1004" s="52"/>
    </x:row>
    <x:row r="1005">
      <x:c r="A1005" s="28"/>
      <x:c r="B1005" s="52"/>
    </x:row>
    <x:row r="1006">
      <x:c r="A1006" s="28"/>
      <x:c r="B1006" s="52"/>
    </x:row>
    <x:row r="1007">
      <x:c r="A1007" s="28"/>
      <x:c r="B1007" s="52"/>
    </x:row>
    <x:row r="1008">
      <x:c r="A1008" s="28"/>
      <x:c r="B1008" s="52"/>
    </x:row>
    <x:row r="1009">
      <x:c r="A1009" s="28"/>
      <x:c r="B1009" s="52"/>
    </x:row>
    <x:row r="1010">
      <x:c r="A1010" s="28"/>
      <x:c r="B1010" s="52"/>
    </x:row>
    <x:row r="1011">
      <x:c r="A1011" s="28"/>
      <x:c r="B1011" s="52"/>
    </x:row>
    <x:row r="1012">
      <x:c r="A1012" s="28"/>
      <x:c r="B1012" s="52"/>
    </x:row>
    <x:row r="1013">
      <x:c r="A1013" s="28"/>
      <x:c r="B1013" s="52"/>
    </x:row>
    <x:row r="1014">
      <x:c r="A1014" s="28"/>
      <x:c r="B1014" s="52"/>
    </x:row>
    <x:row r="1015">
      <x:c r="A1015" s="28"/>
      <x:c r="B1015" s="52"/>
    </x:row>
    <x:row r="1016">
      <x:c r="A1016" s="28"/>
      <x:c r="B1016" s="52"/>
    </x:row>
    <x:row r="1017">
      <x:c r="A1017" s="28"/>
      <x:c r="B1017" s="52"/>
    </x:row>
    <x:row r="1018">
      <x:c r="A1018" s="28"/>
      <x:c r="B1018" s="52"/>
    </x:row>
    <x:row r="1019">
      <x:c r="A1019" s="28"/>
      <x:c r="B1019" s="52"/>
    </x:row>
    <x:row r="1020">
      <x:c r="A1020" s="28"/>
      <x:c r="B1020" s="52"/>
    </x:row>
    <x:row r="1021">
      <x:c r="A1021" s="28"/>
      <x:c r="B1021" s="52"/>
    </x:row>
    <x:row r="1022">
      <x:c r="A1022" s="28"/>
      <x:c r="B1022" s="52"/>
    </x:row>
    <x:row r="1023">
      <x:c r="A1023" s="28"/>
      <x:c r="B1023" s="52"/>
    </x:row>
    <x:row r="1024">
      <x:c r="A1024" s="28"/>
      <x:c r="B1024" s="52"/>
    </x:row>
    <x:row r="1025">
      <x:c r="A1025" s="28"/>
      <x:c r="B1025" s="52"/>
    </x:row>
    <x:row r="1026">
      <x:c r="A1026" s="28"/>
      <x:c r="B1026" s="52"/>
    </x:row>
    <x:row r="1027">
      <x:c r="A1027" s="28"/>
      <x:c r="B1027" s="52"/>
    </x:row>
    <x:row r="1028">
      <x:c r="A1028" s="28"/>
      <x:c r="B1028" s="52"/>
    </x:row>
    <x:row r="1029">
      <x:c r="A1029" s="28"/>
      <x:c r="B1029" s="52"/>
    </x:row>
    <x:row r="1030">
      <x:c r="A1030" s="28"/>
      <x:c r="B1030" s="52"/>
    </x:row>
    <x:row r="1031">
      <x:c r="A1031" s="28"/>
      <x:c r="B1031" s="52"/>
    </x:row>
    <x:row r="1032">
      <x:c r="A1032" s="28"/>
      <x:c r="B1032" s="52"/>
    </x:row>
    <x:row r="1033">
      <x:c r="A1033" s="28"/>
      <x:c r="B1033" s="52"/>
    </x:row>
    <x:row r="1034">
      <x:c r="A1034" s="28"/>
      <x:c r="B1034" s="52"/>
    </x:row>
    <x:row r="1035">
      <x:c r="A1035" s="28"/>
      <x:c r="B1035" s="52"/>
    </x:row>
    <x:row r="1036">
      <x:c r="A1036" s="28"/>
      <x:c r="B1036" s="52"/>
    </x:row>
    <x:row r="1037">
      <x:c r="A1037" s="28"/>
      <x:c r="B1037" s="52"/>
    </x:row>
    <x:row r="1038">
      <x:c r="A1038" s="28"/>
      <x:c r="B1038" s="52"/>
    </x:row>
    <x:row r="1039">
      <x:c r="A1039" s="28"/>
      <x:c r="B1039" s="52"/>
    </x:row>
    <x:row r="1040">
      <x:c r="A1040" s="28"/>
      <x:c r="B1040" s="52"/>
    </x:row>
    <x:row r="1041">
      <x:c r="A1041" s="28"/>
      <x:c r="B1041" s="52"/>
    </x:row>
    <x:row r="1042">
      <x:c r="A1042" s="28"/>
      <x:c r="B1042" s="52"/>
    </x:row>
    <x:row r="1043">
      <x:c r="A1043" s="28"/>
      <x:c r="B1043" s="52"/>
    </x:row>
    <x:row r="1044">
      <x:c r="A1044" s="28"/>
      <x:c r="B1044" s="52"/>
    </x:row>
    <x:row r="1045">
      <x:c r="A1045" s="28"/>
      <x:c r="B1045" s="52"/>
    </x:row>
    <x:row r="1046">
      <x:c r="A1046" s="28"/>
      <x:c r="B1046" s="52"/>
    </x:row>
    <x:row r="1047">
      <x:c r="A1047" s="28"/>
      <x:c r="B1047" s="52"/>
    </x:row>
    <x:row r="1048">
      <x:c r="A1048" s="28"/>
      <x:c r="B1048" s="52"/>
    </x:row>
    <x:row r="1049">
      <x:c r="A1049" s="28"/>
      <x:c r="B1049" s="52"/>
    </x:row>
    <x:row r="1050">
      <x:c r="A1050" s="28"/>
      <x:c r="B1050" s="52"/>
    </x:row>
    <x:row r="1051">
      <x:c r="A1051" s="28"/>
      <x:c r="B1051" s="52"/>
    </x:row>
    <x:row r="1052">
      <x:c r="A1052" s="28"/>
      <x:c r="B1052" s="52"/>
    </x:row>
    <x:row r="1053">
      <x:c r="A1053" s="28"/>
      <x:c r="B1053" s="52"/>
    </x:row>
    <x:row r="1054">
      <x:c r="A1054" s="28"/>
      <x:c r="B1054" s="52"/>
    </x:row>
    <x:row r="1055">
      <x:c r="A1055" s="28"/>
      <x:c r="B1055" s="52"/>
    </x:row>
    <x:row r="1056">
      <x:c r="A1056" s="28"/>
      <x:c r="B1056" s="52"/>
    </x:row>
    <x:row r="1057">
      <x:c r="A1057" s="28"/>
      <x:c r="B1057" s="52"/>
    </x:row>
    <x:row r="1058">
      <x:c r="A1058" s="28"/>
      <x:c r="B1058" s="52"/>
    </x:row>
    <x:row r="1059">
      <x:c r="A1059" s="28"/>
      <x:c r="B1059" s="52"/>
    </x:row>
    <x:row r="1060">
      <x:c r="A1060" s="28"/>
      <x:c r="B1060" s="52"/>
    </x:row>
    <x:row r="1061">
      <x:c r="A1061" s="28"/>
      <x:c r="B1061" s="52"/>
    </x:row>
    <x:row r="1062">
      <x:c r="A1062" s="28"/>
      <x:c r="B1062" s="52"/>
    </x:row>
    <x:row r="1063">
      <x:c r="A1063" s="28"/>
      <x:c r="B1063" s="52"/>
    </x:row>
    <x:row r="1064">
      <x:c r="A1064" s="28"/>
      <x:c r="B1064" s="52"/>
    </x:row>
    <x:row r="1065">
      <x:c r="A1065" s="28"/>
      <x:c r="B1065" s="52"/>
    </x:row>
    <x:row r="1066">
      <x:c r="A1066" s="28"/>
      <x:c r="B1066" s="52"/>
    </x:row>
    <x:row r="1067">
      <x:c r="A1067" s="28"/>
      <x:c r="B1067" s="52"/>
    </x:row>
    <x:row r="1068">
      <x:c r="A1068" s="28"/>
      <x:c r="B1068" s="52"/>
    </x:row>
    <x:row r="1069">
      <x:c r="A1069" s="28"/>
      <x:c r="B1069" s="52"/>
    </x:row>
    <x:row r="1070">
      <x:c r="A1070" s="28"/>
      <x:c r="B1070" s="52"/>
    </x:row>
    <x:row r="1071">
      <x:c r="A1071" s="28"/>
      <x:c r="B1071" s="52"/>
    </x:row>
    <x:row r="1072">
      <x:c r="A1072" s="28"/>
      <x:c r="B1072" s="52"/>
    </x:row>
    <x:row r="1073">
      <x:c r="A1073" s="28"/>
      <x:c r="B1073" s="52"/>
    </x:row>
    <x:row r="1074">
      <x:c r="A1074" s="28"/>
      <x:c r="B1074" s="52"/>
    </x:row>
    <x:row r="1075">
      <x:c r="A1075" s="28"/>
      <x:c r="B1075" s="52"/>
    </x:row>
    <x:row r="1076">
      <x:c r="A1076" s="28"/>
      <x:c r="B1076" s="52"/>
    </x:row>
    <x:row r="1077">
      <x:c r="A1077" s="28"/>
      <x:c r="B1077" s="52"/>
    </x:row>
    <x:row r="1078">
      <x:c r="A1078" s="28"/>
      <x:c r="B1078" s="52"/>
    </x:row>
    <x:row r="1079">
      <x:c r="A1079" s="28"/>
      <x:c r="B1079" s="52"/>
    </x:row>
    <x:row r="1080">
      <x:c r="A1080" s="28"/>
      <x:c r="B1080" s="52"/>
    </x:row>
    <x:row r="1081">
      <x:c r="A1081" s="28"/>
      <x:c r="B1081" s="52"/>
    </x:row>
    <x:row r="1082">
      <x:c r="A1082" s="28"/>
      <x:c r="B1082" s="52"/>
    </x:row>
    <x:row r="1083">
      <x:c r="A1083" s="28"/>
      <x:c r="B1083" s="52"/>
    </x:row>
    <x:row r="1084">
      <x:c r="A1084" s="28"/>
      <x:c r="B1084" s="52"/>
    </x:row>
    <x:row r="1085">
      <x:c r="A1085" s="28"/>
      <x:c r="B1085" s="52"/>
    </x:row>
    <x:row r="1086">
      <x:c r="A1086" s="28"/>
      <x:c r="B1086" s="52"/>
    </x:row>
    <x:row r="1087">
      <x:c r="A1087" s="28"/>
      <x:c r="B1087" s="52"/>
    </x:row>
    <x:row r="1088">
      <x:c r="A1088" s="28"/>
      <x:c r="B1088" s="52"/>
    </x:row>
    <x:row r="1089">
      <x:c r="A1089" s="28"/>
      <x:c r="B1089" s="52"/>
    </x:row>
    <x:row r="1090">
      <x:c r="A1090" s="28"/>
      <x:c r="B1090" s="52"/>
    </x:row>
    <x:row r="1091">
      <x:c r="A1091" s="28"/>
      <x:c r="B1091" s="52"/>
    </x:row>
    <x:row r="1092">
      <x:c r="A1092" s="28"/>
      <x:c r="B1092" s="52"/>
    </x:row>
    <x:row r="1093">
      <x:c r="A1093" s="28"/>
      <x:c r="B1093" s="52"/>
    </x:row>
    <x:row r="1094">
      <x:c r="A1094" s="28"/>
      <x:c r="B1094" s="52"/>
    </x:row>
    <x:row r="1095">
      <x:c r="A1095" s="28"/>
      <x:c r="B1095" s="52"/>
    </x:row>
    <x:row r="1096">
      <x:c r="A1096" s="28"/>
      <x:c r="B1096" s="52"/>
    </x:row>
    <x:row r="1097">
      <x:c r="A1097" s="28"/>
      <x:c r="B1097" s="52"/>
    </x:row>
    <x:row r="1098">
      <x:c r="A1098" s="28"/>
      <x:c r="B1098" s="52"/>
    </x:row>
    <x:row r="1099">
      <x:c r="A1099" s="28"/>
      <x:c r="B1099" s="52"/>
    </x:row>
    <x:row r="1100">
      <x:c r="A1100" s="28"/>
      <x:c r="B1100" s="52"/>
    </x:row>
    <x:row r="1101">
      <x:c r="A1101" s="28"/>
      <x:c r="B1101" s="52"/>
    </x:row>
    <x:row r="1102">
      <x:c r="A1102" s="28"/>
      <x:c r="B1102" s="52"/>
    </x:row>
    <x:row r="1103">
      <x:c r="A1103" s="28"/>
      <x:c r="B1103" s="52"/>
    </x:row>
    <x:row r="1104">
      <x:c r="A1104" s="28"/>
      <x:c r="B1104" s="52"/>
    </x:row>
    <x:row r="1105">
      <x:c r="A1105" s="28"/>
      <x:c r="B1105" s="52"/>
    </x:row>
    <x:row r="1106">
      <x:c r="A1106" s="28"/>
      <x:c r="B1106" s="52"/>
    </x:row>
    <x:row r="1107">
      <x:c r="A1107" s="28"/>
      <x:c r="B1107" s="52"/>
    </x:row>
    <x:row r="1108">
      <x:c r="A1108" s="28"/>
      <x:c r="B1108" s="52"/>
    </x:row>
    <x:row r="1109">
      <x:c r="A1109" s="28"/>
      <x:c r="B1109" s="52"/>
    </x:row>
    <x:row r="1110">
      <x:c r="A1110" s="28"/>
      <x:c r="B1110" s="52"/>
    </x:row>
    <x:row r="1111">
      <x:c r="A1111" s="28"/>
      <x:c r="B1111" s="52"/>
    </x:row>
    <x:row r="1112">
      <x:c r="A1112" s="28"/>
      <x:c r="B1112" s="52"/>
    </x:row>
    <x:row r="1113">
      <x:c r="A1113" s="28"/>
      <x:c r="B1113" s="52"/>
    </x:row>
    <x:row r="1114">
      <x:c r="A1114" s="28"/>
      <x:c r="B1114" s="52"/>
    </x:row>
    <x:row r="1115">
      <x:c r="A1115" s="28"/>
      <x:c r="B1115" s="52"/>
    </x:row>
    <x:row r="1116">
      <x:c r="A1116" s="28"/>
      <x:c r="B1116" s="52"/>
    </x:row>
    <x:row r="1117">
      <x:c r="A1117" s="28"/>
      <x:c r="B1117" s="52"/>
    </x:row>
    <x:row r="1118">
      <x:c r="A1118" s="28"/>
      <x:c r="B1118" s="52"/>
    </x:row>
    <x:row r="1119">
      <x:c r="A1119" s="28"/>
      <x:c r="B1119" s="52"/>
    </x:row>
    <x:row r="1120">
      <x:c r="A1120" s="28"/>
      <x:c r="B1120" s="52"/>
    </x:row>
    <x:row r="1121">
      <x:c r="A1121" s="28"/>
      <x:c r="B1121" s="52"/>
    </x:row>
    <x:row r="1122">
      <x:c r="A1122" s="28"/>
      <x:c r="B1122" s="52"/>
    </x:row>
    <x:row r="1123">
      <x:c r="A1123" s="28"/>
      <x:c r="B1123" s="52"/>
    </x:row>
    <x:row r="1124">
      <x:c r="A1124" s="28"/>
      <x:c r="B1124" s="52"/>
    </x:row>
    <x:row r="1125">
      <x:c r="A1125" s="28"/>
      <x:c r="B1125" s="52"/>
    </x:row>
    <x:row r="1126">
      <x:c r="A1126" s="28"/>
      <x:c r="B1126" s="52"/>
    </x:row>
    <x:row r="1127">
      <x:c r="A1127" s="28"/>
      <x:c r="B1127" s="52"/>
    </x:row>
    <x:row r="1128">
      <x:c r="A1128" s="28"/>
      <x:c r="B1128" s="52"/>
    </x:row>
    <x:row r="1129">
      <x:c r="A1129" s="28"/>
      <x:c r="B1129" s="52"/>
    </x:row>
    <x:row r="1130">
      <x:c r="A1130" s="28"/>
      <x:c r="B1130" s="52"/>
    </x:row>
    <x:row r="1131">
      <x:c r="A1131" s="28"/>
      <x:c r="B1131" s="52"/>
    </x:row>
    <x:row r="1132">
      <x:c r="A1132" s="28"/>
      <x:c r="B1132" s="52"/>
    </x:row>
    <x:row r="1133">
      <x:c r="A1133" s="28"/>
      <x:c r="B1133" s="52"/>
    </x:row>
    <x:row r="1134">
      <x:c r="A1134" s="28"/>
      <x:c r="B1134" s="52"/>
    </x:row>
    <x:row r="1135">
      <x:c r="A1135" s="28"/>
      <x:c r="B1135" s="52"/>
    </x:row>
    <x:row r="1136">
      <x:c r="A1136" s="28"/>
      <x:c r="B1136" s="52"/>
    </x:row>
    <x:row r="1137">
      <x:c r="A1137" s="28"/>
      <x:c r="B1137" s="52"/>
    </x:row>
    <x:row r="1138">
      <x:c r="A1138" s="28"/>
      <x:c r="B1138" s="52"/>
    </x:row>
    <x:row r="1139">
      <x:c r="A1139" s="28"/>
      <x:c r="B1139" s="52"/>
    </x:row>
    <x:row r="1140">
      <x:c r="A1140" s="28"/>
      <x:c r="B1140" s="52"/>
    </x:row>
    <x:row r="1141">
      <x:c r="A1141" s="28"/>
      <x:c r="B1141" s="52"/>
    </x:row>
    <x:row r="1142">
      <x:c r="A1142" s="28"/>
      <x:c r="B1142" s="52"/>
    </x:row>
    <x:row r="1143">
      <x:c r="A1143" s="28"/>
      <x:c r="B1143" s="52"/>
    </x:row>
    <x:row r="1144">
      <x:c r="A1144" s="28"/>
      <x:c r="B1144" s="52"/>
    </x:row>
    <x:row r="1145">
      <x:c r="A1145" s="28"/>
      <x:c r="B1145" s="52"/>
    </x:row>
    <x:row r="1146">
      <x:c r="A1146" s="28"/>
      <x:c r="B1146" s="52"/>
    </x:row>
    <x:row r="1147">
      <x:c r="A1147" s="28"/>
      <x:c r="B1147" s="52"/>
    </x:row>
    <x:row r="1148">
      <x:c r="A1148" s="28"/>
      <x:c r="B1148" s="52"/>
    </x:row>
    <x:row r="1149">
      <x:c r="A1149" s="28"/>
      <x:c r="B1149" s="52"/>
    </x:row>
    <x:row r="1150">
      <x:c r="A1150" s="28"/>
      <x:c r="B1150" s="52"/>
    </x:row>
    <x:row r="1151">
      <x:c r="A1151" s="28"/>
      <x:c r="B1151" s="52"/>
    </x:row>
    <x:row r="1152">
      <x:c r="A1152" s="28"/>
      <x:c r="B1152" s="52"/>
    </x:row>
    <x:row r="1153">
      <x:c r="A1153" s="28"/>
      <x:c r="B1153" s="52"/>
    </x:row>
    <x:row r="1154">
      <x:c r="A1154" s="28"/>
      <x:c r="B1154" s="52"/>
    </x:row>
    <x:row r="1155">
      <x:c r="A1155" s="28"/>
      <x:c r="B1155" s="52"/>
    </x:row>
    <x:row r="1156">
      <x:c r="A1156" s="28"/>
      <x:c r="B1156" s="52"/>
    </x:row>
    <x:row r="1157">
      <x:c r="A1157" s="28"/>
      <x:c r="B1157" s="52"/>
    </x:row>
    <x:row r="1158">
      <x:c r="A1158" s="28"/>
      <x:c r="B1158" s="52"/>
    </x:row>
    <x:row r="1159">
      <x:c r="A1159" s="28"/>
      <x:c r="B1159" s="52"/>
    </x:row>
    <x:row r="1160">
      <x:c r="A1160" s="28"/>
      <x:c r="B1160" s="52"/>
    </x:row>
    <x:row r="1161">
      <x:c r="A1161" s="28"/>
      <x:c r="B1161" s="52"/>
    </x:row>
    <x:row r="1162">
      <x:c r="A1162" s="28"/>
      <x:c r="B1162" s="52"/>
    </x:row>
    <x:row r="1163">
      <x:c r="A1163" s="28"/>
      <x:c r="B1163" s="52"/>
    </x:row>
    <x:row r="1164">
      <x:c r="A1164" s="28"/>
      <x:c r="B1164" s="52"/>
    </x:row>
    <x:row r="1165">
      <x:c r="A1165" s="28"/>
      <x:c r="B1165" s="52"/>
    </x:row>
    <x:row r="1166">
      <x:c r="A1166" s="28"/>
      <x:c r="B1166" s="52"/>
    </x:row>
    <x:row r="1167">
      <x:c r="A1167" s="28"/>
      <x:c r="B1167" s="52"/>
    </x:row>
    <x:row r="1168">
      <x:c r="A1168" s="28"/>
      <x:c r="B1168" s="52"/>
    </x:row>
    <x:row r="1169">
      <x:c r="A1169" s="28"/>
      <x:c r="B1169" s="52"/>
    </x:row>
    <x:row r="1170">
      <x:c r="A1170" s="28"/>
      <x:c r="B1170" s="52"/>
    </x:row>
    <x:row r="1171">
      <x:c r="A1171" s="28"/>
      <x:c r="B1171" s="52"/>
    </x:row>
    <x:row r="1172">
      <x:c r="A1172" s="28"/>
      <x:c r="B1172" s="52"/>
    </x:row>
    <x:row r="1173">
      <x:c r="A1173" s="28"/>
      <x:c r="B1173" s="52"/>
    </x:row>
    <x:row r="1174">
      <x:c r="A1174" s="28"/>
      <x:c r="B1174" s="52"/>
    </x:row>
    <x:row r="1175">
      <x:c r="A1175" s="28"/>
      <x:c r="B1175" s="52"/>
    </x:row>
    <x:row r="1176">
      <x:c r="A1176" s="28"/>
      <x:c r="B1176" s="52"/>
    </x:row>
    <x:row r="1177">
      <x:c r="A1177" s="28"/>
      <x:c r="B1177" s="52"/>
    </x:row>
    <x:row r="1178">
      <x:c r="A1178" s="28"/>
      <x:c r="B1178" s="52"/>
    </x:row>
    <x:row r="1179">
      <x:c r="A1179" s="28"/>
      <x:c r="B1179" s="52"/>
    </x:row>
    <x:row r="1180">
      <x:c r="A1180" s="28"/>
      <x:c r="B1180" s="52"/>
    </x:row>
    <x:row r="1181">
      <x:c r="A1181" s="28"/>
      <x:c r="B1181" s="52"/>
    </x:row>
    <x:row r="1182">
      <x:c r="A1182" s="28"/>
      <x:c r="B1182" s="52"/>
    </x:row>
    <x:row r="1183">
      <x:c r="A1183" s="28"/>
      <x:c r="B1183" s="52"/>
    </x:row>
    <x:row r="1184">
      <x:c r="A1184" s="28"/>
      <x:c r="B1184" s="52"/>
    </x:row>
    <x:row r="1185">
      <x:c r="A1185" s="28"/>
      <x:c r="B1185" s="52"/>
    </x:row>
    <x:row r="1186">
      <x:c r="A1186" s="28"/>
      <x:c r="B1186" s="52"/>
    </x:row>
    <x:row r="1187">
      <x:c r="A1187" s="28"/>
      <x:c r="B1187" s="52"/>
    </x:row>
    <x:row r="1188">
      <x:c r="A1188" s="28"/>
      <x:c r="B1188" s="52"/>
    </x:row>
    <x:row r="1189">
      <x:c r="A1189" s="28"/>
      <x:c r="B1189" s="52"/>
    </x:row>
    <x:row r="1190">
      <x:c r="A1190" s="28"/>
      <x:c r="B1190" s="52"/>
    </x:row>
    <x:row r="1191">
      <x:c r="A1191" s="28"/>
      <x:c r="B1191" s="52"/>
    </x:row>
    <x:row r="1192">
      <x:c r="A1192" s="28"/>
      <x:c r="B1192" s="52"/>
    </x:row>
    <x:row r="1193">
      <x:c r="A1193" s="28"/>
      <x:c r="B1193" s="52"/>
    </x:row>
    <x:row r="1194">
      <x:c r="A1194" s="28"/>
      <x:c r="B1194" s="52"/>
    </x:row>
    <x:row r="1195">
      <x:c r="A1195" s="28"/>
      <x:c r="B1195" s="52"/>
    </x:row>
    <x:row r="1196">
      <x:c r="A1196" s="28"/>
      <x:c r="B1196" s="52"/>
    </x:row>
    <x:row r="1197">
      <x:c r="A1197" s="28"/>
      <x:c r="B1197" s="52"/>
    </x:row>
    <x:row r="1198">
      <x:c r="A1198" s="28"/>
      <x:c r="B1198" s="52"/>
    </x:row>
    <x:row r="1199">
      <x:c r="A1199" s="28"/>
      <x:c r="B1199" s="52"/>
    </x:row>
    <x:row r="1200">
      <x:c r="A1200" s="28"/>
      <x:c r="B1200" s="52"/>
    </x:row>
    <x:row r="1201">
      <x:c r="A1201" s="28"/>
      <x:c r="B1201" s="52"/>
    </x:row>
    <x:row r="1202">
      <x:c r="A1202" s="28"/>
      <x:c r="B1202" s="52"/>
    </x:row>
    <x:row r="1203">
      <x:c r="A1203" s="28"/>
      <x:c r="B1203" s="52"/>
    </x:row>
    <x:row r="1204">
      <x:c r="A1204" s="28"/>
      <x:c r="B1204" s="52"/>
    </x:row>
    <x:row r="1205">
      <x:c r="A1205" s="28"/>
      <x:c r="B1205" s="52"/>
    </x:row>
    <x:row r="1206">
      <x:c r="A1206" s="28"/>
      <x:c r="B1206" s="52"/>
    </x:row>
    <x:row r="1207">
      <x:c r="A1207" s="28"/>
      <x:c r="B1207" s="52"/>
    </x:row>
    <x:row r="1208">
      <x:c r="A1208" s="28"/>
      <x:c r="B1208" s="52"/>
    </x:row>
    <x:row r="1209">
      <x:c r="A1209" s="28"/>
      <x:c r="B1209" s="52"/>
    </x:row>
    <x:row r="1210">
      <x:c r="A1210" s="28"/>
      <x:c r="B1210" s="52"/>
    </x:row>
    <x:row r="1211">
      <x:c r="A1211" s="28"/>
      <x:c r="B1211" s="52"/>
    </x:row>
    <x:row r="1212">
      <x:c r="A1212" s="28"/>
      <x:c r="B1212" s="52"/>
    </x:row>
    <x:row r="1213">
      <x:c r="A1213" s="28"/>
      <x:c r="B1213" s="52"/>
    </x:row>
    <x:row r="1214">
      <x:c r="A1214" s="28"/>
      <x:c r="B1214" s="52"/>
    </x:row>
    <x:row r="1215">
      <x:c r="A1215" s="28"/>
      <x:c r="B1215" s="52"/>
    </x:row>
    <x:row r="1216">
      <x:c r="A1216" s="28"/>
      <x:c r="B1216" s="52"/>
    </x:row>
    <x:row r="1217">
      <x:c r="A1217" s="28"/>
      <x:c r="B1217" s="52"/>
    </x:row>
    <x:row r="1218">
      <x:c r="A1218" s="28"/>
      <x:c r="B1218" s="52"/>
    </x:row>
    <x:row r="1219">
      <x:c r="A1219" s="28"/>
      <x:c r="B1219" s="52"/>
    </x:row>
    <x:row r="1220">
      <x:c r="A1220" s="28"/>
      <x:c r="B1220" s="52"/>
    </x:row>
    <x:row r="1221">
      <x:c r="A1221" s="28"/>
      <x:c r="B1221" s="52"/>
    </x:row>
    <x:row r="1222">
      <x:c r="A1222" s="28"/>
      <x:c r="B1222" s="52"/>
    </x:row>
    <x:row r="1223">
      <x:c r="A1223" s="28"/>
      <x:c r="B1223" s="52"/>
    </x:row>
    <x:row r="1224">
      <x:c r="A1224" s="28"/>
      <x:c r="B1224" s="52"/>
    </x:row>
    <x:row r="1225">
      <x:c r="A1225" s="28"/>
      <x:c r="B1225" s="52"/>
    </x:row>
    <x:row r="1226">
      <x:c r="A1226" s="28"/>
      <x:c r="B1226" s="52"/>
    </x:row>
    <x:row r="1227">
      <x:c r="A1227" s="28"/>
      <x:c r="B1227" s="52"/>
    </x:row>
    <x:row r="1228">
      <x:c r="A1228" s="28"/>
      <x:c r="B1228" s="52"/>
    </x:row>
    <x:row r="1229">
      <x:c r="A1229" s="28"/>
      <x:c r="B1229" s="52"/>
    </x:row>
    <x:row r="1230">
      <x:c r="A1230" s="28"/>
      <x:c r="B1230" s="52"/>
    </x:row>
    <x:row r="1231">
      <x:c r="A1231" s="28"/>
      <x:c r="B1231" s="52"/>
    </x:row>
    <x:row r="1232">
      <x:c r="A1232" s="28"/>
      <x:c r="B1232" s="52"/>
    </x:row>
    <x:row r="1233">
      <x:c r="A1233" s="28"/>
      <x:c r="B1233" s="52"/>
    </x:row>
    <x:row r="1234">
      <x:c r="A1234" s="28"/>
      <x:c r="B1234" s="52"/>
    </x:row>
    <x:row r="1235">
      <x:c r="A1235" s="28"/>
      <x:c r="B1235" s="52"/>
    </x:row>
    <x:row r="1236">
      <x:c r="A1236" s="28"/>
      <x:c r="B1236" s="52"/>
    </x:row>
    <x:row r="1237">
      <x:c r="A1237" s="28"/>
      <x:c r="B1237" s="52"/>
    </x:row>
    <x:row r="1238">
      <x:c r="A1238" s="28"/>
      <x:c r="B1238" s="52"/>
    </x:row>
    <x:row r="1239">
      <x:c r="A1239" s="28"/>
      <x:c r="B1239" s="52"/>
    </x:row>
    <x:row r="1240">
      <x:c r="A1240" s="28"/>
      <x:c r="B1240" s="52"/>
    </x:row>
    <x:row r="1241">
      <x:c r="A1241" s="28"/>
      <x:c r="B1241" s="52"/>
    </x:row>
    <x:row r="1242">
      <x:c r="A1242" s="28"/>
      <x:c r="B1242" s="52"/>
    </x:row>
    <x:row r="1243">
      <x:c r="A1243" s="28"/>
      <x:c r="B1243" s="52"/>
    </x:row>
    <x:row r="1244">
      <x:c r="A1244" s="28"/>
      <x:c r="B1244" s="52"/>
    </x:row>
    <x:row r="1245">
      <x:c r="A1245" s="28"/>
      <x:c r="B1245" s="52"/>
    </x:row>
    <x:row r="1246">
      <x:c r="A1246" s="28"/>
      <x:c r="B1246" s="52"/>
    </x:row>
    <x:row r="1247">
      <x:c r="A1247" s="28"/>
      <x:c r="B1247" s="52"/>
    </x:row>
    <x:row r="1248">
      <x:c r="A1248" s="28"/>
      <x:c r="B1248" s="52"/>
    </x:row>
    <x:row r="1249">
      <x:c r="A1249" s="28"/>
      <x:c r="B1249" s="52"/>
    </x:row>
    <x:row r="1250">
      <x:c r="A1250" s="28"/>
      <x:c r="B1250" s="52"/>
    </x:row>
    <x:row r="1251">
      <x:c r="A1251" s="28"/>
      <x:c r="B1251" s="52"/>
    </x:row>
    <x:row r="1252">
      <x:c r="A1252" s="28"/>
      <x:c r="B1252" s="52"/>
    </x:row>
    <x:row r="1253">
      <x:c r="A1253" s="28"/>
      <x:c r="B1253" s="52"/>
    </x:row>
    <x:row r="1254">
      <x:c r="A1254" s="28"/>
      <x:c r="B1254" s="52"/>
    </x:row>
    <x:row r="1255">
      <x:c r="A1255" s="28"/>
      <x:c r="B1255" s="52"/>
    </x:row>
    <x:row r="1256">
      <x:c r="A1256" s="28"/>
      <x:c r="B1256" s="52"/>
    </x:row>
    <x:row r="1257">
      <x:c r="A1257" s="28"/>
      <x:c r="B1257" s="52"/>
    </x:row>
    <x:row r="1258">
      <x:c r="A1258" s="28"/>
      <x:c r="B1258" s="52"/>
    </x:row>
    <x:row r="1259">
      <x:c r="A1259" s="28"/>
      <x:c r="B1259" s="52"/>
    </x:row>
    <x:row r="1260">
      <x:c r="A1260" s="28"/>
      <x:c r="B1260" s="52"/>
    </x:row>
    <x:row r="1261">
      <x:c r="A1261" s="28"/>
      <x:c r="B1261" s="52"/>
    </x:row>
    <x:row r="1262">
      <x:c r="A1262" s="28"/>
      <x:c r="B1262" s="52"/>
    </x:row>
    <x:row r="1263">
      <x:c r="A1263" s="28"/>
      <x:c r="B1263" s="52"/>
    </x:row>
    <x:row r="1264">
      <x:c r="A1264" s="28"/>
      <x:c r="B1264" s="52"/>
    </x:row>
    <x:row r="1265">
      <x:c r="A1265" s="28"/>
      <x:c r="B1265" s="52"/>
    </x:row>
    <x:row r="1266">
      <x:c r="A1266" s="28"/>
      <x:c r="B1266" s="52"/>
    </x:row>
    <x:row r="1267">
      <x:c r="A1267" s="28"/>
      <x:c r="B1267" s="52"/>
    </x:row>
    <x:row r="1268">
      <x:c r="A1268" s="28"/>
      <x:c r="B1268" s="52"/>
    </x:row>
    <x:row r="1269">
      <x:c r="A1269" s="28"/>
      <x:c r="B1269" s="52"/>
    </x:row>
    <x:row r="1270">
      <x:c r="A1270" s="28"/>
      <x:c r="B1270" s="52"/>
    </x:row>
    <x:row r="1271">
      <x:c r="A1271" s="28"/>
      <x:c r="B1271" s="52"/>
    </x:row>
    <x:row r="1272">
      <x:c r="A1272" s="28"/>
      <x:c r="B1272" s="52"/>
    </x:row>
    <x:row r="1273">
      <x:c r="A1273" s="28"/>
      <x:c r="B1273" s="52"/>
    </x:row>
    <x:row r="1274">
      <x:c r="A1274" s="28"/>
      <x:c r="B1274" s="52"/>
    </x:row>
    <x:row r="1275">
      <x:c r="A1275" s="28"/>
      <x:c r="B1275" s="52"/>
    </x:row>
    <x:row r="1276">
      <x:c r="A1276" s="28"/>
      <x:c r="B1276" s="52"/>
    </x:row>
    <x:row r="1277">
      <x:c r="A1277" s="28"/>
      <x:c r="B1277" s="52"/>
    </x:row>
    <x:row r="1278">
      <x:c r="A1278" s="28"/>
      <x:c r="B1278" s="52"/>
    </x:row>
    <x:row r="1279">
      <x:c r="A1279" s="28"/>
      <x:c r="B1279" s="52"/>
    </x:row>
    <x:row r="1280">
      <x:c r="A1280" s="28"/>
      <x:c r="B1280" s="52"/>
    </x:row>
    <x:row r="1281">
      <x:c r="A1281" s="28"/>
      <x:c r="B1281" s="52"/>
    </x:row>
    <x:row r="1282">
      <x:c r="A1282" s="28"/>
      <x:c r="B1282" s="52"/>
    </x:row>
    <x:row r="1283">
      <x:c r="A1283" s="28"/>
      <x:c r="B1283" s="52"/>
    </x:row>
    <x:row r="1284">
      <x:c r="A1284" s="28"/>
      <x:c r="B1284" s="52"/>
    </x:row>
    <x:row r="1285">
      <x:c r="A1285" s="28"/>
      <x:c r="B1285" s="52"/>
    </x:row>
    <x:row r="1286">
      <x:c r="A1286" s="28"/>
      <x:c r="B1286" s="52"/>
    </x:row>
    <x:row r="1287">
      <x:c r="A1287" s="28"/>
      <x:c r="B1287" s="52"/>
    </x:row>
    <x:row r="1288">
      <x:c r="A1288" s="28"/>
      <x:c r="B1288" s="52"/>
    </x:row>
    <x:row r="1289">
      <x:c r="A1289" s="28"/>
      <x:c r="B1289" s="52"/>
    </x:row>
    <x:row r="1290">
      <x:c r="A1290" s="28"/>
      <x:c r="B1290" s="52"/>
    </x:row>
    <x:row r="1291">
      <x:c r="A1291" s="28"/>
      <x:c r="B1291" s="52"/>
    </x:row>
    <x:row r="1292">
      <x:c r="A1292" s="28"/>
      <x:c r="B1292" s="52"/>
    </x:row>
    <x:row r="1293">
      <x:c r="A1293" s="28"/>
      <x:c r="B1293" s="52"/>
    </x:row>
    <x:row r="1294">
      <x:c r="A1294" s="28"/>
      <x:c r="B1294" s="52"/>
    </x:row>
    <x:row r="1295">
      <x:c r="A1295" s="28"/>
      <x:c r="B1295" s="52"/>
    </x:row>
    <x:row r="1296">
      <x:c r="A1296" s="28"/>
      <x:c r="B1296" s="52"/>
    </x:row>
    <x:row r="1297">
      <x:c r="A1297" s="28"/>
      <x:c r="B1297" s="52"/>
    </x:row>
    <x:row r="1298">
      <x:c r="A1298" s="28"/>
      <x:c r="B1298" s="52"/>
    </x:row>
    <x:row r="1299">
      <x:c r="A1299" s="28"/>
      <x:c r="B1299" s="52"/>
    </x:row>
    <x:row r="1300">
      <x:c r="A1300" s="28"/>
      <x:c r="B1300" s="52"/>
    </x:row>
    <x:row r="1301">
      <x:c r="A1301" s="28"/>
      <x:c r="B1301" s="52"/>
    </x:row>
    <x:row r="1302">
      <x:c r="A1302" s="28"/>
      <x:c r="B1302" s="52"/>
    </x:row>
    <x:row r="1303">
      <x:c r="A1303" s="28"/>
      <x:c r="B1303" s="52"/>
    </x:row>
    <x:row r="1304">
      <x:c r="A1304" s="28"/>
      <x:c r="B1304" s="52"/>
    </x:row>
    <x:row r="1305">
      <x:c r="A1305" s="28"/>
      <x:c r="B1305" s="52"/>
    </x:row>
    <x:row r="1306">
      <x:c r="A1306" s="28"/>
      <x:c r="B1306" s="52"/>
    </x:row>
    <x:row r="1307">
      <x:c r="A1307" s="28"/>
      <x:c r="B1307" s="52"/>
    </x:row>
    <x:row r="1308">
      <x:c r="A1308" s="28"/>
      <x:c r="B1308" s="52"/>
    </x:row>
    <x:row r="1309">
      <x:c r="A1309" s="28"/>
      <x:c r="B1309" s="52"/>
    </x:row>
    <x:row r="1310">
      <x:c r="A1310" s="28"/>
      <x:c r="B1310" s="52"/>
    </x:row>
    <x:row r="1311">
      <x:c r="A1311" s="28"/>
      <x:c r="B1311" s="52"/>
    </x:row>
    <x:row r="1312">
      <x:c r="A1312" s="28"/>
      <x:c r="B1312" s="52"/>
    </x:row>
    <x:row r="1313">
      <x:c r="A1313" s="28"/>
      <x:c r="B1313" s="52"/>
    </x:row>
    <x:row r="1314">
      <x:c r="A1314" s="28"/>
      <x:c r="B1314" s="52"/>
    </x:row>
    <x:row r="1315">
      <x:c r="A1315" s="28"/>
      <x:c r="B1315" s="52"/>
    </x:row>
    <x:row r="1316">
      <x:c r="A1316" s="28"/>
      <x:c r="B1316" s="52"/>
    </x:row>
    <x:row r="1317">
      <x:c r="A1317" s="28"/>
      <x:c r="B1317" s="52"/>
    </x:row>
    <x:row r="1318">
      <x:c r="A1318" s="28"/>
      <x:c r="B1318" s="52"/>
    </x:row>
    <x:row r="1319">
      <x:c r="A1319" s="28"/>
      <x:c r="B1319" s="52"/>
    </x:row>
    <x:row r="1320">
      <x:c r="A1320" s="28"/>
      <x:c r="B1320" s="52"/>
    </x:row>
    <x:row r="1321">
      <x:c r="A1321" s="28"/>
      <x:c r="B1321" s="52"/>
    </x:row>
    <x:row r="1322">
      <x:c r="A1322" s="28"/>
      <x:c r="B1322" s="52"/>
    </x:row>
    <x:row r="1323">
      <x:c r="A1323" s="28"/>
      <x:c r="B1323" s="52"/>
    </x:row>
    <x:row r="1324">
      <x:c r="A1324" s="28"/>
      <x:c r="B1324" s="52"/>
    </x:row>
    <x:row r="1325">
      <x:c r="A1325" s="28"/>
      <x:c r="B1325" s="52"/>
    </x:row>
    <x:row r="1326">
      <x:c r="A1326" s="28"/>
      <x:c r="B1326" s="52"/>
    </x:row>
    <x:row r="1327">
      <x:c r="A1327" s="28"/>
      <x:c r="B1327" s="52"/>
    </x:row>
    <x:row r="1328">
      <x:c r="A1328" s="28"/>
      <x:c r="B1328" s="52"/>
    </x:row>
    <x:row r="1329">
      <x:c r="A1329" s="28"/>
      <x:c r="B1329" s="52"/>
    </x:row>
    <x:row r="1330">
      <x:c r="A1330" s="28"/>
      <x:c r="B1330" s="52"/>
    </x:row>
    <x:row r="1331">
      <x:c r="A1331" s="28"/>
      <x:c r="B1331" s="52"/>
    </x:row>
    <x:row r="1332">
      <x:c r="A1332" s="28"/>
      <x:c r="B1332" s="52"/>
    </x:row>
    <x:row r="1333">
      <x:c r="A1333" s="28"/>
      <x:c r="B1333" s="52"/>
    </x:row>
    <x:row r="1334">
      <x:c r="A1334" s="28"/>
      <x:c r="B1334" s="52"/>
    </x:row>
    <x:row r="1335">
      <x:c r="A1335" s="28"/>
      <x:c r="B1335" s="52"/>
    </x:row>
    <x:row r="1336">
      <x:c r="A1336" s="28"/>
      <x:c r="B1336" s="52"/>
    </x:row>
    <x:row r="1337">
      <x:c r="A1337" s="28"/>
      <x:c r="B1337" s="52"/>
    </x:row>
    <x:row r="1338">
      <x:c r="A1338" s="28"/>
      <x:c r="B1338" s="52"/>
    </x:row>
    <x:row r="1339">
      <x:c r="A1339" s="28"/>
      <x:c r="B1339" s="52"/>
    </x:row>
    <x:row r="1340">
      <x:c r="A1340" s="28"/>
      <x:c r="B1340" s="52"/>
    </x:row>
    <x:row r="1341">
      <x:c r="A1341" s="28"/>
      <x:c r="B1341" s="52"/>
    </x:row>
    <x:row r="1342">
      <x:c r="A1342" s="28"/>
      <x:c r="B1342" s="52"/>
    </x:row>
    <x:row r="1343">
      <x:c r="A1343" s="28"/>
      <x:c r="B1343" s="52"/>
    </x:row>
    <x:row r="1344">
      <x:c r="A1344" s="28"/>
      <x:c r="B1344" s="52"/>
    </x:row>
    <x:row r="1345">
      <x:c r="A1345" s="28"/>
      <x:c r="B1345" s="52"/>
    </x:row>
    <x:row r="1346">
      <x:c r="A1346" s="28"/>
      <x:c r="B1346" s="52"/>
    </x:row>
    <x:row r="1347">
      <x:c r="A1347" s="28"/>
      <x:c r="B1347" s="52"/>
    </x:row>
    <x:row r="1348">
      <x:c r="A1348" s="28"/>
      <x:c r="B1348" s="52"/>
    </x:row>
    <x:row r="1349">
      <x:c r="A1349" s="28"/>
      <x:c r="B1349" s="52"/>
    </x:row>
    <x:row r="1350">
      <x:c r="A1350" s="28"/>
      <x:c r="B1350" s="52"/>
    </x:row>
    <x:row r="1351">
      <x:c r="A1351" s="28"/>
      <x:c r="B1351" s="52"/>
    </x:row>
    <x:row r="1352">
      <x:c r="A1352" s="28"/>
      <x:c r="B1352" s="52"/>
    </x:row>
    <x:row r="1353">
      <x:c r="A1353" s="28"/>
      <x:c r="B1353" s="52"/>
    </x:row>
    <x:row r="1354">
      <x:c r="A1354" s="28"/>
      <x:c r="B1354" s="52"/>
    </x:row>
    <x:row r="1355">
      <x:c r="A1355" s="28"/>
      <x:c r="B1355" s="52"/>
    </x:row>
    <x:row r="1356">
      <x:c r="A1356" s="28"/>
      <x:c r="B1356" s="52"/>
    </x:row>
    <x:row r="1357">
      <x:c r="A1357" s="28"/>
      <x:c r="B1357" s="52"/>
    </x:row>
    <x:row r="1358">
      <x:c r="A1358" s="28"/>
      <x:c r="B1358" s="52"/>
    </x:row>
    <x:row r="1359">
      <x:c r="A1359" s="28"/>
      <x:c r="B1359" s="52"/>
    </x:row>
    <x:row r="1360">
      <x:c r="A1360" s="28"/>
      <x:c r="B1360" s="52"/>
    </x:row>
    <x:row r="1361">
      <x:c r="A1361" s="28"/>
      <x:c r="B1361" s="52"/>
    </x:row>
    <x:row r="1362">
      <x:c r="A1362" s="28"/>
      <x:c r="B1362" s="52"/>
    </x:row>
    <x:row r="1363">
      <x:c r="A1363" s="28"/>
      <x:c r="B1363" s="52"/>
    </x:row>
    <x:row r="1364">
      <x:c r="A1364" s="28"/>
      <x:c r="B1364" s="52"/>
    </x:row>
    <x:row r="1365">
      <x:c r="A1365" s="28"/>
      <x:c r="B1365" s="52"/>
    </x:row>
    <x:row r="1366">
      <x:c r="A1366" s="28"/>
      <x:c r="B1366" s="52"/>
    </x:row>
    <x:row r="1367">
      <x:c r="A1367" s="28"/>
      <x:c r="B1367" s="52"/>
    </x:row>
    <x:row r="1368">
      <x:c r="A1368" s="28"/>
      <x:c r="B1368" s="52"/>
    </x:row>
    <x:row r="1369">
      <x:c r="A1369" s="28"/>
      <x:c r="B1369" s="52"/>
    </x:row>
    <x:row r="1370">
      <x:c r="A1370" s="28"/>
      <x:c r="B1370" s="52"/>
    </x:row>
    <x:row r="1371">
      <x:c r="A1371" s="28"/>
      <x:c r="B1371" s="52"/>
    </x:row>
    <x:row r="1372">
      <x:c r="A1372" s="28"/>
      <x:c r="B1372" s="52"/>
    </x:row>
    <x:row r="1373">
      <x:c r="A1373" s="28"/>
      <x:c r="B1373" s="52"/>
    </x:row>
    <x:row r="1374">
      <x:c r="A1374" s="28"/>
      <x:c r="B1374" s="52"/>
    </x:row>
    <x:row r="1375">
      <x:c r="A1375" s="28"/>
      <x:c r="B1375" s="52"/>
    </x:row>
    <x:row r="1376">
      <x:c r="A1376" s="28"/>
      <x:c r="B1376" s="52"/>
    </x:row>
    <x:row r="1377">
      <x:c r="A1377" s="28"/>
      <x:c r="B1377" s="52"/>
    </x:row>
    <x:row r="1378">
      <x:c r="A1378" s="28"/>
      <x:c r="B1378" s="52"/>
    </x:row>
    <x:row r="1379">
      <x:c r="A1379" s="28"/>
      <x:c r="B1379" s="52"/>
    </x:row>
    <x:row r="1380">
      <x:c r="A1380" s="28"/>
      <x:c r="B1380" s="52"/>
    </x:row>
    <x:row r="1381">
      <x:c r="A1381" s="28"/>
      <x:c r="B1381" s="52"/>
    </x:row>
    <x:row r="1382">
      <x:c r="A1382" s="28"/>
      <x:c r="B1382" s="52"/>
    </x:row>
    <x:row r="1383">
      <x:c r="A1383" s="28"/>
      <x:c r="B1383" s="52"/>
    </x:row>
    <x:row r="1384">
      <x:c r="A1384" s="28"/>
      <x:c r="B1384" s="52"/>
    </x:row>
    <x:row r="1385">
      <x:c r="A1385" s="28"/>
      <x:c r="B1385" s="52"/>
    </x:row>
    <x:row r="1386">
      <x:c r="A1386" s="28"/>
      <x:c r="B1386" s="52"/>
    </x:row>
    <x:row r="1387">
      <x:c r="A1387" s="28"/>
      <x:c r="B1387" s="52"/>
    </x:row>
    <x:row r="1388">
      <x:c r="A1388" s="28"/>
      <x:c r="B1388" s="52"/>
    </x:row>
    <x:row r="1389">
      <x:c r="A1389" s="28"/>
      <x:c r="B1389" s="52"/>
    </x:row>
    <x:row r="1390">
      <x:c r="A1390" s="28"/>
      <x:c r="B1390" s="52"/>
    </x:row>
    <x:row r="1391">
      <x:c r="A1391" s="28"/>
      <x:c r="B1391" s="52"/>
    </x:row>
    <x:row r="1392">
      <x:c r="A1392" s="28"/>
      <x:c r="B1392" s="52"/>
    </x:row>
    <x:row r="1393">
      <x:c r="A1393" s="28"/>
      <x:c r="B1393" s="52"/>
    </x:row>
    <x:row r="1394">
      <x:c r="A1394" s="28"/>
      <x:c r="B1394" s="52"/>
    </x:row>
    <x:row r="1395">
      <x:c r="A1395" s="28"/>
      <x:c r="B1395" s="52"/>
    </x:row>
    <x:row r="1396">
      <x:c r="A1396" s="28"/>
      <x:c r="B1396" s="52"/>
    </x:row>
    <x:row r="1397">
      <x:c r="A1397" s="28"/>
      <x:c r="B1397" s="52"/>
    </x:row>
    <x:row r="1398">
      <x:c r="A1398" s="28"/>
      <x:c r="B1398" s="52"/>
    </x:row>
    <x:row r="1399">
      <x:c r="A1399" s="28"/>
      <x:c r="B1399" s="52"/>
    </x:row>
    <x:row r="1400">
      <x:c r="A1400" s="28"/>
      <x:c r="B1400" s="52"/>
    </x:row>
    <x:row r="1401">
      <x:c r="A1401" s="28"/>
      <x:c r="B1401" s="52"/>
    </x:row>
    <x:row r="1402">
      <x:c r="A1402" s="28"/>
      <x:c r="B1402" s="52"/>
    </x:row>
    <x:row r="1403">
      <x:c r="A1403" s="28"/>
      <x:c r="B1403" s="52"/>
    </x:row>
    <x:row r="1404">
      <x:c r="A1404" s="28"/>
      <x:c r="B1404" s="52"/>
    </x:row>
    <x:row r="1405">
      <x:c r="A1405" s="28"/>
      <x:c r="B1405" s="52"/>
    </x:row>
    <x:row r="1406">
      <x:c r="A1406" s="28"/>
      <x:c r="B1406" s="52"/>
    </x:row>
    <x:row r="1407">
      <x:c r="A1407" s="28"/>
      <x:c r="B1407" s="52"/>
    </x:row>
    <x:row r="1408">
      <x:c r="A1408" s="28"/>
      <x:c r="B1408" s="52"/>
    </x:row>
    <x:row r="1409">
      <x:c r="A1409" s="28"/>
      <x:c r="B1409" s="52"/>
    </x:row>
    <x:row r="1410">
      <x:c r="A1410" s="28"/>
      <x:c r="B1410" s="52"/>
    </x:row>
    <x:row r="1411">
      <x:c r="A1411" s="28"/>
      <x:c r="B1411" s="52"/>
    </x:row>
    <x:row r="1412">
      <x:c r="A1412" s="28"/>
      <x:c r="B1412" s="52"/>
    </x:row>
    <x:row r="1413">
      <x:c r="A1413" s="28"/>
      <x:c r="B1413" s="52"/>
    </x:row>
    <x:row r="1414">
      <x:c r="A1414" s="28"/>
      <x:c r="B1414" s="52"/>
    </x:row>
    <x:row r="1415">
      <x:c r="A1415" s="28"/>
      <x:c r="B1415" s="52"/>
    </x:row>
    <x:row r="1416">
      <x:c r="A1416" s="28"/>
      <x:c r="B1416" s="52"/>
    </x:row>
    <x:row r="1417">
      <x:c r="A1417" s="28"/>
      <x:c r="B1417" s="52"/>
    </x:row>
    <x:row r="1418">
      <x:c r="A1418" s="28"/>
      <x:c r="B1418" s="52"/>
    </x:row>
    <x:row r="1419">
      <x:c r="A1419" s="28"/>
      <x:c r="B1419" s="52"/>
    </x:row>
    <x:row r="1420">
      <x:c r="A1420" s="28"/>
      <x:c r="B1420" s="52"/>
    </x:row>
    <x:row r="1421">
      <x:c r="A1421" s="28"/>
      <x:c r="B1421" s="52"/>
    </x:row>
    <x:row r="1422">
      <x:c r="A1422" s="28"/>
      <x:c r="B1422" s="52"/>
    </x:row>
    <x:row r="1423">
      <x:c r="A1423" s="28"/>
      <x:c r="B1423" s="52"/>
    </x:row>
    <x:row r="1424">
      <x:c r="A1424" s="28"/>
      <x:c r="B1424" s="52"/>
    </x:row>
    <x:row r="1425">
      <x:c r="A1425" s="28"/>
      <x:c r="B1425" s="52"/>
    </x:row>
    <x:row r="1426">
      <x:c r="A1426" s="28"/>
      <x:c r="B1426" s="52"/>
    </x:row>
    <x:row r="1427">
      <x:c r="A1427" s="28"/>
      <x:c r="B1427" s="52"/>
    </x:row>
    <x:row r="1428">
      <x:c r="A1428" s="28"/>
      <x:c r="B1428" s="52"/>
    </x:row>
    <x:row r="1429">
      <x:c r="A1429" s="28"/>
      <x:c r="B1429" s="52"/>
    </x:row>
    <x:row r="1430">
      <x:c r="A1430" s="28"/>
      <x:c r="B1430" s="52"/>
    </x:row>
    <x:row r="1431">
      <x:c r="A1431" s="28"/>
      <x:c r="B1431" s="52"/>
    </x:row>
    <x:row r="1432">
      <x:c r="A1432" s="28"/>
      <x:c r="B1432" s="52"/>
    </x:row>
    <x:row r="1433">
      <x:c r="A1433" s="28"/>
      <x:c r="B1433" s="52"/>
    </x:row>
    <x:row r="1434">
      <x:c r="A1434" s="28"/>
      <x:c r="B1434" s="52"/>
    </x:row>
    <x:row r="1435">
      <x:c r="A1435" s="28"/>
      <x:c r="B1435" s="52"/>
    </x:row>
    <x:row r="1436">
      <x:c r="A1436" s="28"/>
      <x:c r="B1436" s="52"/>
    </x:row>
    <x:row r="1437">
      <x:c r="A1437" s="28"/>
      <x:c r="B1437" s="52"/>
    </x:row>
    <x:row r="1438">
      <x:c r="A1438" s="28"/>
      <x:c r="B1438" s="52"/>
    </x:row>
    <x:row r="1439">
      <x:c r="A1439" s="28"/>
      <x:c r="B1439" s="52"/>
    </x:row>
    <x:row r="1440">
      <x:c r="A1440" s="28"/>
      <x:c r="B1440" s="52"/>
    </x:row>
    <x:row r="1441">
      <x:c r="A1441" s="28"/>
      <x:c r="B1441" s="52"/>
    </x:row>
    <x:row r="1442">
      <x:c r="A1442" s="28"/>
      <x:c r="B1442" s="52"/>
    </x:row>
    <x:row r="1443">
      <x:c r="A1443" s="28"/>
      <x:c r="B1443" s="52"/>
    </x:row>
    <x:row r="1444">
      <x:c r="A1444" s="28"/>
      <x:c r="B1444" s="52"/>
    </x:row>
    <x:row r="1445">
      <x:c r="A1445" s="28"/>
      <x:c r="B1445" s="52"/>
    </x:row>
    <x:row r="1446">
      <x:c r="A1446" s="28"/>
      <x:c r="B1446" s="52"/>
    </x:row>
    <x:row r="1447">
      <x:c r="A1447" s="28"/>
      <x:c r="B1447" s="52"/>
    </x:row>
    <x:row r="1448">
      <x:c r="A1448" s="28"/>
      <x:c r="B1448" s="52"/>
    </x:row>
    <x:row r="1449">
      <x:c r="A1449" s="28"/>
      <x:c r="B1449" s="52"/>
    </x:row>
    <x:row r="1450">
      <x:c r="A1450" s="28"/>
      <x:c r="B1450" s="52"/>
    </x:row>
    <x:row r="1451">
      <x:c r="A1451" s="28"/>
      <x:c r="B1451" s="52"/>
    </x:row>
    <x:row r="1452">
      <x:c r="A1452" s="28"/>
      <x:c r="B1452" s="52"/>
    </x:row>
    <x:row r="1453">
      <x:c r="A1453" s="28"/>
      <x:c r="B1453" s="52"/>
    </x:row>
    <x:row r="1454">
      <x:c r="A1454" s="28"/>
      <x:c r="B1454" s="52"/>
    </x:row>
    <x:row r="1455">
      <x:c r="A1455" s="28"/>
      <x:c r="B1455" s="52"/>
    </x:row>
    <x:row r="1456">
      <x:c r="A1456" s="28"/>
      <x:c r="B1456" s="52"/>
    </x:row>
    <x:row r="1457">
      <x:c r="A1457" s="28"/>
      <x:c r="B1457" s="52"/>
    </x:row>
    <x:row r="1458">
      <x:c r="A1458" s="28"/>
      <x:c r="B1458" s="52"/>
    </x:row>
    <x:row r="1459">
      <x:c r="A1459" s="28"/>
      <x:c r="B1459" s="52"/>
    </x:row>
    <x:row r="1460">
      <x:c r="A1460" s="28"/>
      <x:c r="B1460" s="52"/>
    </x:row>
    <x:row r="1461">
      <x:c r="A1461" s="28"/>
      <x:c r="B1461" s="52"/>
    </x:row>
    <x:row r="1462">
      <x:c r="A1462" s="28"/>
      <x:c r="B1462" s="52"/>
    </x:row>
    <x:row r="1463">
      <x:c r="A1463" s="28"/>
      <x:c r="B1463" s="52"/>
    </x:row>
    <x:row r="1464">
      <x:c r="A1464" s="28"/>
      <x:c r="B1464" s="52"/>
    </x:row>
    <x:row r="1465">
      <x:c r="A1465" s="28"/>
      <x:c r="B1465" s="52"/>
    </x:row>
    <x:row r="1466">
      <x:c r="A1466" s="28"/>
      <x:c r="B1466" s="52"/>
    </x:row>
    <x:row r="1467">
      <x:c r="A1467" s="28"/>
      <x:c r="B1467" s="52"/>
    </x:row>
    <x:row r="1468">
      <x:c r="A1468" s="28"/>
      <x:c r="B1468" s="52"/>
    </x:row>
    <x:row r="1469">
      <x:c r="A1469" s="28"/>
      <x:c r="B1469" s="52"/>
    </x:row>
    <x:row r="1470">
      <x:c r="A1470" s="28"/>
      <x:c r="B1470" s="52"/>
    </x:row>
    <x:row r="1471">
      <x:c r="A1471" s="28"/>
      <x:c r="B1471" s="52"/>
    </x:row>
    <x:row r="1472">
      <x:c r="A1472" s="28"/>
      <x:c r="B1472" s="52"/>
    </x:row>
    <x:row r="1473">
      <x:c r="A1473" s="28"/>
      <x:c r="B1473" s="52"/>
    </x:row>
    <x:row r="1474">
      <x:c r="A1474" s="28"/>
      <x:c r="B1474" s="52"/>
    </x:row>
    <x:row r="1475">
      <x:c r="A1475" s="28"/>
      <x:c r="B1475" s="52"/>
    </x:row>
    <x:row r="1476">
      <x:c r="A1476" s="28"/>
      <x:c r="B1476" s="52"/>
    </x:row>
    <x:row r="1477">
      <x:c r="A1477" s="28"/>
      <x:c r="B1477" s="52"/>
    </x:row>
    <x:row r="1478">
      <x:c r="A1478" s="28"/>
      <x:c r="B1478" s="52"/>
    </x:row>
    <x:row r="1479">
      <x:c r="A1479" s="28"/>
      <x:c r="B1479" s="52"/>
    </x:row>
    <x:row r="1480">
      <x:c r="A1480" s="28"/>
      <x:c r="B1480" s="52"/>
    </x:row>
    <x:row r="1481">
      <x:c r="A1481" s="28"/>
      <x:c r="B1481" s="52"/>
    </x:row>
    <x:row r="1482">
      <x:c r="A1482" s="28"/>
      <x:c r="B1482" s="52"/>
    </x:row>
    <x:row r="1483">
      <x:c r="A1483" s="28"/>
      <x:c r="B1483" s="52"/>
    </x:row>
    <x:row r="1484">
      <x:c r="A1484" s="28"/>
      <x:c r="B1484" s="52"/>
    </x:row>
    <x:row r="1485">
      <x:c r="A1485" s="28"/>
      <x:c r="B1485" s="52"/>
    </x:row>
    <x:row r="1486">
      <x:c r="A1486" s="28"/>
      <x:c r="B1486" s="52"/>
    </x:row>
    <x:row r="1487">
      <x:c r="A1487" s="28"/>
      <x:c r="B1487" s="52"/>
    </x:row>
    <x:row r="1488">
      <x:c r="A1488" s="28"/>
      <x:c r="B1488" s="52"/>
    </x:row>
    <x:row r="1489">
      <x:c r="A1489" s="28"/>
      <x:c r="B1489" s="52"/>
    </x:row>
    <x:row r="1490">
      <x:c r="A1490" s="28"/>
      <x:c r="B1490" s="52"/>
    </x:row>
    <x:row r="1491">
      <x:c r="A1491" s="28"/>
      <x:c r="B1491" s="52"/>
    </x:row>
    <x:row r="1492">
      <x:c r="A1492" s="28"/>
      <x:c r="B1492" s="52"/>
    </x:row>
    <x:row r="1493">
      <x:c r="A1493" s="28"/>
      <x:c r="B1493" s="52"/>
    </x:row>
    <x:row r="1494">
      <x:c r="A1494" s="28"/>
      <x:c r="B1494" s="52"/>
    </x:row>
    <x:row r="1495">
      <x:c r="A1495" s="28"/>
      <x:c r="B1495" s="52"/>
    </x:row>
    <x:row r="1496">
      <x:c r="A1496" s="28"/>
      <x:c r="B1496" s="52"/>
    </x:row>
    <x:row r="1497">
      <x:c r="A1497" s="28"/>
      <x:c r="B1497" s="52"/>
    </x:row>
    <x:row r="1498">
      <x:c r="A1498" s="28"/>
      <x:c r="B1498" s="52"/>
    </x:row>
    <x:row r="1499">
      <x:c r="A1499" s="28"/>
      <x:c r="B1499" s="52"/>
    </x:row>
    <x:row r="1500">
      <x:c r="A1500" s="28"/>
      <x:c r="B1500" s="52"/>
    </x:row>
    <x:row r="1501">
      <x:c r="A1501" s="28"/>
      <x:c r="B1501" s="52"/>
    </x:row>
    <x:row r="1502">
      <x:c r="A1502" s="28"/>
      <x:c r="B1502" s="52"/>
    </x:row>
    <x:row r="1503">
      <x:c r="A1503" s="28"/>
      <x:c r="B1503" s="52"/>
    </x:row>
    <x:row r="1504">
      <x:c r="A1504" s="28"/>
      <x:c r="B1504" s="52"/>
    </x:row>
    <x:row r="1505">
      <x:c r="A1505" s="28"/>
      <x:c r="B1505" s="52"/>
    </x:row>
    <x:row r="1506">
      <x:c r="A1506" s="28"/>
      <x:c r="B1506" s="52"/>
    </x:row>
    <x:row r="1507">
      <x:c r="A1507" s="28"/>
      <x:c r="B1507" s="52"/>
    </x:row>
    <x:row r="1508">
      <x:c r="A1508" s="28"/>
      <x:c r="B1508" s="52"/>
    </x:row>
    <x:row r="1509">
      <x:c r="A1509" s="28"/>
      <x:c r="B1509" s="52"/>
    </x:row>
    <x:row r="1510">
      <x:c r="A1510" s="28"/>
      <x:c r="B1510" s="52"/>
    </x:row>
    <x:row r="1511">
      <x:c r="A1511" s="28"/>
      <x:c r="B1511" s="52"/>
    </x:row>
    <x:row r="1512">
      <x:c r="A1512" s="28"/>
      <x:c r="B1512" s="52"/>
    </x:row>
    <x:row r="1513">
      <x:c r="A1513" s="28"/>
      <x:c r="B1513" s="52"/>
    </x:row>
    <x:row r="1514">
      <x:c r="A1514" s="28"/>
      <x:c r="B1514" s="52"/>
    </x:row>
    <x:row r="1515">
      <x:c r="A1515" s="28"/>
      <x:c r="B1515" s="52"/>
    </x:row>
    <x:row r="1516">
      <x:c r="A1516" s="28"/>
      <x:c r="B1516" s="52"/>
    </x:row>
    <x:row r="1517">
      <x:c r="A1517" s="28"/>
      <x:c r="B1517" s="52"/>
    </x:row>
    <x:row r="1518">
      <x:c r="A1518" s="28"/>
      <x:c r="B1518" s="52"/>
    </x:row>
    <x:row r="1519">
      <x:c r="A1519" s="28"/>
      <x:c r="B1519" s="52"/>
    </x:row>
    <x:row r="1520">
      <x:c r="A1520" s="28"/>
      <x:c r="B1520" s="52"/>
    </x:row>
    <x:row r="1521">
      <x:c r="A1521" s="28"/>
      <x:c r="B1521" s="52"/>
    </x:row>
    <x:row r="1522">
      <x:c r="A1522" s="28"/>
      <x:c r="B1522" s="52"/>
    </x:row>
    <x:row r="1523">
      <x:c r="A1523" s="28"/>
      <x:c r="B1523" s="52"/>
    </x:row>
    <x:row r="1524">
      <x:c r="A1524" s="28"/>
      <x:c r="B1524" s="52"/>
    </x:row>
    <x:row r="1525">
      <x:c r="A1525" s="28"/>
      <x:c r="B1525" s="52"/>
    </x:row>
    <x:row r="1526">
      <x:c r="A1526" s="28"/>
      <x:c r="B1526" s="52"/>
    </x:row>
    <x:row r="1527">
      <x:c r="A1527" s="28"/>
      <x:c r="B1527" s="52"/>
    </x:row>
    <x:row r="1528">
      <x:c r="A1528" s="28"/>
      <x:c r="B1528" s="52"/>
    </x:row>
    <x:row r="1529">
      <x:c r="A1529" s="28"/>
      <x:c r="B1529" s="52"/>
    </x:row>
    <x:row r="1530">
      <x:c r="A1530" s="28"/>
      <x:c r="B1530" s="52"/>
    </x:row>
    <x:row r="1531">
      <x:c r="A1531" s="28"/>
      <x:c r="B1531" s="52"/>
    </x:row>
    <x:row r="1532">
      <x:c r="A1532" s="28"/>
      <x:c r="B1532" s="52"/>
    </x:row>
    <x:row r="1533">
      <x:c r="A1533" s="28"/>
      <x:c r="B1533" s="52"/>
    </x:row>
    <x:row r="1534">
      <x:c r="A1534" s="28"/>
      <x:c r="B1534" s="52"/>
    </x:row>
    <x:row r="1535">
      <x:c r="A1535" s="28"/>
      <x:c r="B1535" s="52"/>
    </x:row>
    <x:row r="1536">
      <x:c r="A1536" s="28"/>
      <x:c r="B1536" s="52"/>
    </x:row>
    <x:row r="1537">
      <x:c r="A1537" s="28"/>
      <x:c r="B1537" s="52"/>
    </x:row>
    <x:row r="1538">
      <x:c r="A1538" s="28"/>
      <x:c r="B1538" s="52"/>
    </x:row>
    <x:row r="1539">
      <x:c r="A1539" s="28"/>
      <x:c r="B1539" s="52"/>
    </x:row>
    <x:row r="1540">
      <x:c r="A1540" s="28"/>
      <x:c r="B1540" s="52"/>
    </x:row>
    <x:row r="1541">
      <x:c r="A1541" s="28"/>
      <x:c r="B1541" s="52"/>
    </x:row>
    <x:row r="1542">
      <x:c r="A1542" s="28"/>
      <x:c r="B1542" s="52"/>
    </x:row>
    <x:row r="1543">
      <x:c r="A1543" s="28"/>
      <x:c r="B1543" s="52"/>
    </x:row>
    <x:row r="1544">
      <x:c r="A1544" s="28"/>
      <x:c r="B1544" s="52"/>
    </x:row>
    <x:row r="1545">
      <x:c r="A1545" s="28"/>
      <x:c r="B1545" s="52"/>
    </x:row>
    <x:row r="1546">
      <x:c r="A1546" s="28"/>
      <x:c r="B1546" s="52"/>
    </x:row>
    <x:row r="1547">
      <x:c r="A1547" s="28"/>
      <x:c r="B1547" s="52"/>
    </x:row>
    <x:row r="1548">
      <x:c r="A1548" s="28"/>
      <x:c r="B1548" s="52"/>
    </x:row>
    <x:row r="1549">
      <x:c r="A1549" s="28"/>
      <x:c r="B1549" s="52"/>
    </x:row>
    <x:row r="1550">
      <x:c r="A1550" s="28"/>
      <x:c r="B1550" s="52"/>
    </x:row>
    <x:row r="1551">
      <x:c r="A1551" s="28"/>
      <x:c r="B1551" s="52"/>
    </x:row>
    <x:row r="1552">
      <x:c r="A1552" s="28"/>
      <x:c r="B1552" s="52"/>
    </x:row>
    <x:row r="1553">
      <x:c r="A1553" s="28"/>
      <x:c r="B1553" s="52"/>
    </x:row>
    <x:row r="1554">
      <x:c r="A1554" s="28"/>
      <x:c r="B1554" s="52"/>
    </x:row>
    <x:row r="1555">
      <x:c r="A1555" s="28"/>
      <x:c r="B1555" s="52"/>
    </x:row>
    <x:row r="1556">
      <x:c r="A1556" s="28"/>
      <x:c r="B1556" s="52"/>
    </x:row>
    <x:row r="1557">
      <x:c r="A1557" s="28"/>
      <x:c r="B1557" s="52"/>
    </x:row>
    <x:row r="1558">
      <x:c r="A1558" s="28"/>
      <x:c r="B1558" s="52"/>
    </x:row>
    <x:row r="1559">
      <x:c r="A1559" s="28"/>
      <x:c r="B1559" s="52"/>
    </x:row>
    <x:row r="1560">
      <x:c r="A1560" s="28"/>
      <x:c r="B1560" s="52"/>
    </x:row>
    <x:row r="1561">
      <x:c r="A1561" s="28"/>
      <x:c r="B1561" s="52"/>
    </x:row>
    <x:row r="1562">
      <x:c r="A1562" s="28"/>
      <x:c r="B1562" s="52"/>
    </x:row>
    <x:row r="1563">
      <x:c r="A1563" s="28"/>
      <x:c r="B1563" s="52"/>
    </x:row>
    <x:row r="1564">
      <x:c r="A1564" s="28"/>
      <x:c r="B1564" s="52"/>
    </x:row>
    <x:row r="1565">
      <x:c r="A1565" s="28"/>
      <x:c r="B1565" s="52"/>
    </x:row>
    <x:row r="1566">
      <x:c r="A1566" s="28"/>
      <x:c r="B1566" s="52"/>
    </x:row>
    <x:row r="1567">
      <x:c r="A1567" s="28"/>
      <x:c r="B1567" s="52"/>
    </x:row>
    <x:row r="1568">
      <x:c r="A1568" s="28"/>
      <x:c r="B1568" s="52"/>
    </x:row>
    <x:row r="1569">
      <x:c r="A1569" s="28"/>
      <x:c r="B1569" s="52"/>
    </x:row>
    <x:row r="1570">
      <x:c r="A1570" s="28"/>
      <x:c r="B1570" s="52"/>
    </x:row>
    <x:row r="1571">
      <x:c r="A1571" s="28"/>
      <x:c r="B1571" s="52"/>
    </x:row>
    <x:row r="1572">
      <x:c r="A1572" s="28"/>
      <x:c r="B1572" s="52"/>
    </x:row>
    <x:row r="1573">
      <x:c r="A1573" s="28"/>
      <x:c r="B1573" s="52"/>
    </x:row>
    <x:row r="1574">
      <x:c r="A1574" s="28"/>
      <x:c r="B1574" s="52"/>
    </x:row>
    <x:row r="1575">
      <x:c r="A1575" s="28"/>
      <x:c r="B1575" s="52"/>
    </x:row>
    <x:row r="1576">
      <x:c r="A1576" s="28"/>
      <x:c r="B1576" s="52"/>
    </x:row>
    <x:row r="1577">
      <x:c r="A1577" s="28"/>
      <x:c r="B1577" s="52"/>
    </x:row>
    <x:row r="1578">
      <x:c r="A1578" s="28"/>
      <x:c r="B1578" s="52"/>
    </x:row>
    <x:row r="1579">
      <x:c r="A1579" s="28"/>
      <x:c r="B1579" s="52"/>
    </x:row>
    <x:row r="1580">
      <x:c r="A1580" s="28"/>
      <x:c r="B1580" s="52"/>
    </x:row>
    <x:row r="1581">
      <x:c r="A1581" s="28"/>
      <x:c r="B1581" s="52"/>
    </x:row>
    <x:row r="1582">
      <x:c r="A1582" s="28"/>
      <x:c r="B1582" s="52"/>
    </x:row>
    <x:row r="1583">
      <x:c r="A1583" s="28"/>
      <x:c r="B1583" s="52"/>
    </x:row>
    <x:row r="1584">
      <x:c r="A1584" s="28"/>
      <x:c r="B1584" s="52"/>
    </x:row>
    <x:row r="1585">
      <x:c r="A1585" s="28"/>
      <x:c r="B1585" s="52"/>
    </x:row>
    <x:row r="1586">
      <x:c r="A1586" s="28"/>
      <x:c r="B1586" s="52"/>
    </x:row>
    <x:row r="1587">
      <x:c r="A1587" s="28"/>
      <x:c r="B1587" s="52"/>
    </x:row>
    <x:row r="1588">
      <x:c r="A1588" s="28"/>
      <x:c r="B1588" s="52"/>
    </x:row>
    <x:row r="1589">
      <x:c r="A1589" s="28"/>
      <x:c r="B1589" s="52"/>
    </x:row>
    <x:row r="1590">
      <x:c r="A1590" s="28"/>
      <x:c r="B1590" s="52"/>
    </x:row>
    <x:row r="1591">
      <x:c r="A1591" s="28"/>
      <x:c r="B1591" s="52"/>
    </x:row>
    <x:row r="1592">
      <x:c r="A1592" s="28"/>
      <x:c r="B1592" s="52"/>
    </x:row>
    <x:row r="1593">
      <x:c r="A1593" s="28"/>
      <x:c r="B1593" s="52"/>
    </x:row>
    <x:row r="1594">
      <x:c r="A1594" s="28"/>
      <x:c r="B1594" s="52"/>
    </x:row>
    <x:row r="1595">
      <x:c r="A1595" s="28"/>
      <x:c r="B1595" s="52"/>
    </x:row>
    <x:row r="1596">
      <x:c r="A1596" s="28"/>
      <x:c r="B1596" s="52"/>
    </x:row>
    <x:row r="1597">
      <x:c r="A1597" s="28"/>
      <x:c r="B1597" s="52"/>
    </x:row>
    <x:row r="1598">
      <x:c r="A1598" s="28"/>
      <x:c r="B1598" s="52"/>
    </x:row>
    <x:row r="1599">
      <x:c r="A1599" s="28"/>
      <x:c r="B1599" s="52"/>
    </x:row>
    <x:row r="1600">
      <x:c r="A1600" s="28"/>
      <x:c r="B1600" s="52"/>
    </x:row>
    <x:row r="1601">
      <x:c r="A1601" s="28"/>
      <x:c r="B1601" s="52"/>
    </x:row>
    <x:row r="1602">
      <x:c r="A1602" s="28"/>
      <x:c r="B1602" s="52"/>
    </x:row>
    <x:row r="1603">
      <x:c r="A1603" s="28"/>
      <x:c r="B1603" s="52"/>
    </x:row>
    <x:row r="1604">
      <x:c r="A1604" s="28"/>
      <x:c r="B1604" s="52"/>
    </x:row>
    <x:row r="1605">
      <x:c r="A1605" s="28"/>
      <x:c r="B1605" s="52"/>
    </x:row>
    <x:row r="1606">
      <x:c r="A1606" s="28"/>
      <x:c r="B1606" s="52"/>
    </x:row>
    <x:row r="1607">
      <x:c r="A1607" s="28"/>
      <x:c r="B1607" s="52"/>
    </x:row>
    <x:row r="1608">
      <x:c r="A1608" s="28"/>
      <x:c r="B1608" s="52"/>
    </x:row>
    <x:row r="1609">
      <x:c r="A1609" s="28"/>
      <x:c r="B1609" s="52"/>
    </x:row>
    <x:row r="1610">
      <x:c r="A1610" s="28"/>
      <x:c r="B1610" s="52"/>
    </x:row>
    <x:row r="1611">
      <x:c r="A1611" s="28"/>
      <x:c r="B1611" s="52"/>
    </x:row>
    <x:row r="1612">
      <x:c r="A1612" s="28"/>
      <x:c r="B1612" s="52"/>
    </x:row>
    <x:row r="1613">
      <x:c r="A1613" s="28"/>
      <x:c r="B1613" s="52"/>
    </x:row>
    <x:row r="1614">
      <x:c r="A1614" s="28"/>
      <x:c r="B1614" s="52"/>
    </x:row>
    <x:row r="1615">
      <x:c r="A1615" s="28"/>
      <x:c r="B1615" s="52"/>
    </x:row>
    <x:row r="1616">
      <x:c r="A1616" s="28"/>
      <x:c r="B1616" s="52"/>
    </x:row>
    <x:row r="1617">
      <x:c r="A1617" s="28"/>
      <x:c r="B1617" s="52"/>
    </x:row>
    <x:row r="1618">
      <x:c r="A1618" s="28"/>
      <x:c r="B1618" s="52"/>
    </x:row>
    <x:row r="1619">
      <x:c r="A1619" s="28"/>
      <x:c r="B1619" s="52"/>
    </x:row>
    <x:row r="1620">
      <x:c r="A1620" s="28"/>
      <x:c r="B1620" s="52"/>
    </x:row>
    <x:row r="1621">
      <x:c r="A1621" s="28"/>
      <x:c r="B1621" s="52"/>
    </x:row>
    <x:row r="1622">
      <x:c r="A1622" s="28"/>
      <x:c r="B1622" s="52"/>
    </x:row>
    <x:row r="1623">
      <x:c r="A1623" s="28"/>
      <x:c r="B1623" s="52"/>
    </x:row>
    <x:row r="1624">
      <x:c r="A1624" s="28"/>
      <x:c r="B1624" s="52"/>
    </x:row>
    <x:row r="1625">
      <x:c r="A1625" s="28"/>
      <x:c r="B1625" s="52"/>
    </x:row>
    <x:row r="1626">
      <x:c r="A1626" s="28"/>
      <x:c r="B1626" s="52"/>
    </x:row>
    <x:row r="1627">
      <x:c r="A1627" s="28"/>
      <x:c r="B1627" s="52"/>
    </x:row>
    <x:row r="1628">
      <x:c r="A1628" s="28"/>
      <x:c r="B1628" s="52"/>
    </x:row>
    <x:row r="1629">
      <x:c r="A1629" s="28"/>
      <x:c r="B1629" s="52"/>
    </x:row>
    <x:row r="1630">
      <x:c r="A1630" s="28"/>
      <x:c r="B1630" s="52"/>
    </x:row>
    <x:row r="1631">
      <x:c r="A1631" s="28"/>
      <x:c r="B1631" s="52"/>
    </x:row>
    <x:row r="1632">
      <x:c r="A1632" s="28"/>
      <x:c r="B1632" s="52"/>
    </x:row>
    <x:row r="1633">
      <x:c r="A1633" s="28"/>
      <x:c r="B1633" s="52"/>
    </x:row>
    <x:row r="1634">
      <x:c r="A1634" s="28"/>
      <x:c r="B1634" s="52"/>
    </x:row>
    <x:row r="1635">
      <x:c r="A1635" s="28"/>
      <x:c r="B1635" s="52"/>
    </x:row>
    <x:row r="1636">
      <x:c r="A1636" s="28"/>
      <x:c r="B1636" s="52"/>
    </x:row>
    <x:row r="1637">
      <x:c r="A1637" s="28"/>
      <x:c r="B1637" s="52"/>
    </x:row>
    <x:row r="1638">
      <x:c r="A1638" s="28"/>
      <x:c r="B1638" s="52"/>
    </x:row>
    <x:row r="1639">
      <x:c r="A1639" s="28"/>
      <x:c r="B1639" s="52"/>
    </x:row>
    <x:row r="1640">
      <x:c r="A1640" s="28"/>
      <x:c r="B1640" s="52"/>
    </x:row>
    <x:row r="1641">
      <x:c r="A1641" s="28"/>
      <x:c r="B1641" s="52"/>
    </x:row>
    <x:row r="1642">
      <x:c r="A1642" s="28"/>
      <x:c r="B1642" s="52"/>
    </x:row>
    <x:row r="1643">
      <x:c r="A1643" s="28"/>
      <x:c r="B1643" s="52"/>
    </x:row>
    <x:row r="1644">
      <x:c r="A1644" s="28"/>
      <x:c r="B1644" s="52"/>
    </x:row>
    <x:row r="1645">
      <x:c r="A1645" s="28"/>
      <x:c r="B1645" s="52"/>
    </x:row>
    <x:row r="1646">
      <x:c r="A1646" s="28"/>
      <x:c r="B1646" s="52"/>
    </x:row>
    <x:row r="1647">
      <x:c r="A1647" s="28"/>
      <x:c r="B1647" s="52"/>
    </x:row>
    <x:row r="1648">
      <x:c r="A1648" s="28"/>
      <x:c r="B1648" s="52"/>
    </x:row>
    <x:row r="1649">
      <x:c r="A1649" s="28"/>
      <x:c r="B1649" s="52"/>
    </x:row>
    <x:row r="1650">
      <x:c r="A1650" s="28"/>
      <x:c r="B1650" s="52"/>
    </x:row>
    <x:row r="1651">
      <x:c r="A1651" s="28"/>
      <x:c r="B1651" s="52"/>
    </x:row>
    <x:row r="1652">
      <x:c r="A1652" s="28"/>
      <x:c r="B1652" s="52"/>
    </x:row>
    <x:row r="1653">
      <x:c r="A1653" s="28"/>
      <x:c r="B1653" s="52"/>
    </x:row>
    <x:row r="1654">
      <x:c r="A1654" s="28"/>
      <x:c r="B1654" s="52"/>
    </x:row>
    <x:row r="1655">
      <x:c r="A1655" s="28"/>
      <x:c r="B1655" s="52"/>
    </x:row>
    <x:row r="1656">
      <x:c r="A1656" s="28"/>
      <x:c r="B1656" s="52"/>
    </x:row>
    <x:row r="1657">
      <x:c r="A1657" s="28"/>
      <x:c r="B1657" s="52"/>
    </x:row>
    <x:row r="1658">
      <x:c r="A1658" s="28"/>
      <x:c r="B1658" s="52"/>
    </x:row>
    <x:row r="1659">
      <x:c r="A1659" s="28"/>
      <x:c r="B1659" s="52"/>
    </x:row>
    <x:row r="1660">
      <x:c r="A1660" s="28"/>
      <x:c r="B1660" s="52"/>
    </x:row>
    <x:row r="1661">
      <x:c r="A1661" s="28"/>
      <x:c r="B1661" s="52"/>
    </x:row>
    <x:row r="1662">
      <x:c r="A1662" s="28"/>
      <x:c r="B1662" s="52"/>
    </x:row>
    <x:row r="1663">
      <x:c r="A1663" s="28"/>
      <x:c r="B1663" s="52"/>
    </x:row>
    <x:row r="1664">
      <x:c r="A1664" s="28"/>
      <x:c r="B1664" s="52"/>
    </x:row>
    <x:row r="1665">
      <x:c r="A1665" s="28"/>
      <x:c r="B1665" s="52"/>
    </x:row>
    <x:row r="1666">
      <x:c r="A1666" s="28"/>
      <x:c r="B1666" s="52"/>
    </x:row>
    <x:row r="1667">
      <x:c r="A1667" s="28"/>
      <x:c r="B1667" s="52"/>
    </x:row>
    <x:row r="1668">
      <x:c r="A1668" s="28"/>
      <x:c r="B1668" s="52"/>
    </x:row>
    <x:row r="1669">
      <x:c r="A1669" s="28"/>
      <x:c r="B1669" s="52"/>
    </x:row>
    <x:row r="1670">
      <x:c r="A1670" s="28"/>
      <x:c r="B1670" s="52"/>
    </x:row>
    <x:row r="1671">
      <x:c r="A1671" s="28"/>
      <x:c r="B1671" s="52"/>
    </x:row>
    <x:row r="1672">
      <x:c r="A1672" s="28"/>
      <x:c r="B1672" s="52"/>
    </x:row>
    <x:row r="1673">
      <x:c r="A1673" s="28"/>
      <x:c r="B1673" s="52"/>
    </x:row>
    <x:row r="1674">
      <x:c r="A1674" s="28"/>
      <x:c r="B1674" s="52"/>
    </x:row>
    <x:row r="1675">
      <x:c r="A1675" s="28"/>
      <x:c r="B1675" s="52"/>
    </x:row>
    <x:row r="1676">
      <x:c r="A1676" s="28"/>
      <x:c r="B1676" s="52"/>
    </x:row>
    <x:row r="1677">
      <x:c r="A1677" s="28"/>
      <x:c r="B1677" s="52"/>
    </x:row>
    <x:row r="1678">
      <x:c r="A1678" s="28"/>
      <x:c r="B1678" s="52"/>
    </x:row>
    <x:row r="1679">
      <x:c r="A1679" s="28"/>
      <x:c r="B1679" s="52"/>
    </x:row>
    <x:row r="1680">
      <x:c r="A1680" s="28"/>
      <x:c r="B1680" s="52"/>
    </x:row>
    <x:row r="1681">
      <x:c r="A1681" s="28"/>
      <x:c r="B1681" s="52"/>
    </x:row>
    <x:row r="1682">
      <x:c r="A1682" s="28"/>
      <x:c r="B1682" s="52"/>
    </x:row>
    <x:row r="1683">
      <x:c r="A1683" s="28"/>
      <x:c r="B1683" s="52"/>
    </x:row>
    <x:row r="1684">
      <x:c r="A1684" s="28"/>
      <x:c r="B1684" s="52"/>
    </x:row>
    <x:row r="1685">
      <x:c r="A1685" s="28"/>
      <x:c r="B1685" s="52"/>
    </x:row>
    <x:row r="1686">
      <x:c r="A1686" s="28"/>
      <x:c r="B1686" s="52"/>
    </x:row>
    <x:row r="1687">
      <x:c r="A1687" s="28"/>
      <x:c r="B1687" s="52"/>
    </x:row>
    <x:row r="1688">
      <x:c r="A1688" s="28"/>
      <x:c r="B1688" s="52"/>
    </x:row>
    <x:row r="1689">
      <x:c r="A1689" s="28"/>
      <x:c r="B1689" s="52"/>
    </x:row>
    <x:row r="1690">
      <x:c r="A1690" s="28"/>
      <x:c r="B1690" s="52"/>
    </x:row>
    <x:row r="1691">
      <x:c r="A1691" s="28"/>
      <x:c r="B1691" s="52"/>
    </x:row>
    <x:row r="1692">
      <x:c r="A1692" s="28"/>
      <x:c r="B1692" s="52"/>
    </x:row>
    <x:row r="1693">
      <x:c r="A1693" s="28"/>
      <x:c r="B1693" s="52"/>
    </x:row>
    <x:row r="1694">
      <x:c r="A1694" s="28"/>
      <x:c r="B1694" s="52"/>
    </x:row>
    <x:row r="1695">
      <x:c r="A1695" s="28"/>
      <x:c r="B1695" s="52"/>
    </x:row>
    <x:row r="1696">
      <x:c r="A1696" s="28"/>
      <x:c r="B1696" s="52"/>
    </x:row>
    <x:row r="1697">
      <x:c r="A1697" s="28"/>
      <x:c r="B1697" s="52"/>
    </x:row>
    <x:row r="1698">
      <x:c r="A1698" s="28"/>
      <x:c r="B1698" s="52"/>
    </x:row>
    <x:row r="1699">
      <x:c r="A1699" s="28"/>
      <x:c r="B1699" s="52"/>
    </x:row>
    <x:row r="1700">
      <x:c r="A1700" s="28"/>
      <x:c r="B1700" s="52"/>
    </x:row>
    <x:row r="1701">
      <x:c r="A1701" s="28"/>
      <x:c r="B1701" s="52"/>
    </x:row>
    <x:row r="1702">
      <x:c r="A1702" s="28"/>
      <x:c r="B1702" s="52"/>
    </x:row>
    <x:row r="1703">
      <x:c r="A1703" s="28"/>
      <x:c r="B1703" s="52"/>
    </x:row>
    <x:row r="1704">
      <x:c r="A1704" s="28"/>
      <x:c r="B1704" s="52"/>
    </x:row>
    <x:row r="1705">
      <x:c r="A1705" s="28"/>
      <x:c r="B1705" s="52"/>
    </x:row>
    <x:row r="1706">
      <x:c r="A1706" s="28"/>
      <x:c r="B1706" s="52"/>
    </x:row>
    <x:row r="1707">
      <x:c r="A1707" s="28"/>
      <x:c r="B1707" s="52"/>
    </x:row>
    <x:row r="1708">
      <x:c r="A1708" s="28"/>
      <x:c r="B1708" s="52"/>
    </x:row>
    <x:row r="1709">
      <x:c r="A1709" s="28"/>
      <x:c r="B1709" s="52"/>
    </x:row>
    <x:row r="1710">
      <x:c r="A1710" s="28"/>
      <x:c r="B1710" s="52"/>
    </x:row>
    <x:row r="1711">
      <x:c r="A1711" s="28"/>
      <x:c r="B1711" s="52"/>
    </x:row>
    <x:row r="1712">
      <x:c r="A1712" s="28"/>
      <x:c r="B1712" s="52"/>
    </x:row>
    <x:row r="1713">
      <x:c r="A1713" s="28"/>
      <x:c r="B1713" s="52"/>
    </x:row>
    <x:row r="1714">
      <x:c r="A1714" s="28"/>
      <x:c r="B1714" s="52"/>
    </x:row>
    <x:row r="1715">
      <x:c r="A1715" s="28"/>
      <x:c r="B1715" s="52"/>
    </x:row>
    <x:row r="1716">
      <x:c r="A1716" s="28"/>
      <x:c r="B1716" s="52"/>
    </x:row>
    <x:row r="1717">
      <x:c r="A1717" s="28"/>
      <x:c r="B1717" s="52"/>
    </x:row>
    <x:row r="1718">
      <x:c r="A1718" s="28"/>
      <x:c r="B1718" s="52"/>
    </x:row>
    <x:row r="1719">
      <x:c r="A1719" s="28"/>
      <x:c r="B1719" s="52"/>
    </x:row>
    <x:row r="1720">
      <x:c r="A1720" s="28"/>
      <x:c r="B1720" s="52"/>
    </x:row>
    <x:row r="1721">
      <x:c r="A1721" s="28"/>
      <x:c r="B1721" s="52"/>
    </x:row>
    <x:row r="1722">
      <x:c r="A1722" s="28"/>
      <x:c r="B1722" s="52"/>
    </x:row>
    <x:row r="1723">
      <x:c r="A1723" s="28"/>
      <x:c r="B1723" s="52"/>
    </x:row>
    <x:row r="1724">
      <x:c r="A1724" s="28"/>
      <x:c r="B1724" s="52"/>
    </x:row>
    <x:row r="1725">
      <x:c r="A1725" s="28"/>
      <x:c r="B1725" s="52"/>
    </x:row>
    <x:row r="1726">
      <x:c r="A1726" s="28"/>
      <x:c r="B1726" s="52"/>
    </x:row>
    <x:row r="1727">
      <x:c r="A1727" s="28"/>
      <x:c r="B1727" s="52"/>
    </x:row>
    <x:row r="1728">
      <x:c r="A1728" s="28"/>
      <x:c r="B1728" s="52"/>
    </x:row>
    <x:row r="1729">
      <x:c r="A1729" s="28"/>
      <x:c r="B1729" s="52"/>
    </x:row>
    <x:row r="1730">
      <x:c r="A1730" s="28"/>
      <x:c r="B1730" s="52"/>
    </x:row>
    <x:row r="1731">
      <x:c r="A1731" s="28"/>
      <x:c r="B1731" s="52"/>
    </x:row>
    <x:row r="1732">
      <x:c r="A1732" s="28"/>
      <x:c r="B1732" s="52"/>
    </x:row>
    <x:row r="1733">
      <x:c r="A1733" s="28"/>
      <x:c r="B1733" s="52"/>
    </x:row>
    <x:row r="1734">
      <x:c r="A1734" s="28"/>
      <x:c r="B1734" s="52"/>
    </x:row>
    <x:row r="1735">
      <x:c r="A1735" s="28"/>
      <x:c r="B1735" s="52"/>
    </x:row>
    <x:row r="1736">
      <x:c r="A1736" s="28"/>
      <x:c r="B1736" s="52"/>
    </x:row>
    <x:row r="1737">
      <x:c r="A1737" s="28"/>
      <x:c r="B1737" s="52"/>
    </x:row>
    <x:row r="1738">
      <x:c r="A1738" s="28"/>
      <x:c r="B1738" s="52"/>
    </x:row>
    <x:row r="1739">
      <x:c r="A1739" s="28"/>
      <x:c r="B1739" s="52"/>
    </x:row>
    <x:row r="1740">
      <x:c r="A1740" s="28"/>
      <x:c r="B1740" s="52"/>
    </x:row>
    <x:row r="1741">
      <x:c r="A1741" s="28"/>
      <x:c r="B1741" s="52"/>
    </x:row>
    <x:row r="1742">
      <x:c r="A1742" s="28"/>
      <x:c r="B1742" s="52"/>
    </x:row>
    <x:row r="1743">
      <x:c r="A1743" s="28"/>
      <x:c r="B1743" s="52"/>
    </x:row>
    <x:row r="1744">
      <x:c r="A1744" s="28"/>
      <x:c r="B1744" s="52"/>
    </x:row>
    <x:row r="1745">
      <x:c r="A1745" s="28"/>
      <x:c r="B1745" s="52"/>
    </x:row>
    <x:row r="1746">
      <x:c r="A1746" s="28"/>
      <x:c r="B1746" s="52"/>
    </x:row>
    <x:row r="1747">
      <x:c r="A1747" s="28"/>
      <x:c r="B1747" s="52"/>
    </x:row>
    <x:row r="1748">
      <x:c r="A1748" s="28"/>
      <x:c r="B1748" s="52"/>
    </x:row>
    <x:row r="1749">
      <x:c r="A1749" s="28"/>
      <x:c r="B1749" s="52"/>
    </x:row>
    <x:row r="1750">
      <x:c r="A1750" s="28"/>
      <x:c r="B1750" s="52"/>
    </x:row>
    <x:row r="1751">
      <x:c r="A1751" s="28"/>
      <x:c r="B1751" s="52"/>
    </x:row>
    <x:row r="1752">
      <x:c r="A1752" s="28"/>
      <x:c r="B1752" s="52"/>
    </x:row>
    <x:row r="1753">
      <x:c r="A1753" s="28"/>
      <x:c r="B1753" s="52"/>
    </x:row>
    <x:row r="1754">
      <x:c r="A1754" s="28"/>
      <x:c r="B1754" s="52"/>
    </x:row>
    <x:row r="1755">
      <x:c r="A1755" s="28"/>
      <x:c r="B1755" s="52"/>
    </x:row>
    <x:row r="1756">
      <x:c r="A1756" s="28"/>
      <x:c r="B1756" s="52"/>
    </x:row>
    <x:row r="1757">
      <x:c r="A1757" s="28"/>
      <x:c r="B1757" s="52"/>
    </x:row>
    <x:row r="1758">
      <x:c r="A1758" s="28"/>
      <x:c r="B1758" s="52"/>
    </x:row>
    <x:row r="1759">
      <x:c r="A1759" s="28"/>
      <x:c r="B1759" s="52"/>
    </x:row>
    <x:row r="1760">
      <x:c r="A1760" s="28"/>
      <x:c r="B1760" s="52"/>
    </x:row>
    <x:row r="1761">
      <x:c r="A1761" s="28"/>
      <x:c r="B1761" s="52"/>
    </x:row>
    <x:row r="1762">
      <x:c r="A1762" s="28"/>
      <x:c r="B1762" s="52"/>
    </x:row>
    <x:row r="1763">
      <x:c r="A1763" s="28"/>
      <x:c r="B1763" s="52"/>
    </x:row>
    <x:row r="1764">
      <x:c r="A1764" s="28"/>
      <x:c r="B1764" s="52"/>
    </x:row>
    <x:row r="1765">
      <x:c r="A1765" s="28"/>
      <x:c r="B1765" s="52"/>
    </x:row>
    <x:row r="1766">
      <x:c r="A1766" s="28"/>
      <x:c r="B1766" s="52"/>
    </x:row>
    <x:row r="1767">
      <x:c r="A1767" s="28"/>
      <x:c r="B1767" s="52"/>
    </x:row>
    <x:row r="1768">
      <x:c r="A1768" s="28"/>
      <x:c r="B1768" s="52"/>
    </x:row>
    <x:row r="1769">
      <x:c r="A1769" s="28"/>
      <x:c r="B1769" s="52"/>
    </x:row>
    <x:row r="1770">
      <x:c r="A1770" s="28"/>
      <x:c r="B1770" s="52"/>
    </x:row>
    <x:row r="1771">
      <x:c r="A1771" s="28"/>
      <x:c r="B1771" s="52"/>
    </x:row>
    <x:row r="1772">
      <x:c r="A1772" s="28"/>
      <x:c r="B1772" s="52"/>
    </x:row>
    <x:row r="1773">
      <x:c r="A1773" s="28"/>
      <x:c r="B1773" s="52"/>
    </x:row>
    <x:row r="1774">
      <x:c r="A1774" s="28"/>
      <x:c r="B1774" s="52"/>
    </x:row>
    <x:row r="1775">
      <x:c r="A1775" s="28"/>
      <x:c r="B1775" s="52"/>
    </x:row>
    <x:row r="1776">
      <x:c r="A1776" s="28"/>
      <x:c r="B1776" s="52"/>
    </x:row>
    <x:row r="1777">
      <x:c r="A1777" s="28"/>
      <x:c r="B1777" s="52"/>
    </x:row>
    <x:row r="1778">
      <x:c r="A1778" s="28"/>
      <x:c r="B1778" s="52"/>
    </x:row>
    <x:row r="1779">
      <x:c r="A1779" s="28"/>
      <x:c r="B1779" s="52"/>
    </x:row>
    <x:row r="1780">
      <x:c r="A1780" s="28"/>
      <x:c r="B1780" s="52"/>
    </x:row>
    <x:row r="1781">
      <x:c r="A1781" s="28"/>
      <x:c r="B1781" s="52"/>
    </x:row>
    <x:row r="1782">
      <x:c r="A1782" s="28"/>
      <x:c r="B1782" s="52"/>
    </x:row>
    <x:row r="1783">
      <x:c r="A1783" s="28"/>
      <x:c r="B1783" s="52"/>
    </x:row>
    <x:row r="1784">
      <x:c r="A1784" s="28"/>
      <x:c r="B1784" s="52"/>
    </x:row>
    <x:row r="1785">
      <x:c r="A1785" s="28"/>
      <x:c r="B1785" s="52"/>
    </x:row>
    <x:row r="1786">
      <x:c r="A1786" s="28"/>
      <x:c r="B1786" s="52"/>
    </x:row>
    <x:row r="1787">
      <x:c r="A1787" s="28"/>
      <x:c r="B1787" s="52"/>
    </x:row>
    <x:row r="1788">
      <x:c r="A1788" s="28"/>
      <x:c r="B1788" s="52"/>
    </x:row>
    <x:row r="1789">
      <x:c r="A1789" s="28"/>
      <x:c r="B1789" s="52"/>
    </x:row>
    <x:row r="1790">
      <x:c r="A1790" s="28"/>
      <x:c r="B1790" s="52"/>
    </x:row>
    <x:row r="1791">
      <x:c r="A1791" s="28"/>
      <x:c r="B1791" s="52"/>
    </x:row>
    <x:row r="1792">
      <x:c r="A1792" s="28"/>
      <x:c r="B1792" s="52"/>
    </x:row>
    <x:row r="1793">
      <x:c r="A1793" s="28"/>
      <x:c r="B1793" s="52"/>
    </x:row>
    <x:row r="1794">
      <x:c r="A1794" s="28"/>
      <x:c r="B1794" s="52"/>
    </x:row>
    <x:row r="1795">
      <x:c r="A1795" s="28"/>
      <x:c r="B1795" s="52"/>
    </x:row>
    <x:row r="1796">
      <x:c r="A1796" s="28"/>
      <x:c r="B1796" s="52"/>
    </x:row>
    <x:row r="1797">
      <x:c r="A1797" s="28"/>
      <x:c r="B1797" s="52"/>
    </x:row>
    <x:row r="1798">
      <x:c r="A1798" s="28"/>
      <x:c r="B1798" s="52"/>
    </x:row>
    <x:row r="1799">
      <x:c r="A1799" s="28"/>
      <x:c r="B1799" s="52"/>
    </x:row>
    <x:row r="1800">
      <x:c r="A1800" s="28"/>
      <x:c r="B1800" s="52"/>
    </x:row>
    <x:row r="1801">
      <x:c r="A1801" s="28"/>
      <x:c r="B1801" s="52"/>
    </x:row>
    <x:row r="1802">
      <x:c r="A1802" s="28"/>
      <x:c r="B1802" s="52"/>
    </x:row>
    <x:row r="1803">
      <x:c r="A1803" s="28"/>
      <x:c r="B1803" s="52"/>
    </x:row>
    <x:row r="1804">
      <x:c r="A1804" s="28"/>
      <x:c r="B1804" s="52"/>
    </x:row>
    <x:row r="1805">
      <x:c r="A1805" s="28"/>
      <x:c r="B1805" s="52"/>
    </x:row>
    <x:row r="1806">
      <x:c r="A1806" s="28"/>
      <x:c r="B1806" s="52"/>
    </x:row>
    <x:row r="1807">
      <x:c r="A1807" s="28"/>
      <x:c r="B1807" s="52"/>
    </x:row>
    <x:row r="1808">
      <x:c r="A1808" s="28"/>
      <x:c r="B1808" s="52"/>
    </x:row>
    <x:row r="1809">
      <x:c r="A1809" s="28"/>
      <x:c r="B1809" s="52"/>
    </x:row>
    <x:row r="1810">
      <x:c r="A1810" s="28"/>
      <x:c r="B1810" s="52"/>
    </x:row>
    <x:row r="1811">
      <x:c r="A1811" s="28"/>
      <x:c r="B1811" s="52"/>
    </x:row>
    <x:row r="1812">
      <x:c r="A1812" s="28"/>
      <x:c r="B1812" s="52"/>
    </x:row>
    <x:row r="1813">
      <x:c r="A1813" s="28"/>
      <x:c r="B1813" s="52"/>
    </x:row>
    <x:row r="1814">
      <x:c r="A1814" s="28"/>
      <x:c r="B1814" s="52"/>
    </x:row>
    <x:row r="1815">
      <x:c r="A1815" s="28"/>
      <x:c r="B1815" s="52"/>
    </x:row>
    <x:row r="1816">
      <x:c r="A1816" s="28"/>
      <x:c r="B1816" s="52"/>
    </x:row>
    <x:row r="1817">
      <x:c r="A1817" s="28"/>
      <x:c r="B1817" s="52"/>
    </x:row>
    <x:row r="1818">
      <x:c r="A1818" s="28"/>
      <x:c r="B1818" s="52"/>
    </x:row>
    <x:row r="1819">
      <x:c r="A1819" s="28"/>
      <x:c r="B1819" s="52"/>
    </x:row>
    <x:row r="1820">
      <x:c r="A1820" s="28"/>
      <x:c r="B1820" s="52"/>
    </x:row>
    <x:row r="1821">
      <x:c r="A1821" s="28"/>
      <x:c r="B1821" s="52"/>
    </x:row>
    <x:row r="1822">
      <x:c r="A1822" s="28"/>
      <x:c r="B1822" s="52"/>
    </x:row>
    <x:row r="1823">
      <x:c r="A1823" s="28"/>
      <x:c r="B1823" s="52"/>
    </x:row>
    <x:row r="1824">
      <x:c r="A1824" s="28"/>
      <x:c r="B1824" s="52"/>
    </x:row>
    <x:row r="1825">
      <x:c r="A1825" s="28"/>
      <x:c r="B1825" s="52"/>
    </x:row>
    <x:row r="1826">
      <x:c r="A1826" s="28"/>
      <x:c r="B1826" s="52"/>
    </x:row>
    <x:row r="1827">
      <x:c r="A1827" s="28"/>
      <x:c r="B1827" s="52"/>
    </x:row>
    <x:row r="1828">
      <x:c r="A1828" s="28"/>
      <x:c r="B1828" s="52"/>
    </x:row>
    <x:row r="1829">
      <x:c r="A1829" s="28"/>
      <x:c r="B1829" s="52"/>
    </x:row>
    <x:row r="1830">
      <x:c r="A1830" s="28"/>
      <x:c r="B1830" s="52"/>
    </x:row>
    <x:row r="1831">
      <x:c r="A1831" s="28"/>
      <x:c r="B1831" s="52"/>
    </x:row>
    <x:row r="1832">
      <x:c r="A1832" s="28"/>
      <x:c r="B1832" s="52"/>
    </x:row>
    <x:row r="1833">
      <x:c r="A1833" s="28"/>
      <x:c r="B1833" s="52"/>
    </x:row>
    <x:row r="1834">
      <x:c r="A1834" s="28"/>
      <x:c r="B1834" s="52"/>
    </x:row>
    <x:row r="1835">
      <x:c r="A1835" s="28"/>
      <x:c r="B1835" s="52"/>
    </x:row>
    <x:row r="1836">
      <x:c r="A1836" s="28"/>
      <x:c r="B1836" s="52"/>
    </x:row>
    <x:row r="1837">
      <x:c r="A1837" s="28"/>
      <x:c r="B1837" s="52"/>
    </x:row>
    <x:row r="1838">
      <x:c r="A1838" s="28"/>
      <x:c r="B1838" s="52"/>
    </x:row>
    <x:row r="1839">
      <x:c r="A1839" s="28"/>
      <x:c r="B1839" s="52"/>
    </x:row>
    <x:row r="1840">
      <x:c r="A1840" s="28"/>
      <x:c r="B1840" s="52"/>
    </x:row>
    <x:row r="1841">
      <x:c r="A1841" s="28"/>
      <x:c r="B1841" s="52"/>
    </x:row>
    <x:row r="1842">
      <x:c r="A1842" s="28"/>
      <x:c r="B1842" s="52"/>
    </x:row>
    <x:row r="1843">
      <x:c r="A1843" s="28"/>
      <x:c r="B1843" s="52"/>
    </x:row>
    <x:row r="1844">
      <x:c r="A1844" s="28"/>
      <x:c r="B1844" s="52"/>
    </x:row>
    <x:row r="1845">
      <x:c r="A1845" s="28"/>
      <x:c r="B1845" s="52"/>
    </x:row>
    <x:row r="1846">
      <x:c r="A1846" s="28"/>
      <x:c r="B1846" s="52"/>
    </x:row>
    <x:row r="1847">
      <x:c r="A1847" s="28"/>
      <x:c r="B1847" s="52"/>
    </x:row>
    <x:row r="1848">
      <x:c r="A1848" s="28"/>
      <x:c r="B1848" s="52"/>
    </x:row>
    <x:row r="1849">
      <x:c r="A1849" s="28"/>
      <x:c r="B1849" s="52"/>
    </x:row>
    <x:row r="1850">
      <x:c r="A1850" s="28"/>
      <x:c r="B1850" s="52"/>
    </x:row>
    <x:row r="1851">
      <x:c r="A1851" s="28"/>
      <x:c r="B1851" s="52"/>
    </x:row>
    <x:row r="1852">
      <x:c r="A1852" s="28"/>
      <x:c r="B1852" s="52"/>
    </x:row>
    <x:row r="1853">
      <x:c r="A1853" s="28"/>
      <x:c r="B1853" s="52"/>
    </x:row>
    <x:row r="1854">
      <x:c r="A1854" s="28"/>
      <x:c r="B1854" s="52"/>
    </x:row>
    <x:row r="1855">
      <x:c r="A1855" s="28"/>
      <x:c r="B1855" s="52"/>
    </x:row>
    <x:row r="1856">
      <x:c r="A1856" s="28"/>
      <x:c r="B1856" s="52"/>
    </x:row>
    <x:row r="1857">
      <x:c r="A1857" s="28"/>
      <x:c r="B1857" s="52"/>
    </x:row>
    <x:row r="1858">
      <x:c r="A1858" s="28"/>
      <x:c r="B1858" s="52"/>
    </x:row>
    <x:row r="1859">
      <x:c r="A1859" s="28"/>
      <x:c r="B1859" s="52"/>
    </x:row>
    <x:row r="1860">
      <x:c r="A1860" s="28"/>
      <x:c r="B1860" s="52"/>
    </x:row>
    <x:row r="1861">
      <x:c r="A1861" s="28"/>
      <x:c r="B1861" s="52"/>
    </x:row>
    <x:row r="1862">
      <x:c r="A1862" s="28"/>
      <x:c r="B1862" s="52"/>
    </x:row>
    <x:row r="1863">
      <x:c r="A1863" s="28"/>
      <x:c r="B1863" s="52"/>
    </x:row>
    <x:row r="1864">
      <x:c r="A1864" s="28"/>
      <x:c r="B1864" s="52"/>
    </x:row>
    <x:row r="1865">
      <x:c r="A1865" s="28"/>
      <x:c r="B1865" s="52"/>
    </x:row>
    <x:row r="1866">
      <x:c r="A1866" s="28"/>
      <x:c r="B1866" s="52"/>
    </x:row>
    <x:row r="1867">
      <x:c r="A1867" s="28"/>
      <x:c r="B1867" s="52"/>
    </x:row>
    <x:row r="1868">
      <x:c r="A1868" s="28"/>
      <x:c r="B1868" s="52"/>
    </x:row>
    <x:row r="1869">
      <x:c r="A1869" s="28"/>
      <x:c r="B1869" s="52"/>
    </x:row>
    <x:row r="1870">
      <x:c r="A1870" s="28"/>
      <x:c r="B1870" s="52"/>
    </x:row>
    <x:row r="1871">
      <x:c r="A1871" s="28"/>
      <x:c r="B1871" s="52"/>
    </x:row>
    <x:row r="1872">
      <x:c r="A1872" s="28"/>
      <x:c r="B1872" s="52"/>
    </x:row>
    <x:row r="1873">
      <x:c r="A1873" s="28"/>
      <x:c r="B1873" s="52"/>
    </x:row>
    <x:row r="1874">
      <x:c r="A1874" s="28"/>
      <x:c r="B1874" s="52"/>
    </x:row>
    <x:row r="1875">
      <x:c r="A1875" s="28"/>
      <x:c r="B1875" s="52"/>
    </x:row>
    <x:row r="1876">
      <x:c r="A1876" s="28"/>
      <x:c r="B1876" s="52"/>
    </x:row>
    <x:row r="1877">
      <x:c r="A1877" s="28"/>
      <x:c r="B1877" s="52"/>
    </x:row>
    <x:row r="1878">
      <x:c r="A1878" s="28"/>
      <x:c r="B1878" s="52"/>
    </x:row>
    <x:row r="1879">
      <x:c r="A1879" s="28"/>
      <x:c r="B1879" s="52"/>
    </x:row>
    <x:row r="1880">
      <x:c r="A1880" s="28"/>
      <x:c r="B1880" s="52"/>
    </x:row>
    <x:row r="1881">
      <x:c r="A1881" s="28"/>
      <x:c r="B1881" s="52"/>
    </x:row>
    <x:row r="1882">
      <x:c r="A1882" s="28"/>
      <x:c r="B1882" s="52"/>
    </x:row>
    <x:row r="1883">
      <x:c r="A1883" s="28"/>
      <x:c r="B1883" s="52"/>
    </x:row>
    <x:row r="1884">
      <x:c r="A1884" s="28"/>
      <x:c r="B1884" s="52"/>
    </x:row>
    <x:row r="1885">
      <x:c r="A1885" s="28"/>
      <x:c r="B1885" s="52"/>
    </x:row>
    <x:row r="1886">
      <x:c r="A1886" s="28"/>
      <x:c r="B1886" s="52"/>
    </x:row>
    <x:row r="1887">
      <x:c r="A1887" s="28"/>
      <x:c r="B1887" s="52"/>
    </x:row>
    <x:row r="1888">
      <x:c r="A1888" s="28"/>
      <x:c r="B1888" s="52"/>
    </x:row>
    <x:row r="1889">
      <x:c r="A1889" s="28"/>
      <x:c r="B1889" s="52"/>
    </x:row>
    <x:row r="1890">
      <x:c r="A1890" s="28"/>
      <x:c r="B1890" s="52"/>
    </x:row>
    <x:row r="1891">
      <x:c r="A1891" s="28"/>
      <x:c r="B1891" s="52"/>
    </x:row>
    <x:row r="1892">
      <x:c r="A1892" s="28"/>
      <x:c r="B1892" s="52"/>
    </x:row>
    <x:row r="1893">
      <x:c r="A1893" s="28"/>
      <x:c r="B1893" s="52"/>
    </x:row>
    <x:row r="1894">
      <x:c r="A1894" s="28"/>
      <x:c r="B1894" s="52"/>
    </x:row>
    <x:row r="1895">
      <x:c r="A1895" s="28"/>
      <x:c r="B1895" s="52"/>
    </x:row>
    <x:row r="1896">
      <x:c r="A1896" s="28"/>
      <x:c r="B1896" s="52"/>
    </x:row>
    <x:row r="1897">
      <x:c r="A1897" s="28"/>
      <x:c r="B1897" s="52"/>
    </x:row>
    <x:row r="1898">
      <x:c r="A1898" s="28"/>
      <x:c r="B1898" s="52"/>
    </x:row>
    <x:row r="1899">
      <x:c r="A1899" s="28"/>
      <x:c r="B1899" s="52"/>
    </x:row>
    <x:row r="1900">
      <x:c r="A1900" s="28"/>
      <x:c r="B1900" s="52"/>
    </x:row>
    <x:row r="1901">
      <x:c r="A1901" s="28"/>
      <x:c r="B1901" s="52"/>
    </x:row>
    <x:row r="1902">
      <x:c r="A1902" s="28"/>
      <x:c r="B1902" s="52"/>
    </x:row>
    <x:row r="1903">
      <x:c r="A1903" s="28"/>
      <x:c r="B1903" s="52"/>
    </x:row>
    <x:row r="1904">
      <x:c r="A1904" s="28"/>
      <x:c r="B1904" s="52"/>
    </x:row>
    <x:row r="1905">
      <x:c r="A1905" s="28"/>
      <x:c r="B1905" s="52"/>
    </x:row>
    <x:row r="1906">
      <x:c r="A1906" s="28"/>
      <x:c r="B1906" s="52"/>
    </x:row>
    <x:row r="1907">
      <x:c r="A1907" s="28"/>
      <x:c r="B1907" s="52"/>
    </x:row>
    <x:row r="1908">
      <x:c r="A1908" s="28"/>
      <x:c r="B1908" s="52"/>
    </x:row>
    <x:row r="1909">
      <x:c r="A1909" s="28"/>
      <x:c r="B1909" s="52"/>
    </x:row>
    <x:row r="1910">
      <x:c r="A1910" s="28"/>
      <x:c r="B1910" s="52"/>
    </x:row>
    <x:row r="1911">
      <x:c r="A1911" s="28"/>
      <x:c r="B1911" s="52"/>
    </x:row>
    <x:row r="1912">
      <x:c r="A1912" s="28"/>
      <x:c r="B1912" s="52"/>
    </x:row>
    <x:row r="1913">
      <x:c r="A1913" s="28"/>
      <x:c r="B1913" s="52"/>
    </x:row>
    <x:row r="1914">
      <x:c r="A1914" s="28"/>
      <x:c r="B1914" s="52"/>
    </x:row>
    <x:row r="1915">
      <x:c r="A1915" s="28"/>
      <x:c r="B1915" s="52"/>
    </x:row>
    <x:row r="1916">
      <x:c r="A1916" s="28"/>
      <x:c r="B1916" s="52"/>
    </x:row>
    <x:row r="1917">
      <x:c r="A1917" s="28"/>
      <x:c r="B1917" s="52"/>
    </x:row>
    <x:row r="1918">
      <x:c r="A1918" s="28"/>
      <x:c r="B1918" s="52"/>
    </x:row>
    <x:row r="1919">
      <x:c r="A1919" s="28"/>
      <x:c r="B1919" s="52"/>
    </x:row>
    <x:row r="1920">
      <x:c r="A1920" s="28"/>
      <x:c r="B1920" s="52"/>
    </x:row>
    <x:row r="1921">
      <x:c r="A1921" s="28"/>
      <x:c r="B1921" s="52"/>
    </x:row>
    <x:row r="1922">
      <x:c r="A1922" s="28"/>
      <x:c r="B1922" s="52"/>
    </x:row>
    <x:row r="1923">
      <x:c r="A1923" s="28"/>
      <x:c r="B1923" s="52"/>
    </x:row>
    <x:row r="1924">
      <x:c r="A1924" s="28"/>
      <x:c r="B1924" s="52"/>
    </x:row>
    <x:row r="1925">
      <x:c r="A1925" s="28"/>
      <x:c r="B1925" s="52"/>
    </x:row>
    <x:row r="1926">
      <x:c r="A1926" s="28"/>
      <x:c r="B1926" s="52"/>
    </x:row>
    <x:row r="1927">
      <x:c r="A1927" s="28"/>
      <x:c r="B1927" s="52"/>
    </x:row>
    <x:row r="1928">
      <x:c r="A1928" s="28"/>
      <x:c r="B1928" s="52"/>
    </x:row>
    <x:row r="1929">
      <x:c r="A1929" s="28"/>
      <x:c r="B1929" s="52"/>
    </x:row>
    <x:row r="1930">
      <x:c r="A1930" s="28"/>
      <x:c r="B1930" s="52"/>
    </x:row>
    <x:row r="1931">
      <x:c r="A1931" s="28"/>
      <x:c r="B1931" s="52"/>
    </x:row>
    <x:row r="1932">
      <x:c r="A1932" s="28"/>
      <x:c r="B1932" s="52"/>
    </x:row>
    <x:row r="1933">
      <x:c r="A1933" s="28"/>
      <x:c r="B1933" s="52"/>
    </x:row>
    <x:row r="1934">
      <x:c r="A1934" s="28"/>
      <x:c r="B1934" s="52"/>
    </x:row>
    <x:row r="1935">
      <x:c r="A1935" s="28"/>
      <x:c r="B1935" s="52"/>
    </x:row>
    <x:row r="1936">
      <x:c r="A1936" s="28"/>
      <x:c r="B1936" s="52"/>
    </x:row>
    <x:row r="1937">
      <x:c r="A1937" s="28"/>
      <x:c r="B1937" s="52"/>
    </x:row>
    <x:row r="1938">
      <x:c r="A1938" s="28"/>
      <x:c r="B1938" s="52"/>
    </x:row>
    <x:row r="1939">
      <x:c r="A1939" s="28"/>
      <x:c r="B1939" s="52"/>
    </x:row>
    <x:row r="1940">
      <x:c r="A1940" s="28"/>
      <x:c r="B1940" s="52"/>
    </x:row>
    <x:row r="1941">
      <x:c r="A1941" s="28"/>
      <x:c r="B1941" s="52"/>
    </x:row>
    <x:row r="1942">
      <x:c r="A1942" s="28"/>
      <x:c r="B1942" s="52"/>
    </x:row>
    <x:row r="1943">
      <x:c r="A1943" s="28"/>
      <x:c r="B1943" s="52"/>
    </x:row>
    <x:row r="1944">
      <x:c r="A1944" s="28"/>
      <x:c r="B1944" s="52"/>
    </x:row>
    <x:row r="1945">
      <x:c r="A1945" s="28"/>
      <x:c r="B1945" s="52"/>
    </x:row>
    <x:row r="1946">
      <x:c r="A1946" s="28"/>
      <x:c r="B1946" s="52"/>
    </x:row>
    <x:row r="1947">
      <x:c r="A1947" s="28"/>
      <x:c r="B1947" s="52"/>
    </x:row>
    <x:row r="1948">
      <x:c r="A1948" s="28"/>
      <x:c r="B1948" s="52"/>
    </x:row>
    <x:row r="1949">
      <x:c r="A1949" s="28"/>
      <x:c r="B1949" s="52"/>
    </x:row>
    <x:row r="1950">
      <x:c r="A1950" s="28"/>
      <x:c r="B1950" s="52"/>
    </x:row>
    <x:row r="1951">
      <x:c r="A1951" s="28"/>
      <x:c r="B1951" s="52"/>
    </x:row>
    <x:row r="1952">
      <x:c r="A1952" s="28"/>
      <x:c r="B1952" s="52"/>
    </x:row>
    <x:row r="1953">
      <x:c r="A1953" s="28"/>
      <x:c r="B1953" s="52"/>
    </x:row>
    <x:row r="1954">
      <x:c r="A1954" s="28"/>
      <x:c r="B1954" s="52"/>
    </x:row>
    <x:row r="1955">
      <x:c r="A1955" s="28"/>
      <x:c r="B1955" s="52"/>
    </x:row>
    <x:row r="1956">
      <x:c r="A1956" s="28"/>
      <x:c r="B1956" s="52"/>
    </x:row>
    <x:row r="1957">
      <x:c r="A1957" s="28"/>
      <x:c r="B1957" s="52"/>
    </x:row>
    <x:row r="1958">
      <x:c r="A1958" s="28"/>
      <x:c r="B1958" s="52"/>
    </x:row>
    <x:row r="1959">
      <x:c r="A1959" s="28"/>
      <x:c r="B1959" s="52"/>
    </x:row>
    <x:row r="1960">
      <x:c r="A1960" s="28"/>
      <x:c r="B1960" s="52"/>
    </x:row>
    <x:row r="1961">
      <x:c r="A1961" s="28"/>
      <x:c r="B1961" s="52"/>
    </x:row>
    <x:row r="1962">
      <x:c r="A1962" s="28"/>
      <x:c r="B1962" s="52"/>
    </x:row>
    <x:row r="1963">
      <x:c r="A1963" s="28"/>
      <x:c r="B1963" s="52"/>
    </x:row>
    <x:row r="1964">
      <x:c r="A1964" s="28"/>
      <x:c r="B1964" s="52"/>
    </x:row>
    <x:row r="1965">
      <x:c r="A1965" s="28"/>
      <x:c r="B1965" s="52"/>
    </x:row>
    <x:row r="1966">
      <x:c r="A1966" s="28"/>
      <x:c r="B1966" s="52"/>
    </x:row>
    <x:row r="1967">
      <x:c r="A1967" s="28"/>
      <x:c r="B1967" s="52"/>
    </x:row>
    <x:row r="1968">
      <x:c r="A1968" s="28"/>
      <x:c r="B1968" s="52"/>
    </x:row>
    <x:row r="1969">
      <x:c r="A1969" s="28"/>
      <x:c r="B1969" s="52"/>
    </x:row>
    <x:row r="1970">
      <x:c r="A1970" s="28"/>
      <x:c r="B1970" s="52"/>
    </x:row>
    <x:row r="1971">
      <x:c r="A1971" s="28"/>
      <x:c r="B1971" s="52"/>
    </x:row>
    <x:row r="1972">
      <x:c r="A1972" s="28"/>
      <x:c r="B1972" s="52"/>
    </x:row>
    <x:row r="1973">
      <x:c r="A1973" s="28"/>
      <x:c r="B1973" s="52"/>
    </x:row>
    <x:row r="1974">
      <x:c r="A1974" s="28"/>
      <x:c r="B1974" s="52"/>
    </x:row>
    <x:row r="1975">
      <x:c r="A1975" s="28"/>
      <x:c r="B1975" s="52"/>
    </x:row>
    <x:row r="1976">
      <x:c r="A1976" s="28"/>
      <x:c r="B1976" s="52"/>
    </x:row>
    <x:row r="1977">
      <x:c r="A1977" s="28"/>
      <x:c r="B1977" s="52"/>
    </x:row>
    <x:row r="1978">
      <x:c r="A1978" s="28"/>
      <x:c r="B1978" s="52"/>
    </x:row>
    <x:row r="1979">
      <x:c r="A1979" s="28"/>
      <x:c r="B1979" s="52"/>
    </x:row>
    <x:row r="1980">
      <x:c r="A1980" s="28"/>
      <x:c r="B1980" s="52"/>
    </x:row>
    <x:row r="1981">
      <x:c r="A1981" s="28"/>
      <x:c r="B1981" s="52"/>
    </x:row>
    <x:row r="1982">
      <x:c r="A1982" s="28"/>
      <x:c r="B1982" s="52"/>
    </x:row>
    <x:row r="1983">
      <x:c r="A1983" s="28"/>
      <x:c r="B1983" s="52"/>
    </x:row>
    <x:row r="1984">
      <x:c r="A1984" s="28"/>
      <x:c r="B1984" s="52"/>
    </x:row>
    <x:row r="1985">
      <x:c r="A1985" s="28"/>
      <x:c r="B1985" s="52"/>
    </x:row>
    <x:row r="1986">
      <x:c r="A1986" s="28"/>
      <x:c r="B1986" s="52"/>
    </x:row>
    <x:row r="1987">
      <x:c r="A1987" s="28"/>
      <x:c r="B1987" s="52"/>
    </x:row>
    <x:row r="1988">
      <x:c r="A1988" s="28"/>
      <x:c r="B1988" s="52"/>
    </x:row>
    <x:row r="1989">
      <x:c r="A1989" s="28"/>
      <x:c r="B1989" s="52"/>
    </x:row>
    <x:row r="1990">
      <x:c r="A1990" s="28"/>
      <x:c r="B1990" s="52"/>
    </x:row>
    <x:row r="1991">
      <x:c r="A1991" s="28"/>
      <x:c r="B1991" s="52"/>
    </x:row>
    <x:row r="1992">
      <x:c r="A1992" s="28"/>
      <x:c r="B1992" s="52"/>
    </x:row>
    <x:row r="1993">
      <x:c r="A1993" s="28"/>
      <x:c r="B1993" s="52"/>
    </x:row>
    <x:row r="1994">
      <x:c r="A1994" s="28"/>
      <x:c r="B1994" s="52"/>
    </x:row>
    <x:row r="1995">
      <x:c r="A1995" s="28"/>
      <x:c r="B1995" s="52"/>
    </x:row>
    <x:row r="1996">
      <x:c r="A1996" s="28"/>
      <x:c r="B1996" s="52"/>
    </x:row>
    <x:row r="1997">
      <x:c r="A1997" s="28"/>
      <x:c r="B1997" s="52"/>
    </x:row>
    <x:row r="1998">
      <x:c r="A1998" s="28"/>
      <x:c r="B1998" s="52"/>
    </x:row>
    <x:row r="1999">
      <x:c r="A1999" s="28"/>
      <x:c r="B1999" s="52"/>
    </x:row>
    <x:row r="2000">
      <x:c r="A2000" s="28"/>
      <x:c r="B2000" s="52"/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00" hidden="0" customWidth="1"/>
    <x:col min="3" max="3" width="13.329999923706055" hidden="0" customWidth="1"/>
  </x:cols>
  <x:sheetData>
    <x:row r="1">
      <x:c r="A1" s="4" t="str">
        <x:v>Index.html - à copier dans Apps Script</x:v>
      </x:c>
      <x:c r="B1" s="4" t="str">
        <x:v>Index.html - à copier dans Apps Script</x:v>
      </x:c>
      <x:c r="C1" s="4" t="str">
        <x:v>Index.html - à copier dans Apps Script</x:v>
      </x:c>
    </x:row>
    <x:row r="3">
      <x:c r="A3" s="10" t="str">
        <x:v>Ligne</x:v>
      </x:c>
      <x:c r="B3" s="11" t="str">
        <x:v>Contenu</x:v>
      </x:c>
      <x:c r="C3" s="12" t="str">
        <x:v>Note</x:v>
      </x:c>
    </x:row>
    <x:row r="4">
      <x:c r="A4" s="28" t="n">
        <x:v>1</x:v>
      </x:c>
      <x:c r="B4" s="52" t="str">
        <x:v>&lt;!DOCTYPE html&gt;</x:v>
      </x:c>
      <x:c r="C4" t="str"/>
    </x:row>
    <x:row r="5">
      <x:c r="A5" s="28" t="n">
        <x:v>2</x:v>
      </x:c>
      <x:c r="B5" s="52" t="str">
        <x:v>&lt;html&gt;</x:v>
      </x:c>
      <x:c r="C5" t="str"/>
    </x:row>
    <x:row r="6">
      <x:c r="A6" s="28" t="n">
        <x:v>3</x:v>
      </x:c>
      <x:c r="B6" s="52" t="str">
        <x:v>&lt;head&gt;</x:v>
      </x:c>
      <x:c r="C6" t="str"/>
    </x:row>
    <x:row r="7">
      <x:c r="A7" s="28" t="n">
        <x:v>4</x:v>
      </x:c>
      <x:c r="B7" s="52" t="str">
        <x:v>  &lt;base target="_top"&gt;</x:v>
      </x:c>
      <x:c r="C7" t="str"/>
    </x:row>
    <x:row r="8">
      <x:c r="A8" s="28" t="n">
        <x:v>5</x:v>
      </x:c>
      <x:c r="B8" s="52" t="str">
        <x:v>  &lt;meta name="viewport" content="width=device-width, initial-scale=1"&gt;</x:v>
      </x:c>
      <x:c r="C8" t="str"/>
    </x:row>
    <x:row r="9">
      <x:c r="A9" s="28" t="n">
        <x:v>6</x:v>
      </x:c>
      <x:c r="B9" s="52" t="str">
        <x:v>  &lt;style&gt;</x:v>
      </x:c>
      <x:c r="C9" t="str"/>
    </x:row>
    <x:row r="10">
      <x:c r="A10" s="28" t="n">
        <x:v>7</x:v>
      </x:c>
      <x:c r="B10" s="52" t="str">
        <x:v>    :root {</x:v>
      </x:c>
      <x:c r="C10" t="str"/>
    </x:row>
    <x:row r="11">
      <x:c r="A11" s="28" t="n">
        <x:v>8</x:v>
      </x:c>
      <x:c r="B11" s="52" t="str">
        <x:v>      --wine: #7A1F2B;</x:v>
      </x:c>
      <x:c r="C11" t="str"/>
    </x:row>
    <x:row r="12">
      <x:c r="A12" s="28" t="n">
        <x:v>9</x:v>
      </x:c>
      <x:c r="B12" s="52" t="str">
        <x:v>      --wine-dark: #55131D;</x:v>
      </x:c>
      <x:c r="C12" t="str"/>
    </x:row>
    <x:row r="13">
      <x:c r="A13" s="28" t="n">
        <x:v>10</x:v>
      </x:c>
      <x:c r="B13" s="52" t="str">
        <x:v>      --ink: #1F2937;</x:v>
      </x:c>
      <x:c r="C13" t="str"/>
    </x:row>
    <x:row r="14">
      <x:c r="A14" s="28" t="n">
        <x:v>11</x:v>
      </x:c>
      <x:c r="B14" s="52" t="str">
        <x:v>      --muted: #6B7280;</x:v>
      </x:c>
      <x:c r="C14" t="str"/>
    </x:row>
    <x:row r="15">
      <x:c r="A15" s="28" t="n">
        <x:v>12</x:v>
      </x:c>
      <x:c r="B15" s="52" t="str">
        <x:v>      --line: #E5E7EB;</x:v>
      </x:c>
      <x:c r="C15" t="str"/>
    </x:row>
    <x:row r="16">
      <x:c r="A16" s="28" t="n">
        <x:v>13</x:v>
      </x:c>
      <x:c r="B16" s="52" t="str">
        <x:v>      --bg: #F8F6F4;</x:v>
      </x:c>
      <x:c r="C16" t="str"/>
    </x:row>
    <x:row r="17">
      <x:c r="A17" s="28" t="n">
        <x:v>14</x:v>
      </x:c>
      <x:c r="B17" s="52" t="str">
        <x:v>      --card: #FFFFFF;</x:v>
      </x:c>
      <x:c r="C17" t="str"/>
    </x:row>
    <x:row r="18">
      <x:c r="A18" s="28" t="n">
        <x:v>15</x:v>
      </x:c>
      <x:c r="B18" s="52" t="str">
        <x:v>      --soft: #F2E7E9;</x:v>
      </x:c>
      <x:c r="C18" t="str"/>
    </x:row>
    <x:row r="19">
      <x:c r="A19" s="28" t="n">
        <x:v>16</x:v>
      </x:c>
      <x:c r="B19" s="52" t="str">
        <x:v>      --green: #15803D;</x:v>
      </x:c>
      <x:c r="C19" t="str"/>
    </x:row>
    <x:row r="20">
      <x:c r="A20" s="28" t="n">
        <x:v>17</x:v>
      </x:c>
      <x:c r="B20" s="52" t="str">
        <x:v>      --amber: #B45309;</x:v>
      </x:c>
      <x:c r="C20" t="str"/>
    </x:row>
    <x:row r="21">
      <x:c r="A21" s="28" t="n">
        <x:v>18</x:v>
      </x:c>
      <x:c r="B21" s="52" t="str">
        <x:v>      --red: #B91C1C;</x:v>
      </x:c>
      <x:c r="C21" t="str"/>
    </x:row>
    <x:row r="22">
      <x:c r="A22" s="28" t="n">
        <x:v>19</x:v>
      </x:c>
      <x:c r="B22" s="52" t="str">
        <x:v>    }</x:v>
      </x:c>
      <x:c r="C22" t="str"/>
    </x:row>
    <x:row r="23">
      <x:c r="A23" s="28" t="n">
        <x:v>20</x:v>
      </x:c>
      <x:c r="B23" s="52" t="str"/>
      <x:c r="C23" t="str"/>
    </x:row>
    <x:row r="24">
      <x:c r="A24" s="28" t="n">
        <x:v>21</x:v>
      </x:c>
      <x:c r="B24" s="52" t="str">
        <x:v>    * {</x:v>
      </x:c>
      <x:c r="C24" t="str"/>
    </x:row>
    <x:row r="25">
      <x:c r="A25" s="28" t="n">
        <x:v>22</x:v>
      </x:c>
      <x:c r="B25" s="52" t="str">
        <x:v>      box-sizing: border-box;</x:v>
      </x:c>
      <x:c r="C25" t="str"/>
    </x:row>
    <x:row r="26">
      <x:c r="A26" s="28" t="n">
        <x:v>23</x:v>
      </x:c>
      <x:c r="B26" s="52" t="str">
        <x:v>    }</x:v>
      </x:c>
      <x:c r="C26" t="str"/>
    </x:row>
    <x:row r="27">
      <x:c r="A27" s="28" t="n">
        <x:v>24</x:v>
      </x:c>
      <x:c r="B27" s="52" t="str"/>
      <x:c r="C27" t="str"/>
    </x:row>
    <x:row r="28">
      <x:c r="A28" s="28" t="n">
        <x:v>25</x:v>
      </x:c>
      <x:c r="B28" s="52" t="str">
        <x:v>    body {</x:v>
      </x:c>
      <x:c r="C28" t="str"/>
    </x:row>
    <x:row r="29">
      <x:c r="A29" s="28" t="n">
        <x:v>26</x:v>
      </x:c>
      <x:c r="B29" s="52" t="str">
        <x:v>      margin: 0;</x:v>
      </x:c>
      <x:c r="C29" t="str"/>
    </x:row>
    <x:row r="30">
      <x:c r="A30" s="28" t="n">
        <x:v>27</x:v>
      </x:c>
      <x:c r="B30" s="52" t="str">
        <x:v>      font-family: Arial, Helvetica, sans-serif;</x:v>
      </x:c>
      <x:c r="C30" t="str"/>
    </x:row>
    <x:row r="31">
      <x:c r="A31" s="28" t="n">
        <x:v>28</x:v>
      </x:c>
      <x:c r="B31" s="52" t="str">
        <x:v>      color: var(--ink);</x:v>
      </x:c>
      <x:c r="C31" t="str"/>
    </x:row>
    <x:row r="32">
      <x:c r="A32" s="28" t="n">
        <x:v>29</x:v>
      </x:c>
      <x:c r="B32" s="52" t="str">
        <x:v>      background: var(--bg);</x:v>
      </x:c>
      <x:c r="C32" t="str"/>
    </x:row>
    <x:row r="33">
      <x:c r="A33" s="28" t="n">
        <x:v>30</x:v>
      </x:c>
      <x:c r="B33" s="52" t="str">
        <x:v>    }</x:v>
      </x:c>
      <x:c r="C33" t="str"/>
    </x:row>
    <x:row r="34">
      <x:c r="A34" s="28" t="n">
        <x:v>31</x:v>
      </x:c>
      <x:c r="B34" s="52" t="str"/>
      <x:c r="C34" t="str"/>
    </x:row>
    <x:row r="35">
      <x:c r="A35" s="28" t="n">
        <x:v>32</x:v>
      </x:c>
      <x:c r="B35" s="52" t="str">
        <x:v>    header {</x:v>
      </x:c>
      <x:c r="C35" t="str"/>
    </x:row>
    <x:row r="36">
      <x:c r="A36" s="28" t="n">
        <x:v>33</x:v>
      </x:c>
      <x:c r="B36" s="52" t="str">
        <x:v>      background: var(--wine);</x:v>
      </x:c>
      <x:c r="C36" t="str"/>
    </x:row>
    <x:row r="37">
      <x:c r="A37" s="28" t="n">
        <x:v>34</x:v>
      </x:c>
      <x:c r="B37" s="52" t="str">
        <x:v>      color: white;</x:v>
      </x:c>
      <x:c r="C37" t="str"/>
    </x:row>
    <x:row r="38">
      <x:c r="A38" s="28" t="n">
        <x:v>35</x:v>
      </x:c>
      <x:c r="B38" s="52" t="str">
        <x:v>      padding: 18px 16px;</x:v>
      </x:c>
      <x:c r="C38" t="str"/>
    </x:row>
    <x:row r="39">
      <x:c r="A39" s="28" t="n">
        <x:v>36</x:v>
      </x:c>
      <x:c r="B39" s="52" t="str">
        <x:v>    }</x:v>
      </x:c>
      <x:c r="C39" t="str"/>
    </x:row>
    <x:row r="40">
      <x:c r="A40" s="28" t="n">
        <x:v>37</x:v>
      </x:c>
      <x:c r="B40" s="52" t="str"/>
      <x:c r="C40" t="str"/>
    </x:row>
    <x:row r="41">
      <x:c r="A41" s="28" t="n">
        <x:v>38</x:v>
      </x:c>
      <x:c r="B41" s="52" t="str">
        <x:v>    header h1 {</x:v>
      </x:c>
      <x:c r="C41" t="str"/>
    </x:row>
    <x:row r="42">
      <x:c r="A42" s="28" t="n">
        <x:v>39</x:v>
      </x:c>
      <x:c r="B42" s="52" t="str">
        <x:v>      margin: 0;</x:v>
      </x:c>
      <x:c r="C42" t="str"/>
    </x:row>
    <x:row r="43">
      <x:c r="A43" s="28" t="n">
        <x:v>40</x:v>
      </x:c>
      <x:c r="B43" s="52" t="str">
        <x:v>      font-size: 22px;</x:v>
      </x:c>
      <x:c r="C43" t="str"/>
    </x:row>
    <x:row r="44">
      <x:c r="A44" s="28" t="n">
        <x:v>41</x:v>
      </x:c>
      <x:c r="B44" s="52" t="str">
        <x:v>      line-height: 1.2;</x:v>
      </x:c>
      <x:c r="C44" t="str"/>
    </x:row>
    <x:row r="45">
      <x:c r="A45" s="28" t="n">
        <x:v>42</x:v>
      </x:c>
      <x:c r="B45" s="52" t="str">
        <x:v>    }</x:v>
      </x:c>
      <x:c r="C45" t="str"/>
    </x:row>
    <x:row r="46">
      <x:c r="A46" s="28" t="n">
        <x:v>43</x:v>
      </x:c>
      <x:c r="B46" s="52" t="str"/>
      <x:c r="C46" t="str"/>
    </x:row>
    <x:row r="47">
      <x:c r="A47" s="28" t="n">
        <x:v>44</x:v>
      </x:c>
      <x:c r="B47" s="52" t="str">
        <x:v>    header p {</x:v>
      </x:c>
      <x:c r="C47" t="str"/>
    </x:row>
    <x:row r="48">
      <x:c r="A48" s="28" t="n">
        <x:v>45</x:v>
      </x:c>
      <x:c r="B48" s="52" t="str">
        <x:v>      margin: 6px 0 0;</x:v>
      </x:c>
      <x:c r="C48" t="str"/>
    </x:row>
    <x:row r="49">
      <x:c r="A49" s="28" t="n">
        <x:v>46</x:v>
      </x:c>
      <x:c r="B49" s="52" t="str">
        <x:v>      color: #F9E8EC;</x:v>
      </x:c>
      <x:c r="C49" t="str"/>
    </x:row>
    <x:row r="50">
      <x:c r="A50" s="28" t="n">
        <x:v>47</x:v>
      </x:c>
      <x:c r="B50" s="52" t="str">
        <x:v>      font-size: 14px;</x:v>
      </x:c>
      <x:c r="C50" t="str"/>
    </x:row>
    <x:row r="51">
      <x:c r="A51" s="28" t="n">
        <x:v>48</x:v>
      </x:c>
      <x:c r="B51" s="52" t="str">
        <x:v>    }</x:v>
      </x:c>
      <x:c r="C51" t="str"/>
    </x:row>
    <x:row r="52">
      <x:c r="A52" s="28" t="n">
        <x:v>49</x:v>
      </x:c>
      <x:c r="B52" s="52" t="str"/>
      <x:c r="C52" t="str"/>
    </x:row>
    <x:row r="53">
      <x:c r="A53" s="28" t="n">
        <x:v>50</x:v>
      </x:c>
      <x:c r="B53" s="52" t="str">
        <x:v>    main {</x:v>
      </x:c>
      <x:c r="C53" t="str"/>
    </x:row>
    <x:row r="54">
      <x:c r="A54" s="28" t="n">
        <x:v>51</x:v>
      </x:c>
      <x:c r="B54" s="52" t="str">
        <x:v>      width: min(1180px, 100%);</x:v>
      </x:c>
      <x:c r="C54" t="str"/>
    </x:row>
    <x:row r="55">
      <x:c r="A55" s="28" t="n">
        <x:v>52</x:v>
      </x:c>
      <x:c r="B55" s="52" t="str">
        <x:v>      margin: 0 auto;</x:v>
      </x:c>
      <x:c r="C55" t="str"/>
    </x:row>
    <x:row r="56">
      <x:c r="A56" s="28" t="n">
        <x:v>53</x:v>
      </x:c>
      <x:c r="B56" s="52" t="str">
        <x:v>      padding: 16px;</x:v>
      </x:c>
      <x:c r="C56" t="str"/>
    </x:row>
    <x:row r="57">
      <x:c r="A57" s="28" t="n">
        <x:v>54</x:v>
      </x:c>
      <x:c r="B57" s="52" t="str">
        <x:v>    }</x:v>
      </x:c>
      <x:c r="C57" t="str"/>
    </x:row>
    <x:row r="58">
      <x:c r="A58" s="28" t="n">
        <x:v>55</x:v>
      </x:c>
      <x:c r="B58" s="52" t="str"/>
      <x:c r="C58" t="str"/>
    </x:row>
    <x:row r="59">
      <x:c r="A59" s="28" t="n">
        <x:v>56</x:v>
      </x:c>
      <x:c r="B59" s="52" t="str">
        <x:v>    .tabs {</x:v>
      </x:c>
      <x:c r="C59" t="str"/>
    </x:row>
    <x:row r="60">
      <x:c r="A60" s="28" t="n">
        <x:v>57</x:v>
      </x:c>
      <x:c r="B60" s="52" t="str">
        <x:v>      display: flex;</x:v>
      </x:c>
      <x:c r="C60" t="str"/>
    </x:row>
    <x:row r="61">
      <x:c r="A61" s="28" t="n">
        <x:v>58</x:v>
      </x:c>
      <x:c r="B61" s="52" t="str">
        <x:v>      gap: 8px;</x:v>
      </x:c>
      <x:c r="C61" t="str"/>
    </x:row>
    <x:row r="62">
      <x:c r="A62" s="28" t="n">
        <x:v>59</x:v>
      </x:c>
      <x:c r="B62" s="52" t="str">
        <x:v>      margin-bottom: 16px;</x:v>
      </x:c>
      <x:c r="C62" t="str"/>
    </x:row>
    <x:row r="63">
      <x:c r="A63" s="28" t="n">
        <x:v>60</x:v>
      </x:c>
      <x:c r="B63" s="52" t="str">
        <x:v>      flex-wrap: wrap;</x:v>
      </x:c>
      <x:c r="C63" t="str"/>
    </x:row>
    <x:row r="64">
      <x:c r="A64" s="28" t="n">
        <x:v>61</x:v>
      </x:c>
      <x:c r="B64" s="52" t="str">
        <x:v>    }</x:v>
      </x:c>
      <x:c r="C64" t="str"/>
    </x:row>
    <x:row r="65">
      <x:c r="A65" s="28" t="n">
        <x:v>62</x:v>
      </x:c>
      <x:c r="B65" s="52" t="str"/>
      <x:c r="C65" t="str"/>
    </x:row>
    <x:row r="66">
      <x:c r="A66" s="28" t="n">
        <x:v>63</x:v>
      </x:c>
      <x:c r="B66" s="52" t="str">
        <x:v>    .tab {</x:v>
      </x:c>
      <x:c r="C66" t="str"/>
    </x:row>
    <x:row r="67">
      <x:c r="A67" s="28" t="n">
        <x:v>64</x:v>
      </x:c>
      <x:c r="B67" s="52" t="str">
        <x:v>      border: 1px solid var(--line);</x:v>
      </x:c>
      <x:c r="C67" t="str"/>
    </x:row>
    <x:row r="68">
      <x:c r="A68" s="28" t="n">
        <x:v>65</x:v>
      </x:c>
      <x:c r="B68" s="52" t="str">
        <x:v>      background: white;</x:v>
      </x:c>
      <x:c r="C68" t="str"/>
    </x:row>
    <x:row r="69">
      <x:c r="A69" s="28" t="n">
        <x:v>66</x:v>
      </x:c>
      <x:c r="B69" s="52" t="str">
        <x:v>      color: var(--ink);</x:v>
      </x:c>
      <x:c r="C69" t="str"/>
    </x:row>
    <x:row r="70">
      <x:c r="A70" s="28" t="n">
        <x:v>67</x:v>
      </x:c>
      <x:c r="B70" s="52" t="str">
        <x:v>      padding: 10px 14px;</x:v>
      </x:c>
      <x:c r="C70" t="str"/>
    </x:row>
    <x:row r="71">
      <x:c r="A71" s="28" t="n">
        <x:v>68</x:v>
      </x:c>
      <x:c r="B71" s="52" t="str">
        <x:v>      border-radius: 8px;</x:v>
      </x:c>
      <x:c r="C71" t="str"/>
    </x:row>
    <x:row r="72">
      <x:c r="A72" s="28" t="n">
        <x:v>69</x:v>
      </x:c>
      <x:c r="B72" s="52" t="str">
        <x:v>      cursor: pointer;</x:v>
      </x:c>
      <x:c r="C72" t="str"/>
    </x:row>
    <x:row r="73">
      <x:c r="A73" s="28" t="n">
        <x:v>70</x:v>
      </x:c>
      <x:c r="B73" s="52" t="str">
        <x:v>      font-weight: 700;</x:v>
      </x:c>
      <x:c r="C73" t="str"/>
    </x:row>
    <x:row r="74">
      <x:c r="A74" s="28" t="n">
        <x:v>71</x:v>
      </x:c>
      <x:c r="B74" s="52" t="str">
        <x:v>    }</x:v>
      </x:c>
      <x:c r="C74" t="str"/>
    </x:row>
    <x:row r="75">
      <x:c r="A75" s="28" t="n">
        <x:v>72</x:v>
      </x:c>
      <x:c r="B75" s="52" t="str"/>
      <x:c r="C75" t="str"/>
    </x:row>
    <x:row r="76">
      <x:c r="A76" s="28" t="n">
        <x:v>73</x:v>
      </x:c>
      <x:c r="B76" s="52" t="str">
        <x:v>    .tab.active {</x:v>
      </x:c>
      <x:c r="C76" t="str"/>
    </x:row>
    <x:row r="77">
      <x:c r="A77" s="28" t="n">
        <x:v>74</x:v>
      </x:c>
      <x:c r="B77" s="52" t="str">
        <x:v>      background: var(--wine);</x:v>
      </x:c>
      <x:c r="C77" t="str"/>
    </x:row>
    <x:row r="78">
      <x:c r="A78" s="28" t="n">
        <x:v>75</x:v>
      </x:c>
      <x:c r="B78" s="52" t="str">
        <x:v>      border-color: var(--wine);</x:v>
      </x:c>
      <x:c r="C78" t="str"/>
    </x:row>
    <x:row r="79">
      <x:c r="A79" s="28" t="n">
        <x:v>76</x:v>
      </x:c>
      <x:c r="B79" s="52" t="str">
        <x:v>      color: white;</x:v>
      </x:c>
      <x:c r="C79" t="str"/>
    </x:row>
    <x:row r="80">
      <x:c r="A80" s="28" t="n">
        <x:v>77</x:v>
      </x:c>
      <x:c r="B80" s="52" t="str">
        <x:v>    }</x:v>
      </x:c>
      <x:c r="C80" t="str"/>
    </x:row>
    <x:row r="81">
      <x:c r="A81" s="28" t="n">
        <x:v>78</x:v>
      </x:c>
      <x:c r="B81" s="52" t="str"/>
      <x:c r="C81" t="str"/>
    </x:row>
    <x:row r="82">
      <x:c r="A82" s="28" t="n">
        <x:v>79</x:v>
      </x:c>
      <x:c r="B82" s="52" t="str">
        <x:v>    .panel {</x:v>
      </x:c>
      <x:c r="C82" t="str"/>
    </x:row>
    <x:row r="83">
      <x:c r="A83" s="28" t="n">
        <x:v>80</x:v>
      </x:c>
      <x:c r="B83" s="52" t="str">
        <x:v>      display: none;</x:v>
      </x:c>
      <x:c r="C83" t="str"/>
    </x:row>
    <x:row r="84">
      <x:c r="A84" s="28" t="n">
        <x:v>81</x:v>
      </x:c>
      <x:c r="B84" s="52" t="str">
        <x:v>    }</x:v>
      </x:c>
      <x:c r="C84" t="str"/>
    </x:row>
    <x:row r="85">
      <x:c r="A85" s="28" t="n">
        <x:v>82</x:v>
      </x:c>
      <x:c r="B85" s="52" t="str"/>
      <x:c r="C85" t="str"/>
    </x:row>
    <x:row r="86">
      <x:c r="A86" s="28" t="n">
        <x:v>83</x:v>
      </x:c>
      <x:c r="B86" s="52" t="str">
        <x:v>    .panel.active {</x:v>
      </x:c>
      <x:c r="C86" t="str"/>
    </x:row>
    <x:row r="87">
      <x:c r="A87" s="28" t="n">
        <x:v>84</x:v>
      </x:c>
      <x:c r="B87" s="52" t="str">
        <x:v>      display: block;</x:v>
      </x:c>
      <x:c r="C87" t="str"/>
    </x:row>
    <x:row r="88">
      <x:c r="A88" s="28" t="n">
        <x:v>85</x:v>
      </x:c>
      <x:c r="B88" s="52" t="str">
        <x:v>    }</x:v>
      </x:c>
      <x:c r="C88" t="str"/>
    </x:row>
    <x:row r="89">
      <x:c r="A89" s="28" t="n">
        <x:v>86</x:v>
      </x:c>
      <x:c r="B89" s="52" t="str"/>
      <x:c r="C89" t="str"/>
    </x:row>
    <x:row r="90">
      <x:c r="A90" s="28" t="n">
        <x:v>87</x:v>
      </x:c>
      <x:c r="B90" s="52" t="str">
        <x:v>    .layout {</x:v>
      </x:c>
      <x:c r="C90" t="str"/>
    </x:row>
    <x:row r="91">
      <x:c r="A91" s="28" t="n">
        <x:v>88</x:v>
      </x:c>
      <x:c r="B91" s="52" t="str">
        <x:v>      display: grid;</x:v>
      </x:c>
      <x:c r="C91" t="str"/>
    </x:row>
    <x:row r="92">
      <x:c r="A92" s="28" t="n">
        <x:v>89</x:v>
      </x:c>
      <x:c r="B92" s="52" t="str">
        <x:v>      grid-template-columns: 1fr 1fr;</x:v>
      </x:c>
      <x:c r="C92" t="str"/>
    </x:row>
    <x:row r="93">
      <x:c r="A93" s="28" t="n">
        <x:v>90</x:v>
      </x:c>
      <x:c r="B93" s="52" t="str">
        <x:v>      gap: 16px;</x:v>
      </x:c>
      <x:c r="C93" t="str"/>
    </x:row>
    <x:row r="94">
      <x:c r="A94" s="28" t="n">
        <x:v>91</x:v>
      </x:c>
      <x:c r="B94" s="52" t="str">
        <x:v>    }</x:v>
      </x:c>
      <x:c r="C94" t="str"/>
    </x:row>
    <x:row r="95">
      <x:c r="A95" s="28" t="n">
        <x:v>92</x:v>
      </x:c>
      <x:c r="B95" s="52" t="str"/>
      <x:c r="C95" t="str"/>
    </x:row>
    <x:row r="96">
      <x:c r="A96" s="28" t="n">
        <x:v>93</x:v>
      </x:c>
      <x:c r="B96" s="52" t="str">
        <x:v>    .card {</x:v>
      </x:c>
      <x:c r="C96" t="str"/>
    </x:row>
    <x:row r="97">
      <x:c r="A97" s="28" t="n">
        <x:v>94</x:v>
      </x:c>
      <x:c r="B97" s="52" t="str">
        <x:v>      background: var(--card);</x:v>
      </x:c>
      <x:c r="C97" t="str"/>
    </x:row>
    <x:row r="98">
      <x:c r="A98" s="28" t="n">
        <x:v>95</x:v>
      </x:c>
      <x:c r="B98" s="52" t="str">
        <x:v>      border: 1px solid var(--line);</x:v>
      </x:c>
      <x:c r="C98" t="str"/>
    </x:row>
    <x:row r="99">
      <x:c r="A99" s="28" t="n">
        <x:v>96</x:v>
      </x:c>
      <x:c r="B99" s="52" t="str">
        <x:v>      border-radius: 8px;</x:v>
      </x:c>
      <x:c r="C99" t="str"/>
    </x:row>
    <x:row r="100">
      <x:c r="A100" s="28" t="n">
        <x:v>97</x:v>
      </x:c>
      <x:c r="B100" s="52" t="str">
        <x:v>      padding: 16px;</x:v>
      </x:c>
      <x:c r="C100" t="str"/>
    </x:row>
    <x:row r="101">
      <x:c r="A101" s="28" t="n">
        <x:v>98</x:v>
      </x:c>
      <x:c r="B101" s="52" t="str">
        <x:v>    }</x:v>
      </x:c>
      <x:c r="C101" t="str"/>
    </x:row>
    <x:row r="102">
      <x:c r="A102" s="28" t="n">
        <x:v>99</x:v>
      </x:c>
      <x:c r="B102" s="52" t="str"/>
      <x:c r="C102" t="str"/>
    </x:row>
    <x:row r="103">
      <x:c r="A103" s="28" t="n">
        <x:v>100</x:v>
      </x:c>
      <x:c r="B103" s="52" t="str">
        <x:v>    h2 {</x:v>
      </x:c>
      <x:c r="C103" t="str"/>
    </x:row>
    <x:row r="104">
      <x:c r="A104" s="28" t="n">
        <x:v>101</x:v>
      </x:c>
      <x:c r="B104" s="52" t="str">
        <x:v>      margin: 0 0 12px;</x:v>
      </x:c>
      <x:c r="C104" t="str"/>
    </x:row>
    <x:row r="105">
      <x:c r="A105" s="28" t="n">
        <x:v>102</x:v>
      </x:c>
      <x:c r="B105" s="52" t="str">
        <x:v>      font-size: 18px;</x:v>
      </x:c>
      <x:c r="C105" t="str"/>
    </x:row>
    <x:row r="106">
      <x:c r="A106" s="28" t="n">
        <x:v>103</x:v>
      </x:c>
      <x:c r="B106" s="52" t="str">
        <x:v>    }</x:v>
      </x:c>
      <x:c r="C106" t="str"/>
    </x:row>
    <x:row r="107">
      <x:c r="A107" s="28" t="n">
        <x:v>104</x:v>
      </x:c>
      <x:c r="B107" s="52" t="str"/>
      <x:c r="C107" t="str"/>
    </x:row>
    <x:row r="108">
      <x:c r="A108" s="28" t="n">
        <x:v>105</x:v>
      </x:c>
      <x:c r="B108" s="52" t="str">
        <x:v>    h3 {</x:v>
      </x:c>
      <x:c r="C108" t="str"/>
    </x:row>
    <x:row r="109">
      <x:c r="A109" s="28" t="n">
        <x:v>106</x:v>
      </x:c>
      <x:c r="B109" s="52" t="str">
        <x:v>      margin: 18px 0 10px;</x:v>
      </x:c>
      <x:c r="C109" t="str"/>
    </x:row>
    <x:row r="110">
      <x:c r="A110" s="28" t="n">
        <x:v>107</x:v>
      </x:c>
      <x:c r="B110" s="52" t="str">
        <x:v>      font-size: 15px;</x:v>
      </x:c>
      <x:c r="C110" t="str"/>
    </x:row>
    <x:row r="111">
      <x:c r="A111" s="28" t="n">
        <x:v>108</x:v>
      </x:c>
      <x:c r="B111" s="52" t="str">
        <x:v>    }</x:v>
      </x:c>
      <x:c r="C111" t="str"/>
    </x:row>
    <x:row r="112">
      <x:c r="A112" s="28" t="n">
        <x:v>109</x:v>
      </x:c>
      <x:c r="B112" s="52" t="str"/>
      <x:c r="C112" t="str"/>
    </x:row>
    <x:row r="113">
      <x:c r="A113" s="28" t="n">
        <x:v>110</x:v>
      </x:c>
      <x:c r="B113" s="52" t="str">
        <x:v>    label {</x:v>
      </x:c>
      <x:c r="C113" t="str"/>
    </x:row>
    <x:row r="114">
      <x:c r="A114" s="28" t="n">
        <x:v>111</x:v>
      </x:c>
      <x:c r="B114" s="52" t="str">
        <x:v>      display: block;</x:v>
      </x:c>
      <x:c r="C114" t="str"/>
    </x:row>
    <x:row r="115">
      <x:c r="A115" s="28" t="n">
        <x:v>112</x:v>
      </x:c>
      <x:c r="B115" s="52" t="str">
        <x:v>      font-size: 13px;</x:v>
      </x:c>
      <x:c r="C115" t="str"/>
    </x:row>
    <x:row r="116">
      <x:c r="A116" s="28" t="n">
        <x:v>113</x:v>
      </x:c>
      <x:c r="B116" s="52" t="str">
        <x:v>      color: var(--muted);</x:v>
      </x:c>
      <x:c r="C116" t="str"/>
    </x:row>
    <x:row r="117">
      <x:c r="A117" s="28" t="n">
        <x:v>114</x:v>
      </x:c>
      <x:c r="B117" s="52" t="str">
        <x:v>      margin: 12px 0 5px;</x:v>
      </x:c>
      <x:c r="C117" t="str"/>
    </x:row>
    <x:row r="118">
      <x:c r="A118" s="28" t="n">
        <x:v>115</x:v>
      </x:c>
      <x:c r="B118" s="52" t="str">
        <x:v>      font-weight: 700;</x:v>
      </x:c>
      <x:c r="C118" t="str"/>
    </x:row>
    <x:row r="119">
      <x:c r="A119" s="28" t="n">
        <x:v>116</x:v>
      </x:c>
      <x:c r="B119" s="52" t="str">
        <x:v>    }</x:v>
      </x:c>
      <x:c r="C119" t="str"/>
    </x:row>
    <x:row r="120">
      <x:c r="A120" s="28" t="n">
        <x:v>117</x:v>
      </x:c>
      <x:c r="B120" s="52" t="str"/>
      <x:c r="C120" t="str"/>
    </x:row>
    <x:row r="121">
      <x:c r="A121" s="28" t="n">
        <x:v>118</x:v>
      </x:c>
      <x:c r="B121" s="52" t="str">
        <x:v>    input,</x:v>
      </x:c>
      <x:c r="C121" t="str"/>
    </x:row>
    <x:row r="122">
      <x:c r="A122" s="28" t="n">
        <x:v>119</x:v>
      </x:c>
      <x:c r="B122" s="52" t="str">
        <x:v>    select,</x:v>
      </x:c>
      <x:c r="C122" t="str"/>
    </x:row>
    <x:row r="123">
      <x:c r="A123" s="28" t="n">
        <x:v>120</x:v>
      </x:c>
      <x:c r="B123" s="52" t="str">
        <x:v>    textarea {</x:v>
      </x:c>
      <x:c r="C123" t="str"/>
    </x:row>
    <x:row r="124">
      <x:c r="A124" s="28" t="n">
        <x:v>121</x:v>
      </x:c>
      <x:c r="B124" s="52" t="str">
        <x:v>      width: 100%;</x:v>
      </x:c>
      <x:c r="C124" t="str"/>
    </x:row>
    <x:row r="125">
      <x:c r="A125" s="28" t="n">
        <x:v>122</x:v>
      </x:c>
      <x:c r="B125" s="52" t="str">
        <x:v>      border: 1px solid #D1D5DB;</x:v>
      </x:c>
      <x:c r="C125" t="str"/>
    </x:row>
    <x:row r="126">
      <x:c r="A126" s="28" t="n">
        <x:v>123</x:v>
      </x:c>
      <x:c r="B126" s="52" t="str">
        <x:v>      border-radius: 8px;</x:v>
      </x:c>
      <x:c r="C126" t="str"/>
    </x:row>
    <x:row r="127">
      <x:c r="A127" s="28" t="n">
        <x:v>124</x:v>
      </x:c>
      <x:c r="B127" s="52" t="str">
        <x:v>      padding: 10px 11px;</x:v>
      </x:c>
      <x:c r="C127" t="str"/>
    </x:row>
    <x:row r="128">
      <x:c r="A128" s="28" t="n">
        <x:v>125</x:v>
      </x:c>
      <x:c r="B128" s="52" t="str">
        <x:v>      background: white;</x:v>
      </x:c>
      <x:c r="C128" t="str"/>
    </x:row>
    <x:row r="129">
      <x:c r="A129" s="28" t="n">
        <x:v>126</x:v>
      </x:c>
      <x:c r="B129" s="52" t="str">
        <x:v>      color: var(--ink);</x:v>
      </x:c>
      <x:c r="C129" t="str"/>
    </x:row>
    <x:row r="130">
      <x:c r="A130" s="28" t="n">
        <x:v>127</x:v>
      </x:c>
      <x:c r="B130" s="52" t="str">
        <x:v>      font-size: 14px;</x:v>
      </x:c>
      <x:c r="C130" t="str"/>
    </x:row>
    <x:row r="131">
      <x:c r="A131" s="28" t="n">
        <x:v>128</x:v>
      </x:c>
      <x:c r="B131" s="52" t="str">
        <x:v>    }</x:v>
      </x:c>
      <x:c r="C131" t="str"/>
    </x:row>
    <x:row r="132">
      <x:c r="A132" s="28" t="n">
        <x:v>129</x:v>
      </x:c>
      <x:c r="B132" s="52" t="str"/>
      <x:c r="C132" t="str"/>
    </x:row>
    <x:row r="133">
      <x:c r="A133" s="28" t="n">
        <x:v>130</x:v>
      </x:c>
      <x:c r="B133" s="52" t="str">
        <x:v>    textarea {</x:v>
      </x:c>
      <x:c r="C133" t="str"/>
    </x:row>
    <x:row r="134">
      <x:c r="A134" s="28" t="n">
        <x:v>131</x:v>
      </x:c>
      <x:c r="B134" s="52" t="str">
        <x:v>      min-height: 90px;</x:v>
      </x:c>
      <x:c r="C134" t="str"/>
    </x:row>
    <x:row r="135">
      <x:c r="A135" s="28" t="n">
        <x:v>132</x:v>
      </x:c>
      <x:c r="B135" s="52" t="str">
        <x:v>      resize: vertical;</x:v>
      </x:c>
      <x:c r="C135" t="str"/>
    </x:row>
    <x:row r="136">
      <x:c r="A136" s="28" t="n">
        <x:v>133</x:v>
      </x:c>
      <x:c r="B136" s="52" t="str">
        <x:v>    }</x:v>
      </x:c>
      <x:c r="C136" t="str"/>
    </x:row>
    <x:row r="137">
      <x:c r="A137" s="28" t="n">
        <x:v>134</x:v>
      </x:c>
      <x:c r="B137" s="52" t="str"/>
      <x:c r="C137" t="str"/>
    </x:row>
    <x:row r="138">
      <x:c r="A138" s="28" t="n">
        <x:v>135</x:v>
      </x:c>
      <x:c r="B138" s="52" t="str">
        <x:v>    button {</x:v>
      </x:c>
      <x:c r="C138" t="str"/>
    </x:row>
    <x:row r="139">
      <x:c r="A139" s="28" t="n">
        <x:v>136</x:v>
      </x:c>
      <x:c r="B139" s="52" t="str">
        <x:v>      border: 0;</x:v>
      </x:c>
      <x:c r="C139" t="str"/>
    </x:row>
    <x:row r="140">
      <x:c r="A140" s="28" t="n">
        <x:v>137</x:v>
      </x:c>
      <x:c r="B140" s="52" t="str">
        <x:v>      background: var(--wine);</x:v>
      </x:c>
      <x:c r="C140" t="str"/>
    </x:row>
    <x:row r="141">
      <x:c r="A141" s="28" t="n">
        <x:v>138</x:v>
      </x:c>
      <x:c r="B141" s="52" t="str">
        <x:v>      color: white;</x:v>
      </x:c>
      <x:c r="C141" t="str"/>
    </x:row>
    <x:row r="142">
      <x:c r="A142" s="28" t="n">
        <x:v>139</x:v>
      </x:c>
      <x:c r="B142" s="52" t="str">
        <x:v>      padding: 11px 14px;</x:v>
      </x:c>
      <x:c r="C142" t="str"/>
    </x:row>
    <x:row r="143">
      <x:c r="A143" s="28" t="n">
        <x:v>140</x:v>
      </x:c>
      <x:c r="B143" s="52" t="str">
        <x:v>      border-radius: 8px;</x:v>
      </x:c>
      <x:c r="C143" t="str"/>
    </x:row>
    <x:row r="144">
      <x:c r="A144" s="28" t="n">
        <x:v>141</x:v>
      </x:c>
      <x:c r="B144" s="52" t="str">
        <x:v>      font-weight: 700;</x:v>
      </x:c>
      <x:c r="C144" t="str"/>
    </x:row>
    <x:row r="145">
      <x:c r="A145" s="28" t="n">
        <x:v>142</x:v>
      </x:c>
      <x:c r="B145" s="52" t="str">
        <x:v>      cursor: pointer;</x:v>
      </x:c>
      <x:c r="C145" t="str"/>
    </x:row>
    <x:row r="146">
      <x:c r="A146" s="28" t="n">
        <x:v>143</x:v>
      </x:c>
      <x:c r="B146" s="52" t="str">
        <x:v>    }</x:v>
      </x:c>
      <x:c r="C146" t="str"/>
    </x:row>
    <x:row r="147">
      <x:c r="A147" s="28" t="n">
        <x:v>144</x:v>
      </x:c>
      <x:c r="B147" s="52" t="str"/>
      <x:c r="C147" t="str"/>
    </x:row>
    <x:row r="148">
      <x:c r="A148" s="28" t="n">
        <x:v>145</x:v>
      </x:c>
      <x:c r="B148" s="52" t="str">
        <x:v>    button.secondary {</x:v>
      </x:c>
      <x:c r="C148" t="str"/>
    </x:row>
    <x:row r="149">
      <x:c r="A149" s="28" t="n">
        <x:v>146</x:v>
      </x:c>
      <x:c r="B149" s="52" t="str">
        <x:v>      background: #374151;</x:v>
      </x:c>
      <x:c r="C149" t="str"/>
    </x:row>
    <x:row r="150">
      <x:c r="A150" s="28" t="n">
        <x:v>147</x:v>
      </x:c>
      <x:c r="B150" s="52" t="str">
        <x:v>    }</x:v>
      </x:c>
      <x:c r="C150" t="str"/>
    </x:row>
    <x:row r="151">
      <x:c r="A151" s="28" t="n">
        <x:v>148</x:v>
      </x:c>
      <x:c r="B151" s="52" t="str"/>
      <x:c r="C151" t="str"/>
    </x:row>
    <x:row r="152">
      <x:c r="A152" s="28" t="n">
        <x:v>149</x:v>
      </x:c>
      <x:c r="B152" s="52" t="str">
        <x:v>    button.ghost {</x:v>
      </x:c>
      <x:c r="C152" t="str"/>
    </x:row>
    <x:row r="153">
      <x:c r="A153" s="28" t="n">
        <x:v>150</x:v>
      </x:c>
      <x:c r="B153" s="52" t="str">
        <x:v>      background: white;</x:v>
      </x:c>
      <x:c r="C153" t="str"/>
    </x:row>
    <x:row r="154">
      <x:c r="A154" s="28" t="n">
        <x:v>151</x:v>
      </x:c>
      <x:c r="B154" s="52" t="str">
        <x:v>      color: var(--wine);</x:v>
      </x:c>
      <x:c r="C154" t="str"/>
    </x:row>
    <x:row r="155">
      <x:c r="A155" s="28" t="n">
        <x:v>152</x:v>
      </x:c>
      <x:c r="B155" s="52" t="str">
        <x:v>      border: 1px solid var(--wine);</x:v>
      </x:c>
      <x:c r="C155" t="str"/>
    </x:row>
    <x:row r="156">
      <x:c r="A156" s="28" t="n">
        <x:v>153</x:v>
      </x:c>
      <x:c r="B156" s="52" t="str">
        <x:v>    }</x:v>
      </x:c>
      <x:c r="C156" t="str"/>
    </x:row>
    <x:row r="157">
      <x:c r="A157" s="28" t="n">
        <x:v>154</x:v>
      </x:c>
      <x:c r="B157" s="52" t="str"/>
      <x:c r="C157" t="str"/>
    </x:row>
    <x:row r="158">
      <x:c r="A158" s="28" t="n">
        <x:v>155</x:v>
      </x:c>
      <x:c r="B158" s="52" t="str">
        <x:v>    button:disabled {</x:v>
      </x:c>
      <x:c r="C158" t="str"/>
    </x:row>
    <x:row r="159">
      <x:c r="A159" s="28" t="n">
        <x:v>156</x:v>
      </x:c>
      <x:c r="B159" s="52" t="str">
        <x:v>      opacity: .55;</x:v>
      </x:c>
      <x:c r="C159" t="str"/>
    </x:row>
    <x:row r="160">
      <x:c r="A160" s="28" t="n">
        <x:v>157</x:v>
      </x:c>
      <x:c r="B160" s="52" t="str">
        <x:v>      cursor: wait;</x:v>
      </x:c>
      <x:c r="C160" t="str"/>
    </x:row>
    <x:row r="161">
      <x:c r="A161" s="28" t="n">
        <x:v>158</x:v>
      </x:c>
      <x:c r="B161" s="52" t="str">
        <x:v>    }</x:v>
      </x:c>
      <x:c r="C161" t="str"/>
    </x:row>
    <x:row r="162">
      <x:c r="A162" s="28" t="n">
        <x:v>159</x:v>
      </x:c>
      <x:c r="B162" s="52" t="str"/>
      <x:c r="C162" t="str"/>
    </x:row>
    <x:row r="163">
      <x:c r="A163" s="28" t="n">
        <x:v>160</x:v>
      </x:c>
      <x:c r="B163" s="52" t="str">
        <x:v>    .row {</x:v>
      </x:c>
      <x:c r="C163" t="str"/>
    </x:row>
    <x:row r="164">
      <x:c r="A164" s="28" t="n">
        <x:v>161</x:v>
      </x:c>
      <x:c r="B164" s="52" t="str">
        <x:v>      display: grid;</x:v>
      </x:c>
      <x:c r="C164" t="str"/>
    </x:row>
    <x:row r="165">
      <x:c r="A165" s="28" t="n">
        <x:v>162</x:v>
      </x:c>
      <x:c r="B165" s="52" t="str">
        <x:v>      grid-template-columns: 1fr 1fr;</x:v>
      </x:c>
      <x:c r="C165" t="str"/>
    </x:row>
    <x:row r="166">
      <x:c r="A166" s="28" t="n">
        <x:v>163</x:v>
      </x:c>
      <x:c r="B166" s="52" t="str">
        <x:v>      gap: 10px;</x:v>
      </x:c>
      <x:c r="C166" t="str"/>
    </x:row>
    <x:row r="167">
      <x:c r="A167" s="28" t="n">
        <x:v>164</x:v>
      </x:c>
      <x:c r="B167" s="52" t="str">
        <x:v>    }</x:v>
      </x:c>
      <x:c r="C167" t="str"/>
    </x:row>
    <x:row r="168">
      <x:c r="A168" s="28" t="n">
        <x:v>165</x:v>
      </x:c>
      <x:c r="B168" s="52" t="str"/>
      <x:c r="C168" t="str"/>
    </x:row>
    <x:row r="169">
      <x:c r="A169" s="28" t="n">
        <x:v>166</x:v>
      </x:c>
      <x:c r="B169" s="52" t="str">
        <x:v>    .choices,</x:v>
      </x:c>
      <x:c r="C169" t="str"/>
    </x:row>
    <x:row r="170">
      <x:c r="A170" s="28" t="n">
        <x:v>167</x:v>
      </x:c>
      <x:c r="B170" s="52" t="str">
        <x:v>    .events {</x:v>
      </x:c>
      <x:c r="C170" t="str"/>
    </x:row>
    <x:row r="171">
      <x:c r="A171" s="28" t="n">
        <x:v>168</x:v>
      </x:c>
      <x:c r="B171" s="52" t="str">
        <x:v>      display: grid;</x:v>
      </x:c>
      <x:c r="C171" t="str"/>
    </x:row>
    <x:row r="172">
      <x:c r="A172" s="28" t="n">
        <x:v>169</x:v>
      </x:c>
      <x:c r="B172" s="52" t="str">
        <x:v>      gap: 8px;</x:v>
      </x:c>
      <x:c r="C172" t="str"/>
    </x:row>
    <x:row r="173">
      <x:c r="A173" s="28" t="n">
        <x:v>170</x:v>
      </x:c>
      <x:c r="B173" s="52" t="str">
        <x:v>    }</x:v>
      </x:c>
      <x:c r="C173" t="str"/>
    </x:row>
    <x:row r="174">
      <x:c r="A174" s="28" t="n">
        <x:v>171</x:v>
      </x:c>
      <x:c r="B174" s="52" t="str"/>
      <x:c r="C174" t="str"/>
    </x:row>
    <x:row r="175">
      <x:c r="A175" s="28" t="n">
        <x:v>172</x:v>
      </x:c>
      <x:c r="B175" s="52" t="str">
        <x:v>    .choice,</x:v>
      </x:c>
      <x:c r="C175" t="str"/>
    </x:row>
    <x:row r="176">
      <x:c r="A176" s="28" t="n">
        <x:v>173</x:v>
      </x:c>
      <x:c r="B176" s="52" t="str">
        <x:v>    .event {</x:v>
      </x:c>
      <x:c r="C176" t="str"/>
    </x:row>
    <x:row r="177">
      <x:c r="A177" s="28" t="n">
        <x:v>174</x:v>
      </x:c>
      <x:c r="B177" s="52" t="str">
        <x:v>      display: flex;</x:v>
      </x:c>
      <x:c r="C177" t="str"/>
    </x:row>
    <x:row r="178">
      <x:c r="A178" s="28" t="n">
        <x:v>175</x:v>
      </x:c>
      <x:c r="B178" s="52" t="str">
        <x:v>      gap: 10px;</x:v>
      </x:c>
      <x:c r="C178" t="str"/>
    </x:row>
    <x:row r="179">
      <x:c r="A179" s="28" t="n">
        <x:v>176</x:v>
      </x:c>
      <x:c r="B179" s="52" t="str">
        <x:v>      align-items: flex-start;</x:v>
      </x:c>
      <x:c r="C179" t="str"/>
    </x:row>
    <x:row r="180">
      <x:c r="A180" s="28" t="n">
        <x:v>177</x:v>
      </x:c>
      <x:c r="B180" s="52" t="str">
        <x:v>      border: 1px solid var(--line);</x:v>
      </x:c>
      <x:c r="C180" t="str"/>
    </x:row>
    <x:row r="181">
      <x:c r="A181" s="28" t="n">
        <x:v>178</x:v>
      </x:c>
      <x:c r="B181" s="52" t="str">
        <x:v>      background: #FFFFFF;</x:v>
      </x:c>
      <x:c r="C181" t="str"/>
    </x:row>
    <x:row r="182">
      <x:c r="A182" s="28" t="n">
        <x:v>179</x:v>
      </x:c>
      <x:c r="B182" s="52" t="str">
        <x:v>      border-radius: 8px;</x:v>
      </x:c>
      <x:c r="C182" t="str"/>
    </x:row>
    <x:row r="183">
      <x:c r="A183" s="28" t="n">
        <x:v>180</x:v>
      </x:c>
      <x:c r="B183" s="52" t="str">
        <x:v>      padding: 10px;</x:v>
      </x:c>
      <x:c r="C183" t="str"/>
    </x:row>
    <x:row r="184">
      <x:c r="A184" s="28" t="n">
        <x:v>181</x:v>
      </x:c>
      <x:c r="B184" s="52" t="str">
        <x:v>    }</x:v>
      </x:c>
      <x:c r="C184" t="str"/>
    </x:row>
    <x:row r="185">
      <x:c r="A185" s="28" t="n">
        <x:v>182</x:v>
      </x:c>
      <x:c r="B185" s="52" t="str"/>
      <x:c r="C185" t="str"/>
    </x:row>
    <x:row r="186">
      <x:c r="A186" s="28" t="n">
        <x:v>183</x:v>
      </x:c>
      <x:c r="B186" s="52" t="str">
        <x:v>    .choice input,</x:v>
      </x:c>
      <x:c r="C186" t="str"/>
    </x:row>
    <x:row r="187">
      <x:c r="A187" s="28" t="n">
        <x:v>184</x:v>
      </x:c>
      <x:c r="B187" s="52" t="str">
        <x:v>    .event input {</x:v>
      </x:c>
      <x:c r="C187" t="str"/>
    </x:row>
    <x:row r="188">
      <x:c r="A188" s="28" t="n">
        <x:v>185</x:v>
      </x:c>
      <x:c r="B188" s="52" t="str">
        <x:v>      width: auto;</x:v>
      </x:c>
      <x:c r="C188" t="str"/>
    </x:row>
    <x:row r="189">
      <x:c r="A189" s="28" t="n">
        <x:v>186</x:v>
      </x:c>
      <x:c r="B189" s="52" t="str">
        <x:v>      margin-top: 2px;</x:v>
      </x:c>
      <x:c r="C189" t="str"/>
    </x:row>
    <x:row r="190">
      <x:c r="A190" s="28" t="n">
        <x:v>187</x:v>
      </x:c>
      <x:c r="B190" s="52" t="str">
        <x:v>    }</x:v>
      </x:c>
      <x:c r="C190" t="str"/>
    </x:row>
    <x:row r="191">
      <x:c r="A191" s="28" t="n">
        <x:v>188</x:v>
      </x:c>
      <x:c r="B191" s="52" t="str"/>
      <x:c r="C191" t="str"/>
    </x:row>
    <x:row r="192">
      <x:c r="A192" s="28" t="n">
        <x:v>189</x:v>
      </x:c>
      <x:c r="B192" s="52" t="str">
        <x:v>    .event strong {</x:v>
      </x:c>
      <x:c r="C192" t="str"/>
    </x:row>
    <x:row r="193">
      <x:c r="A193" s="28" t="n">
        <x:v>190</x:v>
      </x:c>
      <x:c r="B193" s="52" t="str">
        <x:v>      display: block;</x:v>
      </x:c>
      <x:c r="C193" t="str"/>
    </x:row>
    <x:row r="194">
      <x:c r="A194" s="28" t="n">
        <x:v>191</x:v>
      </x:c>
      <x:c r="B194" s="52" t="str">
        <x:v>      margin-bottom: 2px;</x:v>
      </x:c>
      <x:c r="C194" t="str"/>
    </x:row>
    <x:row r="195">
      <x:c r="A195" s="28" t="n">
        <x:v>192</x:v>
      </x:c>
      <x:c r="B195" s="52" t="str">
        <x:v>    }</x:v>
      </x:c>
      <x:c r="C195" t="str"/>
    </x:row>
    <x:row r="196">
      <x:c r="A196" s="28" t="n">
        <x:v>193</x:v>
      </x:c>
      <x:c r="B196" s="52" t="str"/>
      <x:c r="C196" t="str"/>
    </x:row>
    <x:row r="197">
      <x:c r="A197" s="28" t="n">
        <x:v>194</x:v>
      </x:c>
      <x:c r="B197" s="52" t="str">
        <x:v>    .meta {</x:v>
      </x:c>
      <x:c r="C197" t="str"/>
    </x:row>
    <x:row r="198">
      <x:c r="A198" s="28" t="n">
        <x:v>195</x:v>
      </x:c>
      <x:c r="B198" s="52" t="str">
        <x:v>      color: var(--muted);</x:v>
      </x:c>
      <x:c r="C198" t="str"/>
    </x:row>
    <x:row r="199">
      <x:c r="A199" s="28" t="n">
        <x:v>196</x:v>
      </x:c>
      <x:c r="B199" s="52" t="str">
        <x:v>      font-size: 12px;</x:v>
      </x:c>
      <x:c r="C199" t="str"/>
    </x:row>
    <x:row r="200">
      <x:c r="A200" s="28" t="n">
        <x:v>197</x:v>
      </x:c>
      <x:c r="B200" s="52" t="str">
        <x:v>      line-height: 1.35;</x:v>
      </x:c>
      <x:c r="C200" t="str"/>
    </x:row>
    <x:row r="201">
      <x:c r="A201" s="28" t="n">
        <x:v>198</x:v>
      </x:c>
      <x:c r="B201" s="52" t="str">
        <x:v>    }</x:v>
      </x:c>
      <x:c r="C201" t="str"/>
    </x:row>
    <x:row r="202">
      <x:c r="A202" s="28" t="n">
        <x:v>199</x:v>
      </x:c>
      <x:c r="B202" s="52" t="str"/>
      <x:c r="C202" t="str"/>
    </x:row>
    <x:row r="203">
      <x:c r="A203" s="28" t="n">
        <x:v>200</x:v>
      </x:c>
      <x:c r="B203" s="52" t="str">
        <x:v>    .actions {</x:v>
      </x:c>
      <x:c r="C203" t="str"/>
    </x:row>
    <x:row r="204">
      <x:c r="A204" s="28" t="n">
        <x:v>201</x:v>
      </x:c>
      <x:c r="B204" s="52" t="str">
        <x:v>      display: flex;</x:v>
      </x:c>
      <x:c r="C204" t="str"/>
    </x:row>
    <x:row r="205">
      <x:c r="A205" s="28" t="n">
        <x:v>202</x:v>
      </x:c>
      <x:c r="B205" s="52" t="str">
        <x:v>      gap: 10px;</x:v>
      </x:c>
      <x:c r="C205" t="str"/>
    </x:row>
    <x:row r="206">
      <x:c r="A206" s="28" t="n">
        <x:v>203</x:v>
      </x:c>
      <x:c r="B206" s="52" t="str">
        <x:v>      flex-wrap: wrap;</x:v>
      </x:c>
      <x:c r="C206" t="str"/>
    </x:row>
    <x:row r="207">
      <x:c r="A207" s="28" t="n">
        <x:v>204</x:v>
      </x:c>
      <x:c r="B207" s="52" t="str">
        <x:v>      margin-top: 16px;</x:v>
      </x:c>
      <x:c r="C207" t="str"/>
    </x:row>
    <x:row r="208">
      <x:c r="A208" s="28" t="n">
        <x:v>205</x:v>
      </x:c>
      <x:c r="B208" s="52" t="str">
        <x:v>    }</x:v>
      </x:c>
      <x:c r="C208" t="str"/>
    </x:row>
    <x:row r="209">
      <x:c r="A209" s="28" t="n">
        <x:v>206</x:v>
      </x:c>
      <x:c r="B209" s="52" t="str"/>
      <x:c r="C209" t="str"/>
    </x:row>
    <x:row r="210">
      <x:c r="A210" s="28" t="n">
        <x:v>207</x:v>
      </x:c>
      <x:c r="B210" s="52" t="str">
        <x:v>    .notice {</x:v>
      </x:c>
      <x:c r="C210" t="str"/>
    </x:row>
    <x:row r="211">
      <x:c r="A211" s="28" t="n">
        <x:v>208</x:v>
      </x:c>
      <x:c r="B211" s="52" t="str">
        <x:v>      margin-top: 12px;</x:v>
      </x:c>
      <x:c r="C211" t="str"/>
    </x:row>
    <x:row r="212">
      <x:c r="A212" s="28" t="n">
        <x:v>209</x:v>
      </x:c>
      <x:c r="B212" s="52" t="str">
        <x:v>      padding: 10px 12px;</x:v>
      </x:c>
      <x:c r="C212" t="str"/>
    </x:row>
    <x:row r="213">
      <x:c r="A213" s="28" t="n">
        <x:v>210</x:v>
      </x:c>
      <x:c r="B213" s="52" t="str">
        <x:v>      border-radius: 8px;</x:v>
      </x:c>
      <x:c r="C213" t="str"/>
    </x:row>
    <x:row r="214">
      <x:c r="A214" s="28" t="n">
        <x:v>211</x:v>
      </x:c>
      <x:c r="B214" s="52" t="str">
        <x:v>      border: 1px solid var(--line);</x:v>
      </x:c>
      <x:c r="C214" t="str"/>
    </x:row>
    <x:row r="215">
      <x:c r="A215" s="28" t="n">
        <x:v>212</x:v>
      </x:c>
      <x:c r="B215" s="52" t="str">
        <x:v>      background: #FFFFFF;</x:v>
      </x:c>
      <x:c r="C215" t="str"/>
    </x:row>
    <x:row r="216">
      <x:c r="A216" s="28" t="n">
        <x:v>213</x:v>
      </x:c>
      <x:c r="B216" s="52" t="str">
        <x:v>      font-size: 14px;</x:v>
      </x:c>
      <x:c r="C216" t="str"/>
    </x:row>
    <x:row r="217">
      <x:c r="A217" s="28" t="n">
        <x:v>214</x:v>
      </x:c>
      <x:c r="B217" s="52" t="str">
        <x:v>    }</x:v>
      </x:c>
      <x:c r="C217" t="str"/>
    </x:row>
    <x:row r="218">
      <x:c r="A218" s="28" t="n">
        <x:v>215</x:v>
      </x:c>
      <x:c r="B218" s="52" t="str"/>
      <x:c r="C218" t="str"/>
    </x:row>
    <x:row r="219">
      <x:c r="A219" s="28" t="n">
        <x:v>216</x:v>
      </x:c>
      <x:c r="B219" s="52" t="str">
        <x:v>    .notice.ok {</x:v>
      </x:c>
      <x:c r="C219" t="str"/>
    </x:row>
    <x:row r="220">
      <x:c r="A220" s="28" t="n">
        <x:v>217</x:v>
      </x:c>
      <x:c r="B220" s="52" t="str">
        <x:v>      border-color: #BBF7D0;</x:v>
      </x:c>
      <x:c r="C220" t="str"/>
    </x:row>
    <x:row r="221">
      <x:c r="A221" s="28" t="n">
        <x:v>218</x:v>
      </x:c>
      <x:c r="B221" s="52" t="str">
        <x:v>      background: #F0FDF4;</x:v>
      </x:c>
      <x:c r="C221" t="str"/>
    </x:row>
    <x:row r="222">
      <x:c r="A222" s="28" t="n">
        <x:v>219</x:v>
      </x:c>
      <x:c r="B222" s="52" t="str">
        <x:v>      color: var(--green);</x:v>
      </x:c>
      <x:c r="C222" t="str"/>
    </x:row>
    <x:row r="223">
      <x:c r="A223" s="28" t="n">
        <x:v>220</x:v>
      </x:c>
      <x:c r="B223" s="52" t="str">
        <x:v>    }</x:v>
      </x:c>
      <x:c r="C223" t="str"/>
    </x:row>
    <x:row r="224">
      <x:c r="A224" s="28" t="n">
        <x:v>221</x:v>
      </x:c>
      <x:c r="B224" s="52" t="str"/>
      <x:c r="C224" t="str"/>
    </x:row>
    <x:row r="225">
      <x:c r="A225" s="28" t="n">
        <x:v>222</x:v>
      </x:c>
      <x:c r="B225" s="52" t="str">
        <x:v>    .notice.error {</x:v>
      </x:c>
      <x:c r="C225" t="str"/>
    </x:row>
    <x:row r="226">
      <x:c r="A226" s="28" t="n">
        <x:v>223</x:v>
      </x:c>
      <x:c r="B226" s="52" t="str">
        <x:v>      border-color: #FECACA;</x:v>
      </x:c>
      <x:c r="C226" t="str"/>
    </x:row>
    <x:row r="227">
      <x:c r="A227" s="28" t="n">
        <x:v>224</x:v>
      </x:c>
      <x:c r="B227" s="52" t="str">
        <x:v>      background: #FEF2F2;</x:v>
      </x:c>
      <x:c r="C227" t="str"/>
    </x:row>
    <x:row r="228">
      <x:c r="A228" s="28" t="n">
        <x:v>225</x:v>
      </x:c>
      <x:c r="B228" s="52" t="str">
        <x:v>      color: var(--red);</x:v>
      </x:c>
      <x:c r="C228" t="str"/>
    </x:row>
    <x:row r="229">
      <x:c r="A229" s="28" t="n">
        <x:v>226</x:v>
      </x:c>
      <x:c r="B229" s="52" t="str">
        <x:v>    }</x:v>
      </x:c>
      <x:c r="C229" t="str"/>
    </x:row>
    <x:row r="230">
      <x:c r="A230" s="28" t="n">
        <x:v>227</x:v>
      </x:c>
      <x:c r="B230" s="52" t="str"/>
      <x:c r="C230" t="str"/>
    </x:row>
    <x:row r="231">
      <x:c r="A231" s="28" t="n">
        <x:v>228</x:v>
      </x:c>
      <x:c r="B231" s="52" t="str">
        <x:v>    .kpis {</x:v>
      </x:c>
      <x:c r="C231" t="str"/>
    </x:row>
    <x:row r="232">
      <x:c r="A232" s="28" t="n">
        <x:v>229</x:v>
      </x:c>
      <x:c r="B232" s="52" t="str">
        <x:v>      display: grid;</x:v>
      </x:c>
      <x:c r="C232" t="str"/>
    </x:row>
    <x:row r="233">
      <x:c r="A233" s="28" t="n">
        <x:v>230</x:v>
      </x:c>
      <x:c r="B233" s="52" t="str">
        <x:v>      grid-template-columns: repeat(6, 1fr);</x:v>
      </x:c>
      <x:c r="C233" t="str"/>
    </x:row>
    <x:row r="234">
      <x:c r="A234" s="28" t="n">
        <x:v>231</x:v>
      </x:c>
      <x:c r="B234" s="52" t="str">
        <x:v>      gap: 10px;</x:v>
      </x:c>
      <x:c r="C234" t="str"/>
    </x:row>
    <x:row r="235">
      <x:c r="A235" s="28" t="n">
        <x:v>232</x:v>
      </x:c>
      <x:c r="B235" s="52" t="str">
        <x:v>      margin-bottom: 16px;</x:v>
      </x:c>
      <x:c r="C235" t="str"/>
    </x:row>
    <x:row r="236">
      <x:c r="A236" s="28" t="n">
        <x:v>233</x:v>
      </x:c>
      <x:c r="B236" s="52" t="str">
        <x:v>    }</x:v>
      </x:c>
      <x:c r="C236" t="str"/>
    </x:row>
    <x:row r="237">
      <x:c r="A237" s="28" t="n">
        <x:v>234</x:v>
      </x:c>
      <x:c r="B237" s="52" t="str"/>
      <x:c r="C237" t="str"/>
    </x:row>
    <x:row r="238">
      <x:c r="A238" s="28" t="n">
        <x:v>235</x:v>
      </x:c>
      <x:c r="B238" s="52" t="str">
        <x:v>    .kpi {</x:v>
      </x:c>
      <x:c r="C238" t="str"/>
    </x:row>
    <x:row r="239">
      <x:c r="A239" s="28" t="n">
        <x:v>236</x:v>
      </x:c>
      <x:c r="B239" s="52" t="str">
        <x:v>      background: white;</x:v>
      </x:c>
      <x:c r="C239" t="str"/>
    </x:row>
    <x:row r="240">
      <x:c r="A240" s="28" t="n">
        <x:v>237</x:v>
      </x:c>
      <x:c r="B240" s="52" t="str">
        <x:v>      border: 1px solid var(--line);</x:v>
      </x:c>
      <x:c r="C240" t="str"/>
    </x:row>
    <x:row r="241">
      <x:c r="A241" s="28" t="n">
        <x:v>238</x:v>
      </x:c>
      <x:c r="B241" s="52" t="str">
        <x:v>      border-radius: 8px;</x:v>
      </x:c>
      <x:c r="C241" t="str"/>
    </x:row>
    <x:row r="242">
      <x:c r="A242" s="28" t="n">
        <x:v>239</x:v>
      </x:c>
      <x:c r="B242" s="52" t="str">
        <x:v>      padding: 12px;</x:v>
      </x:c>
      <x:c r="C242" t="str"/>
    </x:row>
    <x:row r="243">
      <x:c r="A243" s="28" t="n">
        <x:v>240</x:v>
      </x:c>
      <x:c r="B243" s="52" t="str">
        <x:v>    }</x:v>
      </x:c>
      <x:c r="C243" t="str"/>
    </x:row>
    <x:row r="244">
      <x:c r="A244" s="28" t="n">
        <x:v>241</x:v>
      </x:c>
      <x:c r="B244" s="52" t="str"/>
      <x:c r="C244" t="str"/>
    </x:row>
    <x:row r="245">
      <x:c r="A245" s="28" t="n">
        <x:v>242</x:v>
      </x:c>
      <x:c r="B245" s="52" t="str">
        <x:v>    .kpi span {</x:v>
      </x:c>
      <x:c r="C245" t="str"/>
    </x:row>
    <x:row r="246">
      <x:c r="A246" s="28" t="n">
        <x:v>243</x:v>
      </x:c>
      <x:c r="B246" s="52" t="str">
        <x:v>      display: block;</x:v>
      </x:c>
      <x:c r="C246" t="str"/>
    </x:row>
    <x:row r="247">
      <x:c r="A247" s="28" t="n">
        <x:v>244</x:v>
      </x:c>
      <x:c r="B247" s="52" t="str">
        <x:v>      color: var(--muted);</x:v>
      </x:c>
      <x:c r="C247" t="str"/>
    </x:row>
    <x:row r="248">
      <x:c r="A248" s="28" t="n">
        <x:v>245</x:v>
      </x:c>
      <x:c r="B248" s="52" t="str">
        <x:v>      font-size: 12px;</x:v>
      </x:c>
      <x:c r="C248" t="str"/>
    </x:row>
    <x:row r="249">
      <x:c r="A249" s="28" t="n">
        <x:v>246</x:v>
      </x:c>
      <x:c r="B249" s="52" t="str">
        <x:v>      font-weight: 700;</x:v>
      </x:c>
      <x:c r="C249" t="str"/>
    </x:row>
    <x:row r="250">
      <x:c r="A250" s="28" t="n">
        <x:v>247</x:v>
      </x:c>
      <x:c r="B250" s="52" t="str">
        <x:v>    }</x:v>
      </x:c>
      <x:c r="C250" t="str"/>
    </x:row>
    <x:row r="251">
      <x:c r="A251" s="28" t="n">
        <x:v>248</x:v>
      </x:c>
      <x:c r="B251" s="52" t="str"/>
      <x:c r="C251" t="str"/>
    </x:row>
    <x:row r="252">
      <x:c r="A252" s="28" t="n">
        <x:v>249</x:v>
      </x:c>
      <x:c r="B252" s="52" t="str">
        <x:v>    .kpi strong {</x:v>
      </x:c>
      <x:c r="C252" t="str"/>
    </x:row>
    <x:row r="253">
      <x:c r="A253" s="28" t="n">
        <x:v>250</x:v>
      </x:c>
      <x:c r="B253" s="52" t="str">
        <x:v>      display: block;</x:v>
      </x:c>
      <x:c r="C253" t="str"/>
    </x:row>
    <x:row r="254">
      <x:c r="A254" s="28" t="n">
        <x:v>251</x:v>
      </x:c>
      <x:c r="B254" s="52" t="str">
        <x:v>      margin-top: 6px;</x:v>
      </x:c>
      <x:c r="C254" t="str"/>
    </x:row>
    <x:row r="255">
      <x:c r="A255" s="28" t="n">
        <x:v>252</x:v>
      </x:c>
      <x:c r="B255" s="52" t="str">
        <x:v>      font-size: 22px;</x:v>
      </x:c>
      <x:c r="C255" t="str"/>
    </x:row>
    <x:row r="256">
      <x:c r="A256" s="28" t="n">
        <x:v>253</x:v>
      </x:c>
      <x:c r="B256" s="52" t="str">
        <x:v>    }</x:v>
      </x:c>
      <x:c r="C256" t="str"/>
    </x:row>
    <x:row r="257">
      <x:c r="A257" s="28" t="n">
        <x:v>254</x:v>
      </x:c>
      <x:c r="B257" s="52" t="str"/>
      <x:c r="C257" t="str"/>
    </x:row>
    <x:row r="258">
      <x:c r="A258" s="28" t="n">
        <x:v>255</x:v>
      </x:c>
      <x:c r="B258" s="52" t="str">
        <x:v>    table {</x:v>
      </x:c>
      <x:c r="C258" t="str"/>
    </x:row>
    <x:row r="259">
      <x:c r="A259" s="28" t="n">
        <x:v>256</x:v>
      </x:c>
      <x:c r="B259" s="52" t="str">
        <x:v>      width: 100%;</x:v>
      </x:c>
      <x:c r="C259" t="str"/>
    </x:row>
    <x:row r="260">
      <x:c r="A260" s="28" t="n">
        <x:v>257</x:v>
      </x:c>
      <x:c r="B260" s="52" t="str">
        <x:v>      border-collapse: collapse;</x:v>
      </x:c>
      <x:c r="C260" t="str"/>
    </x:row>
    <x:row r="261">
      <x:c r="A261" s="28" t="n">
        <x:v>258</x:v>
      </x:c>
      <x:c r="B261" s="52" t="str">
        <x:v>      background: white;</x:v>
      </x:c>
      <x:c r="C261" t="str"/>
    </x:row>
    <x:row r="262">
      <x:c r="A262" s="28" t="n">
        <x:v>259</x:v>
      </x:c>
      <x:c r="B262" s="52" t="str">
        <x:v>      border: 1px solid var(--line);</x:v>
      </x:c>
      <x:c r="C262" t="str"/>
    </x:row>
    <x:row r="263">
      <x:c r="A263" s="28" t="n">
        <x:v>260</x:v>
      </x:c>
      <x:c r="B263" s="52" t="str">
        <x:v>      border-radius: 8px;</x:v>
      </x:c>
      <x:c r="C263" t="str"/>
    </x:row>
    <x:row r="264">
      <x:c r="A264" s="28" t="n">
        <x:v>261</x:v>
      </x:c>
      <x:c r="B264" s="52" t="str">
        <x:v>      overflow: hidden;</x:v>
      </x:c>
      <x:c r="C264" t="str"/>
    </x:row>
    <x:row r="265">
      <x:c r="A265" s="28" t="n">
        <x:v>262</x:v>
      </x:c>
      <x:c r="B265" s="52" t="str">
        <x:v>      font-size: 13px;</x:v>
      </x:c>
      <x:c r="C265" t="str"/>
    </x:row>
    <x:row r="266">
      <x:c r="A266" s="28" t="n">
        <x:v>263</x:v>
      </x:c>
      <x:c r="B266" s="52" t="str">
        <x:v>    }</x:v>
      </x:c>
      <x:c r="C266" t="str"/>
    </x:row>
    <x:row r="267">
      <x:c r="A267" s="28" t="n">
        <x:v>264</x:v>
      </x:c>
      <x:c r="B267" s="52" t="str"/>
      <x:c r="C267" t="str"/>
    </x:row>
    <x:row r="268">
      <x:c r="A268" s="28" t="n">
        <x:v>265</x:v>
      </x:c>
      <x:c r="B268" s="52" t="str">
        <x:v>    th,</x:v>
      </x:c>
      <x:c r="C268" t="str"/>
    </x:row>
    <x:row r="269">
      <x:c r="A269" s="28" t="n">
        <x:v>266</x:v>
      </x:c>
      <x:c r="B269" s="52" t="str">
        <x:v>    td {</x:v>
      </x:c>
      <x:c r="C269" t="str"/>
    </x:row>
    <x:row r="270">
      <x:c r="A270" s="28" t="n">
        <x:v>267</x:v>
      </x:c>
      <x:c r="B270" s="52" t="str">
        <x:v>      padding: 9px 10px;</x:v>
      </x:c>
      <x:c r="C270" t="str"/>
    </x:row>
    <x:row r="271">
      <x:c r="A271" s="28" t="n">
        <x:v>268</x:v>
      </x:c>
      <x:c r="B271" s="52" t="str">
        <x:v>      border-bottom: 1px solid var(--line);</x:v>
      </x:c>
      <x:c r="C271" t="str"/>
    </x:row>
    <x:row r="272">
      <x:c r="A272" s="28" t="n">
        <x:v>269</x:v>
      </x:c>
      <x:c r="B272" s="52" t="str">
        <x:v>      text-align: left;</x:v>
      </x:c>
      <x:c r="C272" t="str"/>
    </x:row>
    <x:row r="273">
      <x:c r="A273" s="28" t="n">
        <x:v>270</x:v>
      </x:c>
      <x:c r="B273" s="52" t="str">
        <x:v>      vertical-align: top;</x:v>
      </x:c>
      <x:c r="C273" t="str"/>
    </x:row>
    <x:row r="274">
      <x:c r="A274" s="28" t="n">
        <x:v>271</x:v>
      </x:c>
      <x:c r="B274" s="52" t="str">
        <x:v>    }</x:v>
      </x:c>
      <x:c r="C274" t="str"/>
    </x:row>
    <x:row r="275">
      <x:c r="A275" s="28" t="n">
        <x:v>272</x:v>
      </x:c>
      <x:c r="B275" s="52" t="str"/>
      <x:c r="C275" t="str"/>
    </x:row>
    <x:row r="276">
      <x:c r="A276" s="28" t="n">
        <x:v>273</x:v>
      </x:c>
      <x:c r="B276" s="52" t="str">
        <x:v>    th {</x:v>
      </x:c>
      <x:c r="C276" t="str"/>
    </x:row>
    <x:row r="277">
      <x:c r="A277" s="28" t="n">
        <x:v>274</x:v>
      </x:c>
      <x:c r="B277" s="52" t="str">
        <x:v>      background: var(--wine);</x:v>
      </x:c>
      <x:c r="C277" t="str"/>
    </x:row>
    <x:row r="278">
      <x:c r="A278" s="28" t="n">
        <x:v>275</x:v>
      </x:c>
      <x:c r="B278" s="52" t="str">
        <x:v>      color: white;</x:v>
      </x:c>
      <x:c r="C278" t="str"/>
    </x:row>
    <x:row r="279">
      <x:c r="A279" s="28" t="n">
        <x:v>276</x:v>
      </x:c>
      <x:c r="B279" s="52" t="str">
        <x:v>      font-size: 12px;</x:v>
      </x:c>
      <x:c r="C279" t="str"/>
    </x:row>
    <x:row r="280">
      <x:c r="A280" s="28" t="n">
        <x:v>277</x:v>
      </x:c>
      <x:c r="B280" s="52" t="str">
        <x:v>    }</x:v>
      </x:c>
      <x:c r="C280" t="str"/>
    </x:row>
    <x:row r="281">
      <x:c r="A281" s="28" t="n">
        <x:v>278</x:v>
      </x:c>
      <x:c r="B281" s="52" t="str"/>
      <x:c r="C281" t="str"/>
    </x:row>
    <x:row r="282">
      <x:c r="A282" s="28" t="n">
        <x:v>279</x:v>
      </x:c>
      <x:c r="B282" s="52" t="str">
        <x:v>    tr:last-child td {</x:v>
      </x:c>
      <x:c r="C282" t="str"/>
    </x:row>
    <x:row r="283">
      <x:c r="A283" s="28" t="n">
        <x:v>280</x:v>
      </x:c>
      <x:c r="B283" s="52" t="str">
        <x:v>      border-bottom: 0;</x:v>
      </x:c>
      <x:c r="C283" t="str"/>
    </x:row>
    <x:row r="284">
      <x:c r="A284" s="28" t="n">
        <x:v>281</x:v>
      </x:c>
      <x:c r="B284" s="52" t="str">
        <x:v>    }</x:v>
      </x:c>
      <x:c r="C284" t="str"/>
    </x:row>
    <x:row r="285">
      <x:c r="A285" s="28" t="n">
        <x:v>282</x:v>
      </x:c>
      <x:c r="B285" s="52" t="str"/>
      <x:c r="C285" t="str"/>
    </x:row>
    <x:row r="286">
      <x:c r="A286" s="28" t="n">
        <x:v>283</x:v>
      </x:c>
      <x:c r="B286" s="52" t="str">
        <x:v>    .pill {</x:v>
      </x:c>
      <x:c r="C286" t="str"/>
    </x:row>
    <x:row r="287">
      <x:c r="A287" s="28" t="n">
        <x:v>284</x:v>
      </x:c>
      <x:c r="B287" s="52" t="str">
        <x:v>      display: inline-block;</x:v>
      </x:c>
      <x:c r="C287" t="str"/>
    </x:row>
    <x:row r="288">
      <x:c r="A288" s="28" t="n">
        <x:v>285</x:v>
      </x:c>
      <x:c r="B288" s="52" t="str">
        <x:v>      padding: 4px 7px;</x:v>
      </x:c>
      <x:c r="C288" t="str"/>
    </x:row>
    <x:row r="289">
      <x:c r="A289" s="28" t="n">
        <x:v>286</x:v>
      </x:c>
      <x:c r="B289" s="52" t="str">
        <x:v>      border-radius: 999px;</x:v>
      </x:c>
      <x:c r="C289" t="str"/>
    </x:row>
    <x:row r="290">
      <x:c r="A290" s="28" t="n">
        <x:v>287</x:v>
      </x:c>
      <x:c r="B290" s="52" t="str">
        <x:v>      font-size: 12px;</x:v>
      </x:c>
      <x:c r="C290" t="str"/>
    </x:row>
    <x:row r="291">
      <x:c r="A291" s="28" t="n">
        <x:v>288</x:v>
      </x:c>
      <x:c r="B291" s="52" t="str">
        <x:v>      font-weight: 700;</x:v>
      </x:c>
      <x:c r="C291" t="str"/>
    </x:row>
    <x:row r="292">
      <x:c r="A292" s="28" t="n">
        <x:v>289</x:v>
      </x:c>
      <x:c r="B292" s="52" t="str">
        <x:v>      background: var(--soft);</x:v>
      </x:c>
      <x:c r="C292" t="str"/>
    </x:row>
    <x:row r="293">
      <x:c r="A293" s="28" t="n">
        <x:v>290</x:v>
      </x:c>
      <x:c r="B293" s="52" t="str">
        <x:v>      color: var(--wine-dark);</x:v>
      </x:c>
      <x:c r="C293" t="str"/>
    </x:row>
    <x:row r="294">
      <x:c r="A294" s="28" t="n">
        <x:v>291</x:v>
      </x:c>
      <x:c r="B294" s="52" t="str">
        <x:v>    }</x:v>
      </x:c>
      <x:c r="C294" t="str"/>
    </x:row>
    <x:row r="295">
      <x:c r="A295" s="28" t="n">
        <x:v>292</x:v>
      </x:c>
      <x:c r="B295" s="52" t="str"/>
      <x:c r="C295" t="str"/>
    </x:row>
    <x:row r="296">
      <x:c r="A296" s="28" t="n">
        <x:v>293</x:v>
      </x:c>
      <x:c r="B296" s="52" t="str">
        <x:v>    .pill.green {</x:v>
      </x:c>
      <x:c r="C296" t="str"/>
    </x:row>
    <x:row r="297">
      <x:c r="A297" s="28" t="n">
        <x:v>294</x:v>
      </x:c>
      <x:c r="B297" s="52" t="str">
        <x:v>      background: #DCFCE7;</x:v>
      </x:c>
      <x:c r="C297" t="str"/>
    </x:row>
    <x:row r="298">
      <x:c r="A298" s="28" t="n">
        <x:v>295</x:v>
      </x:c>
      <x:c r="B298" s="52" t="str">
        <x:v>      color: var(--green);</x:v>
      </x:c>
      <x:c r="C298" t="str"/>
    </x:row>
    <x:row r="299">
      <x:c r="A299" s="28" t="n">
        <x:v>296</x:v>
      </x:c>
      <x:c r="B299" s="52" t="str">
        <x:v>    }</x:v>
      </x:c>
      <x:c r="C299" t="str"/>
    </x:row>
    <x:row r="300">
      <x:c r="A300" s="28" t="n">
        <x:v>297</x:v>
      </x:c>
      <x:c r="B300" s="52" t="str"/>
      <x:c r="C300" t="str"/>
    </x:row>
    <x:row r="301">
      <x:c r="A301" s="28" t="n">
        <x:v>298</x:v>
      </x:c>
      <x:c r="B301" s="52" t="str">
        <x:v>    .pill.amber {</x:v>
      </x:c>
      <x:c r="C301" t="str"/>
    </x:row>
    <x:row r="302">
      <x:c r="A302" s="28" t="n">
        <x:v>299</x:v>
      </x:c>
      <x:c r="B302" s="52" t="str">
        <x:v>      background: #FEF3C7;</x:v>
      </x:c>
      <x:c r="C302" t="str"/>
    </x:row>
    <x:row r="303">
      <x:c r="A303" s="28" t="n">
        <x:v>300</x:v>
      </x:c>
      <x:c r="B303" s="52" t="str">
        <x:v>      color: var(--amber);</x:v>
      </x:c>
      <x:c r="C303" t="str"/>
    </x:row>
    <x:row r="304">
      <x:c r="A304" s="28" t="n">
        <x:v>301</x:v>
      </x:c>
      <x:c r="B304" s="52" t="str">
        <x:v>    }</x:v>
      </x:c>
      <x:c r="C304" t="str"/>
    </x:row>
    <x:row r="305">
      <x:c r="A305" s="28" t="n">
        <x:v>302</x:v>
      </x:c>
      <x:c r="B305" s="52" t="str"/>
      <x:c r="C305" t="str"/>
    </x:row>
    <x:row r="306">
      <x:c r="A306" s="28" t="n">
        <x:v>303</x:v>
      </x:c>
      <x:c r="B306" s="52" t="str">
        <x:v>    .pill.red {</x:v>
      </x:c>
      <x:c r="C306" t="str"/>
    </x:row>
    <x:row r="307">
      <x:c r="A307" s="28" t="n">
        <x:v>304</x:v>
      </x:c>
      <x:c r="B307" s="52" t="str">
        <x:v>      background: #FEE2E2;</x:v>
      </x:c>
      <x:c r="C307" t="str"/>
    </x:row>
    <x:row r="308">
      <x:c r="A308" s="28" t="n">
        <x:v>305</x:v>
      </x:c>
      <x:c r="B308" s="52" t="str">
        <x:v>      color: var(--red);</x:v>
      </x:c>
      <x:c r="C308" t="str"/>
    </x:row>
    <x:row r="309">
      <x:c r="A309" s="28" t="n">
        <x:v>306</x:v>
      </x:c>
      <x:c r="B309" s="52" t="str">
        <x:v>    }</x:v>
      </x:c>
      <x:c r="C309" t="str"/>
    </x:row>
    <x:row r="310">
      <x:c r="A310" s="28" t="n">
        <x:v>307</x:v>
      </x:c>
      <x:c r="B310" s="52" t="str"/>
      <x:c r="C310" t="str"/>
    </x:row>
    <x:row r="311">
      <x:c r="A311" s="28" t="n">
        <x:v>308</x:v>
      </x:c>
      <x:c r="B311" s="52" t="str">
        <x:v>    .toolbar {</x:v>
      </x:c>
      <x:c r="C311" t="str"/>
    </x:row>
    <x:row r="312">
      <x:c r="A312" s="28" t="n">
        <x:v>309</x:v>
      </x:c>
      <x:c r="B312" s="52" t="str">
        <x:v>      display: flex;</x:v>
      </x:c>
      <x:c r="C312" t="str"/>
    </x:row>
    <x:row r="313">
      <x:c r="A313" s="28" t="n">
        <x:v>310</x:v>
      </x:c>
      <x:c r="B313" s="52" t="str">
        <x:v>      align-items: end;</x:v>
      </x:c>
      <x:c r="C313" t="str"/>
    </x:row>
    <x:row r="314">
      <x:c r="A314" s="28" t="n">
        <x:v>311</x:v>
      </x:c>
      <x:c r="B314" s="52" t="str">
        <x:v>      gap: 10px;</x:v>
      </x:c>
      <x:c r="C314" t="str"/>
    </x:row>
    <x:row r="315">
      <x:c r="A315" s="28" t="n">
        <x:v>312</x:v>
      </x:c>
      <x:c r="B315" s="52" t="str">
        <x:v>      flex-wrap: wrap;</x:v>
      </x:c>
      <x:c r="C315" t="str"/>
    </x:row>
    <x:row r="316">
      <x:c r="A316" s="28" t="n">
        <x:v>313</x:v>
      </x:c>
      <x:c r="B316" s="52" t="str">
        <x:v>      margin-bottom: 16px;</x:v>
      </x:c>
      <x:c r="C316" t="str"/>
    </x:row>
    <x:row r="317">
      <x:c r="A317" s="28" t="n">
        <x:v>314</x:v>
      </x:c>
      <x:c r="B317" s="52" t="str">
        <x:v>    }</x:v>
      </x:c>
      <x:c r="C317" t="str"/>
    </x:row>
    <x:row r="318">
      <x:c r="A318" s="28" t="n">
        <x:v>315</x:v>
      </x:c>
      <x:c r="B318" s="52" t="str"/>
      <x:c r="C318" t="str"/>
    </x:row>
    <x:row r="319">
      <x:c r="A319" s="28" t="n">
        <x:v>316</x:v>
      </x:c>
      <x:c r="B319" s="52" t="str">
        <x:v>    .toolbar .field {</x:v>
      </x:c>
      <x:c r="C319" t="str"/>
    </x:row>
    <x:row r="320">
      <x:c r="A320" s="28" t="n">
        <x:v>317</x:v>
      </x:c>
      <x:c r="B320" s="52" t="str">
        <x:v>      width: 180px;</x:v>
      </x:c>
      <x:c r="C320" t="str"/>
    </x:row>
    <x:row r="321">
      <x:c r="A321" s="28" t="n">
        <x:v>318</x:v>
      </x:c>
      <x:c r="B321" s="52" t="str">
        <x:v>    }</x:v>
      </x:c>
      <x:c r="C321" t="str"/>
    </x:row>
    <x:row r="322">
      <x:c r="A322" s="28" t="n">
        <x:v>319</x:v>
      </x:c>
      <x:c r="B322" s="52" t="str"/>
      <x:c r="C322" t="str"/>
    </x:row>
    <x:row r="323">
      <x:c r="A323" s="28" t="n">
        <x:v>320</x:v>
      </x:c>
      <x:c r="B323" s="52" t="str">
        <x:v>    .admin-section {</x:v>
      </x:c>
      <x:c r="C323" t="str"/>
    </x:row>
    <x:row r="324">
      <x:c r="A324" s="28" t="n">
        <x:v>321</x:v>
      </x:c>
      <x:c r="B324" s="52" t="str">
        <x:v>      margin-top: 18px;</x:v>
      </x:c>
      <x:c r="C324" t="str"/>
    </x:row>
    <x:row r="325">
      <x:c r="A325" s="28" t="n">
        <x:v>322</x:v>
      </x:c>
      <x:c r="B325" s="52" t="str">
        <x:v>    }</x:v>
      </x:c>
      <x:c r="C325" t="str"/>
    </x:row>
    <x:row r="326">
      <x:c r="A326" s="28" t="n">
        <x:v>323</x:v>
      </x:c>
      <x:c r="B326" s="52" t="str"/>
      <x:c r="C326" t="str"/>
    </x:row>
    <x:row r="327">
      <x:c r="A327" s="28" t="n">
        <x:v>324</x:v>
      </x:c>
      <x:c r="B327" s="52" t="str">
        <x:v>    .empty {</x:v>
      </x:c>
      <x:c r="C327" t="str"/>
    </x:row>
    <x:row r="328">
      <x:c r="A328" s="28" t="n">
        <x:v>325</x:v>
      </x:c>
      <x:c r="B328" s="52" t="str">
        <x:v>      padding: 18px;</x:v>
      </x:c>
      <x:c r="C328" t="str"/>
    </x:row>
    <x:row r="329">
      <x:c r="A329" s="28" t="n">
        <x:v>326</x:v>
      </x:c>
      <x:c r="B329" s="52" t="str">
        <x:v>      color: var(--muted);</x:v>
      </x:c>
      <x:c r="C329" t="str"/>
    </x:row>
    <x:row r="330">
      <x:c r="A330" s="28" t="n">
        <x:v>327</x:v>
      </x:c>
      <x:c r="B330" s="52" t="str">
        <x:v>      background: white;</x:v>
      </x:c>
      <x:c r="C330" t="str"/>
    </x:row>
    <x:row r="331">
      <x:c r="A331" s="28" t="n">
        <x:v>328</x:v>
      </x:c>
      <x:c r="B331" s="52" t="str">
        <x:v>      border: 1px dashed #D1D5DB;</x:v>
      </x:c>
      <x:c r="C331" t="str"/>
    </x:row>
    <x:row r="332">
      <x:c r="A332" s="28" t="n">
        <x:v>329</x:v>
      </x:c>
      <x:c r="B332" s="52" t="str">
        <x:v>      border-radius: 8px;</x:v>
      </x:c>
      <x:c r="C332" t="str"/>
    </x:row>
    <x:row r="333">
      <x:c r="A333" s="28" t="n">
        <x:v>330</x:v>
      </x:c>
      <x:c r="B333" s="52" t="str">
        <x:v>    }</x:v>
      </x:c>
      <x:c r="C333" t="str"/>
    </x:row>
    <x:row r="334">
      <x:c r="A334" s="28" t="n">
        <x:v>331</x:v>
      </x:c>
      <x:c r="B334" s="52" t="str"/>
      <x:c r="C334" t="str"/>
    </x:row>
    <x:row r="335">
      <x:c r="A335" s="28" t="n">
        <x:v>332</x:v>
      </x:c>
      <x:c r="B335" s="52" t="str">
        <x:v>    @media (max-width: 860px) {</x:v>
      </x:c>
      <x:c r="C335" t="str"/>
    </x:row>
    <x:row r="336">
      <x:c r="A336" s="28" t="n">
        <x:v>333</x:v>
      </x:c>
      <x:c r="B336" s="52" t="str">
        <x:v>      .layout,</x:v>
      </x:c>
      <x:c r="C336" t="str"/>
    </x:row>
    <x:row r="337">
      <x:c r="A337" s="28" t="n">
        <x:v>334</x:v>
      </x:c>
      <x:c r="B337" s="52" t="str">
        <x:v>      .row,</x:v>
      </x:c>
      <x:c r="C337" t="str"/>
    </x:row>
    <x:row r="338">
      <x:c r="A338" s="28" t="n">
        <x:v>335</x:v>
      </x:c>
      <x:c r="B338" s="52" t="str">
        <x:v>      .kpis {</x:v>
      </x:c>
      <x:c r="C338" t="str"/>
    </x:row>
    <x:row r="339">
      <x:c r="A339" s="28" t="n">
        <x:v>336</x:v>
      </x:c>
      <x:c r="B339" s="52" t="str">
        <x:v>        grid-template-columns: 1fr;</x:v>
      </x:c>
      <x:c r="C339" t="str"/>
    </x:row>
    <x:row r="340">
      <x:c r="A340" s="28" t="n">
        <x:v>337</x:v>
      </x:c>
      <x:c r="B340" s="52" t="str">
        <x:v>      }</x:v>
      </x:c>
      <x:c r="C340" t="str"/>
    </x:row>
    <x:row r="341">
      <x:c r="A341" s="28" t="n">
        <x:v>338</x:v>
      </x:c>
      <x:c r="B341" s="52" t="str"/>
      <x:c r="C341" t="str"/>
    </x:row>
    <x:row r="342">
      <x:c r="A342" s="28" t="n">
        <x:v>339</x:v>
      </x:c>
      <x:c r="B342" s="52" t="str">
        <x:v>      main {</x:v>
      </x:c>
      <x:c r="C342" t="str"/>
    </x:row>
    <x:row r="343">
      <x:c r="A343" s="28" t="n">
        <x:v>340</x:v>
      </x:c>
      <x:c r="B343" s="52" t="str">
        <x:v>        padding: 12px;</x:v>
      </x:c>
      <x:c r="C343" t="str"/>
    </x:row>
    <x:row r="344">
      <x:c r="A344" s="28" t="n">
        <x:v>341</x:v>
      </x:c>
      <x:c r="B344" s="52" t="str">
        <x:v>      }</x:v>
      </x:c>
      <x:c r="C344" t="str"/>
    </x:row>
    <x:row r="345">
      <x:c r="A345" s="28" t="n">
        <x:v>342</x:v>
      </x:c>
      <x:c r="B345" s="52" t="str"/>
      <x:c r="C345" t="str"/>
    </x:row>
    <x:row r="346">
      <x:c r="A346" s="28" t="n">
        <x:v>343</x:v>
      </x:c>
      <x:c r="B346" s="52" t="str">
        <x:v>      table {</x:v>
      </x:c>
      <x:c r="C346" t="str"/>
    </x:row>
    <x:row r="347">
      <x:c r="A347" s="28" t="n">
        <x:v>344</x:v>
      </x:c>
      <x:c r="B347" s="52" t="str">
        <x:v>        display: block;</x:v>
      </x:c>
      <x:c r="C347" t="str"/>
    </x:row>
    <x:row r="348">
      <x:c r="A348" s="28" t="n">
        <x:v>345</x:v>
      </x:c>
      <x:c r="B348" s="52" t="str">
        <x:v>        overflow-x: auto;</x:v>
      </x:c>
      <x:c r="C348" t="str"/>
    </x:row>
    <x:row r="349">
      <x:c r="A349" s="28" t="n">
        <x:v>346</x:v>
      </x:c>
      <x:c r="B349" s="52" t="str">
        <x:v>        white-space: nowrap;</x:v>
      </x:c>
      <x:c r="C349" t="str"/>
    </x:row>
    <x:row r="350">
      <x:c r="A350" s="28" t="n">
        <x:v>347</x:v>
      </x:c>
      <x:c r="B350" s="52" t="str">
        <x:v>      }</x:v>
      </x:c>
      <x:c r="C350" t="str"/>
    </x:row>
    <x:row r="351">
      <x:c r="A351" s="28" t="n">
        <x:v>348</x:v>
      </x:c>
      <x:c r="B351" s="52" t="str">
        <x:v>    }</x:v>
      </x:c>
      <x:c r="C351" t="str"/>
    </x:row>
    <x:row r="352">
      <x:c r="A352" s="28" t="n">
        <x:v>349</x:v>
      </x:c>
      <x:c r="B352" s="52" t="str">
        <x:v>  &lt;/style&gt;</x:v>
      </x:c>
      <x:c r="C352" t="str"/>
    </x:row>
    <x:row r="353">
      <x:c r="A353" s="28" t="n">
        <x:v>350</x:v>
      </x:c>
      <x:c r="B353" s="52" t="str">
        <x:v>&lt;/head&gt;</x:v>
      </x:c>
      <x:c r="C353" t="str"/>
    </x:row>
    <x:row r="354">
      <x:c r="A354" s="28" t="n">
        <x:v>351</x:v>
      </x:c>
      <x:c r="B354" s="52" t="str">
        <x:v>&lt;body&gt;</x:v>
      </x:c>
      <x:c r="C354" t="str"/>
    </x:row>
    <x:row r="355">
      <x:c r="A355" s="28" t="n">
        <x:v>352</x:v>
      </x:c>
      <x:c r="B355" s="52" t="str">
        <x:v>  &lt;header&gt;</x:v>
      </x:c>
      <x:c r="C355" t="str"/>
    </x:row>
    <x:row r="356">
      <x:c r="A356" s="28" t="n">
        <x:v>353</x:v>
      </x:c>
      <x:c r="B356" s="52" t="str">
        <x:v>    &lt;h1&gt;Présences et engagements&lt;/h1&gt;</x:v>
      </x:c>
      <x:c r="C356" t="str"/>
    </x:row>
    <x:row r="357">
      <x:c r="A357" s="28" t="n">
        <x:v>354</x:v>
      </x:c>
      <x:c r="B357" s="52" t="str">
        <x:v>    &lt;p&gt;Cayenne de Paris - réponses anticipées, excuses et suivi annuel&lt;/p&gt;</x:v>
      </x:c>
      <x:c r="C357" t="str"/>
    </x:row>
    <x:row r="358">
      <x:c r="A358" s="28" t="n">
        <x:v>355</x:v>
      </x:c>
      <x:c r="B358" s="52" t="str">
        <x:v>  &lt;/header&gt;</x:v>
      </x:c>
      <x:c r="C358" t="str"/>
    </x:row>
    <x:row r="359">
      <x:c r="A359" s="28" t="n">
        <x:v>356</x:v>
      </x:c>
      <x:c r="B359" s="52" t="str"/>
      <x:c r="C359" t="str"/>
    </x:row>
    <x:row r="360">
      <x:c r="A360" s="28" t="n">
        <x:v>357</x:v>
      </x:c>
      <x:c r="B360" s="52" t="str">
        <x:v>  &lt;main&gt;</x:v>
      </x:c>
      <x:c r="C360" t="str"/>
    </x:row>
    <x:row r="361">
      <x:c r="A361" s="28" t="n">
        <x:v>358</x:v>
      </x:c>
      <x:c r="B361" s="52" t="str">
        <x:v>    &lt;div class="tabs"&gt;</x:v>
      </x:c>
      <x:c r="C361" t="str"/>
    </x:row>
    <x:row r="362">
      <x:c r="A362" s="28" t="n">
        <x:v>359</x:v>
      </x:c>
      <x:c r="B362" s="52" t="str">
        <x:v>      &lt;button class="tab active" data-tab="public"&gt;Répondre&lt;/button&gt;</x:v>
      </x:c>
      <x:c r="C362" t="str"/>
    </x:row>
    <x:row r="363">
      <x:c r="A363" s="28" t="n">
        <x:v>360</x:v>
      </x:c>
      <x:c r="B363" s="52" t="str">
        <x:v>      &lt;button class="tab" data-tab="admin"&gt;Dashboard admin&lt;/button&gt;</x:v>
      </x:c>
      <x:c r="C363" t="str"/>
    </x:row>
    <x:row r="364">
      <x:c r="A364" s="28" t="n">
        <x:v>361</x:v>
      </x:c>
      <x:c r="B364" s="52" t="str">
        <x:v>    &lt;/div&gt;</x:v>
      </x:c>
      <x:c r="C364" t="str"/>
    </x:row>
    <x:row r="365">
      <x:c r="A365" s="28" t="n">
        <x:v>362</x:v>
      </x:c>
      <x:c r="B365" s="52" t="str"/>
      <x:c r="C365" t="str"/>
    </x:row>
    <x:row r="366">
      <x:c r="A366" s="28" t="n">
        <x:v>363</x:v>
      </x:c>
      <x:c r="B366" s="52" t="str">
        <x:v>    &lt;section id="public" class="panel active"&gt;</x:v>
      </x:c>
      <x:c r="C366" t="str"/>
    </x:row>
    <x:row r="367">
      <x:c r="A367" s="28" t="n">
        <x:v>364</x:v>
      </x:c>
      <x:c r="B367" s="52" t="str">
        <x:v>      &lt;form id="presenceForm" class="layout"&gt;</x:v>
      </x:c>
      <x:c r="C367" t="str"/>
    </x:row>
    <x:row r="368">
      <x:c r="A368" s="28" t="n">
        <x:v>365</x:v>
      </x:c>
      <x:c r="B368" s="52" t="str">
        <x:v>        &lt;div class="card"&gt;</x:v>
      </x:c>
      <x:c r="C368" t="str"/>
    </x:row>
    <x:row r="369">
      <x:c r="A369" s="28" t="n">
        <x:v>366</x:v>
      </x:c>
      <x:c r="B369" s="52" t="str">
        <x:v>          &lt;h2&gt;Votre identité&lt;/h2&gt;</x:v>
      </x:c>
      <x:c r="C369" t="str"/>
    </x:row>
    <x:row r="370">
      <x:c r="A370" s="28" t="n">
        <x:v>367</x:v>
      </x:c>
      <x:c r="B370" s="52" t="str">
        <x:v>          &lt;div class="row"&gt;</x:v>
      </x:c>
      <x:c r="C370" t="str"/>
    </x:row>
    <x:row r="371">
      <x:c r="A371" s="28" t="n">
        <x:v>368</x:v>
      </x:c>
      <x:c r="B371" s="52" t="str">
        <x:v>            &lt;div&gt;</x:v>
      </x:c>
      <x:c r="C371" t="str"/>
    </x:row>
    <x:row r="372">
      <x:c r="A372" s="28" t="n">
        <x:v>369</x:v>
      </x:c>
      <x:c r="B372" s="52" t="str">
        <x:v>              &lt;label for="nom"&gt;Nom&lt;/label&gt;</x:v>
      </x:c>
      <x:c r="C372" t="str"/>
    </x:row>
    <x:row r="373">
      <x:c r="A373" s="28" t="n">
        <x:v>370</x:v>
      </x:c>
      <x:c r="B373" s="52" t="str">
        <x:v>              &lt;input id="nom" name="nom" autocomplete="family-name" required&gt;</x:v>
      </x:c>
      <x:c r="C373" t="str"/>
    </x:row>
    <x:row r="374">
      <x:c r="A374" s="28" t="n">
        <x:v>371</x:v>
      </x:c>
      <x:c r="B374" s="52" t="str">
        <x:v>            &lt;/div&gt;</x:v>
      </x:c>
      <x:c r="C374" t="str"/>
    </x:row>
    <x:row r="375">
      <x:c r="A375" s="28" t="n">
        <x:v>372</x:v>
      </x:c>
      <x:c r="B375" s="52" t="str">
        <x:v>            &lt;div&gt;</x:v>
      </x:c>
      <x:c r="C375" t="str"/>
    </x:row>
    <x:row r="376">
      <x:c r="A376" s="28" t="n">
        <x:v>373</x:v>
      </x:c>
      <x:c r="B376" s="52" t="str">
        <x:v>              &lt;label for="prenom"&gt;Prénom&lt;/label&gt;</x:v>
      </x:c>
      <x:c r="C376" t="str"/>
    </x:row>
    <x:row r="377">
      <x:c r="A377" s="28" t="n">
        <x:v>374</x:v>
      </x:c>
      <x:c r="B377" s="52" t="str">
        <x:v>              &lt;input id="prenom" name="prenom" autocomplete="given-name" required&gt;</x:v>
      </x:c>
      <x:c r="C377" t="str"/>
    </x:row>
    <x:row r="378">
      <x:c r="A378" s="28" t="n">
        <x:v>375</x:v>
      </x:c>
      <x:c r="B378" s="52" t="str">
        <x:v>            &lt;/div&gt;</x:v>
      </x:c>
      <x:c r="C378" t="str"/>
    </x:row>
    <x:row r="379">
      <x:c r="A379" s="28" t="n">
        <x:v>376</x:v>
      </x:c>
      <x:c r="B379" s="52" t="str">
        <x:v>          &lt;/div&gt;</x:v>
      </x:c>
      <x:c r="C379" t="str"/>
    </x:row>
    <x:row r="380">
      <x:c r="A380" s="28" t="n">
        <x:v>377</x:v>
      </x:c>
      <x:c r="B380" s="52" t="str"/>
      <x:c r="C380" t="str"/>
    </x:row>
    <x:row r="381">
      <x:c r="A381" s="28" t="n">
        <x:v>378</x:v>
      </x:c>
      <x:c r="B381" s="52" t="str">
        <x:v>          &lt;div class="row"&gt;</x:v>
      </x:c>
      <x:c r="C381" t="str"/>
    </x:row>
    <x:row r="382">
      <x:c r="A382" s="28" t="n">
        <x:v>379</x:v>
      </x:c>
      <x:c r="B382" s="52" t="str">
        <x:v>            &lt;div&gt;</x:v>
      </x:c>
      <x:c r="C382" t="str"/>
    </x:row>
    <x:row r="383">
      <x:c r="A383" s="28" t="n">
        <x:v>380</x:v>
      </x:c>
      <x:c r="B383" s="52" t="str">
        <x:v>              &lt;label for="email"&gt;Email&lt;/label&gt;</x:v>
      </x:c>
      <x:c r="C383" t="str"/>
    </x:row>
    <x:row r="384">
      <x:c r="A384" s="28" t="n">
        <x:v>381</x:v>
      </x:c>
      <x:c r="B384" s="52" t="str">
        <x:v>              &lt;input id="email" name="email" type="email" autocomplete="email"&gt;</x:v>
      </x:c>
      <x:c r="C384" t="str"/>
    </x:row>
    <x:row r="385">
      <x:c r="A385" s="28" t="n">
        <x:v>382</x:v>
      </x:c>
      <x:c r="B385" s="52" t="str">
        <x:v>            &lt;/div&gt;</x:v>
      </x:c>
      <x:c r="C385" t="str"/>
    </x:row>
    <x:row r="386">
      <x:c r="A386" s="28" t="n">
        <x:v>383</x:v>
      </x:c>
      <x:c r="B386" s="52" t="str">
        <x:v>            &lt;div&gt;</x:v>
      </x:c>
      <x:c r="C386" t="str"/>
    </x:row>
    <x:row r="387">
      <x:c r="A387" s="28" t="n">
        <x:v>384</x:v>
      </x:c>
      <x:c r="B387" s="52" t="str">
        <x:v>              &lt;label for="telephone"&gt;Téléphone&lt;/label&gt;</x:v>
      </x:c>
      <x:c r="C387" t="str"/>
    </x:row>
    <x:row r="388">
      <x:c r="A388" s="28" t="n">
        <x:v>385</x:v>
      </x:c>
      <x:c r="B388" s="52" t="str">
        <x:v>              &lt;input id="telephone" name="telephone" autocomplete="tel"&gt;</x:v>
      </x:c>
      <x:c r="C388" t="str"/>
    </x:row>
    <x:row r="389">
      <x:c r="A389" s="28" t="n">
        <x:v>386</x:v>
      </x:c>
      <x:c r="B389" s="52" t="str">
        <x:v>            &lt;/div&gt;</x:v>
      </x:c>
      <x:c r="C389" t="str"/>
    </x:row>
    <x:row r="390">
      <x:c r="A390" s="28" t="n">
        <x:v>387</x:v>
      </x:c>
      <x:c r="B390" s="52" t="str">
        <x:v>          &lt;/div&gt;</x:v>
      </x:c>
      <x:c r="C390" t="str"/>
    </x:row>
    <x:row r="391">
      <x:c r="A391" s="28" t="n">
        <x:v>388</x:v>
      </x:c>
      <x:c r="B391" s="52" t="str"/>
      <x:c r="C391" t="str"/>
    </x:row>
    <x:row r="392">
      <x:c r="A392" s="28" t="n">
        <x:v>389</x:v>
      </x:c>
      <x:c r="B392" s="52" t="str">
        <x:v>          &lt;div class="row"&gt;</x:v>
      </x:c>
      <x:c r="C392" t="str"/>
    </x:row>
    <x:row r="393">
      <x:c r="A393" s="28" t="n">
        <x:v>390</x:v>
      </x:c>
      <x:c r="B393" s="52" t="str">
        <x:v>            &lt;div&gt;</x:v>
      </x:c>
      <x:c r="C393" t="str"/>
    </x:row>
    <x:row r="394">
      <x:c r="A394" s="28" t="n">
        <x:v>391</x:v>
      </x:c>
      <x:c r="B394" s="52" t="str">
        <x:v>              &lt;label for="statut"&gt;Statut&lt;/label&gt;</x:v>
      </x:c>
      <x:c r="C394" t="str"/>
    </x:row>
    <x:row r="395">
      <x:c r="A395" s="28" t="n">
        <x:v>392</x:v>
      </x:c>
      <x:c r="B395" s="52" t="str">
        <x:v>              &lt;select id="statut" name="statut" required&gt;&lt;/select&gt;</x:v>
      </x:c>
      <x:c r="C395" t="str"/>
    </x:row>
    <x:row r="396">
      <x:c r="A396" s="28" t="n">
        <x:v>393</x:v>
      </x:c>
      <x:c r="B396" s="52" t="str">
        <x:v>            &lt;/div&gt;</x:v>
      </x:c>
      <x:c r="C396" t="str"/>
    </x:row>
    <x:row r="397">
      <x:c r="A397" s="28" t="n">
        <x:v>394</x:v>
      </x:c>
      <x:c r="B397" s="52" t="str">
        <x:v>            &lt;div&gt;</x:v>
      </x:c>
      <x:c r="C397" t="str"/>
    </x:row>
    <x:row r="398">
      <x:c r="A398" s="28" t="n">
        <x:v>395</x:v>
      </x:c>
      <x:c r="B398" s="52" t="str">
        <x:v>              &lt;label for="cayenne"&gt;Cayenne&lt;/label&gt;</x:v>
      </x:c>
      <x:c r="C398" t="str"/>
    </x:row>
    <x:row r="399">
      <x:c r="A399" s="28" t="n">
        <x:v>396</x:v>
      </x:c>
      <x:c r="B399" s="52" t="str">
        <x:v>              &lt;select id="cayenne" name="cayenne" required&gt;&lt;/select&gt;</x:v>
      </x:c>
      <x:c r="C399" t="str"/>
    </x:row>
    <x:row r="400">
      <x:c r="A400" s="28" t="n">
        <x:v>397</x:v>
      </x:c>
      <x:c r="B400" s="52" t="str">
        <x:v>            &lt;/div&gt;</x:v>
      </x:c>
      <x:c r="C400" t="str"/>
    </x:row>
    <x:row r="401">
      <x:c r="A401" s="28" t="n">
        <x:v>398</x:v>
      </x:c>
      <x:c r="B401" s="52" t="str">
        <x:v>          &lt;/div&gt;</x:v>
      </x:c>
      <x:c r="C401" t="str"/>
    </x:row>
    <x:row r="402">
      <x:c r="A402" s="28" t="n">
        <x:v>399</x:v>
      </x:c>
      <x:c r="B402" s="52" t="str"/>
      <x:c r="C402" t="str"/>
    </x:row>
    <x:row r="403">
      <x:c r="A403" s="28" t="n">
        <x:v>400</x:v>
      </x:c>
      <x:c r="B403" s="52" t="str">
        <x:v>          &lt;label for="reponse"&gt;Je réponds pour les dates sélectionnées&lt;/label&gt;</x:v>
      </x:c>
      <x:c r="C403" t="str"/>
    </x:row>
    <x:row r="404">
      <x:c r="A404" s="28" t="n">
        <x:v>401</x:v>
      </x:c>
      <x:c r="B404" s="52" t="str">
        <x:v>          &lt;select id="reponse" name="reponse" required&gt;&lt;/select&gt;</x:v>
      </x:c>
      <x:c r="C404" t="str"/>
    </x:row>
    <x:row r="405">
      <x:c r="A405" s="28" t="n">
        <x:v>402</x:v>
      </x:c>
      <x:c r="B405" s="52" t="str"/>
      <x:c r="C405" t="str"/>
    </x:row>
    <x:row r="406">
      <x:c r="A406" s="28" t="n">
        <x:v>403</x:v>
      </x:c>
      <x:c r="B406" s="52" t="str">
        <x:v>          &lt;div id="absenceBlock"&gt;</x:v>
      </x:c>
      <x:c r="C406" t="str"/>
    </x:row>
    <x:row r="407">
      <x:c r="A407" s="28" t="n">
        <x:v>404</x:v>
      </x:c>
      <x:c r="B407" s="52" t="str">
        <x:v>            &lt;h3&gt;Cause d’absence&lt;/h3&gt;</x:v>
      </x:c>
      <x:c r="C407" t="str"/>
    </x:row>
    <x:row r="408">
      <x:c r="A408" s="28" t="n">
        <x:v>405</x:v>
      </x:c>
      <x:c r="B408" s="52" t="str">
        <x:v>            &lt;div id="causes" class="choices"&gt;&lt;/div&gt;</x:v>
      </x:c>
      <x:c r="C408" t="str"/>
    </x:row>
    <x:row r="409">
      <x:c r="A409" s="28" t="n">
        <x:v>406</x:v>
      </x:c>
      <x:c r="B409" s="52" t="str">
        <x:v>            &lt;label for="precision"&gt;Précision&lt;/label&gt;</x:v>
      </x:c>
      <x:c r="C409" t="str"/>
    </x:row>
    <x:row r="410">
      <x:c r="A410" s="28" t="n">
        <x:v>407</x:v>
      </x:c>
      <x:c r="B410" s="52" t="str">
        <x:v>            &lt;textarea id="precision" name="precision" placeholder="Exemple : travail UC ailleurs, réunion dans une autre Cayenne, service du soir..."&gt;&lt;/textarea&gt;</x:v>
      </x:c>
      <x:c r="C410" t="str"/>
    </x:row>
    <x:row r="411">
      <x:c r="A411" s="28" t="n">
        <x:v>408</x:v>
      </x:c>
      <x:c r="B411" s="52" t="str">
        <x:v>          &lt;/div&gt;</x:v>
      </x:c>
      <x:c r="C411" t="str"/>
    </x:row>
    <x:row r="412">
      <x:c r="A412" s="28" t="n">
        <x:v>409</x:v>
      </x:c>
      <x:c r="B412" s="52" t="str"/>
      <x:c r="C412" t="str"/>
    </x:row>
    <x:row r="413">
      <x:c r="A413" s="28" t="n">
        <x:v>410</x:v>
      </x:c>
      <x:c r="B413" s="52" t="str">
        <x:v>          &lt;div id="aidBlock"&gt;</x:v>
      </x:c>
      <x:c r="C413" t="str"/>
    </x:row>
    <x:row r="414">
      <x:c r="A414" s="28" t="n">
        <x:v>411</x:v>
      </x:c>
      <x:c r="B414" s="52" t="str">
        <x:v>            &lt;h3&gt;Disponibilité pour aider&lt;/h3&gt;</x:v>
      </x:c>
      <x:c r="C414" t="str"/>
    </x:row>
    <x:row r="415">
      <x:c r="A415" s="28" t="n">
        <x:v>412</x:v>
      </x:c>
      <x:c r="B415" s="52" t="str">
        <x:v>            &lt;div class="row"&gt;</x:v>
      </x:c>
      <x:c r="C415" t="str"/>
    </x:row>
    <x:row r="416">
      <x:c r="A416" s="28" t="n">
        <x:v>413</x:v>
      </x:c>
      <x:c r="B416" s="52" t="str">
        <x:v>              &lt;div&gt;</x:v>
      </x:c>
      <x:c r="C416" t="str"/>
    </x:row>
    <x:row r="417">
      <x:c r="A417" s="28" t="n">
        <x:v>414</x:v>
      </x:c>
      <x:c r="B417" s="52" t="str">
        <x:v>                &lt;label for="heureDebutAide"&gt;Début&lt;/label&gt;</x:v>
      </x:c>
      <x:c r="C417" t="str"/>
    </x:row>
    <x:row r="418">
      <x:c r="A418" s="28" t="n">
        <x:v>415</x:v>
      </x:c>
      <x:c r="B418" s="52" t="str">
        <x:v>                &lt;input id="heureDebutAide" name="heureDebutAide" type="time"&gt;</x:v>
      </x:c>
      <x:c r="C418" t="str"/>
    </x:row>
    <x:row r="419">
      <x:c r="A419" s="28" t="n">
        <x:v>416</x:v>
      </x:c>
      <x:c r="B419" s="52" t="str">
        <x:v>              &lt;/div&gt;</x:v>
      </x:c>
      <x:c r="C419" t="str"/>
    </x:row>
    <x:row r="420">
      <x:c r="A420" s="28" t="n">
        <x:v>417</x:v>
      </x:c>
      <x:c r="B420" s="52" t="str">
        <x:v>              &lt;div&gt;</x:v>
      </x:c>
      <x:c r="C420" t="str"/>
    </x:row>
    <x:row r="421">
      <x:c r="A421" s="28" t="n">
        <x:v>418</x:v>
      </x:c>
      <x:c r="B421" s="52" t="str">
        <x:v>                &lt;label for="heureFinAide"&gt;Fin&lt;/label&gt;</x:v>
      </x:c>
      <x:c r="C421" t="str"/>
    </x:row>
    <x:row r="422">
      <x:c r="A422" s="28" t="n">
        <x:v>419</x:v>
      </x:c>
      <x:c r="B422" s="52" t="str">
        <x:v>                &lt;input id="heureFinAide" name="heureFinAide" type="time"&gt;</x:v>
      </x:c>
      <x:c r="C422" t="str"/>
    </x:row>
    <x:row r="423">
      <x:c r="A423" s="28" t="n">
        <x:v>420</x:v>
      </x:c>
      <x:c r="B423" s="52" t="str">
        <x:v>              &lt;/div&gt;</x:v>
      </x:c>
      <x:c r="C423" t="str"/>
    </x:row>
    <x:row r="424">
      <x:c r="A424" s="28" t="n">
        <x:v>421</x:v>
      </x:c>
      <x:c r="B424" s="52" t="str">
        <x:v>            &lt;/div&gt;</x:v>
      </x:c>
      <x:c r="C424" t="str"/>
    </x:row>
    <x:row r="425">
      <x:c r="A425" s="28" t="n">
        <x:v>422</x:v>
      </x:c>
      <x:c r="B425" s="52" t="str">
        <x:v>          &lt;/div&gt;</x:v>
      </x:c>
      <x:c r="C425" t="str"/>
    </x:row>
    <x:row r="426">
      <x:c r="A426" s="28" t="n">
        <x:v>423</x:v>
      </x:c>
      <x:c r="B426" s="52" t="str"/>
      <x:c r="C426" t="str"/>
    </x:row>
    <x:row r="427">
      <x:c r="A427" s="28" t="n">
        <x:v>424</x:v>
      </x:c>
      <x:c r="B427" s="52" t="str">
        <x:v>          &lt;label for="commentaire"&gt;Commentaire&lt;/label&gt;</x:v>
      </x:c>
      <x:c r="C427" t="str"/>
    </x:row>
    <x:row r="428">
      <x:c r="A428" s="28" t="n">
        <x:v>425</x:v>
      </x:c>
      <x:c r="B428" s="52" t="str">
        <x:v>          &lt;textarea id="commentaire" name="commentaire"&gt;&lt;/textarea&gt;</x:v>
      </x:c>
      <x:c r="C428" t="str"/>
    </x:row>
    <x:row r="429">
      <x:c r="A429" s="28" t="n">
        <x:v>426</x:v>
      </x:c>
      <x:c r="B429" s="52" t="str">
        <x:v>        &lt;/div&gt;</x:v>
      </x:c>
      <x:c r="C429" t="str"/>
    </x:row>
    <x:row r="430">
      <x:c r="A430" s="28" t="n">
        <x:v>427</x:v>
      </x:c>
      <x:c r="B430" s="52" t="str"/>
      <x:c r="C430" t="str"/>
    </x:row>
    <x:row r="431">
      <x:c r="A431" s="28" t="n">
        <x:v>428</x:v>
      </x:c>
      <x:c r="B431" s="52" t="str">
        <x:v>        &lt;div class="card"&gt;</x:v>
      </x:c>
      <x:c r="C431" t="str"/>
    </x:row>
    <x:row r="432">
      <x:c r="A432" s="28" t="n">
        <x:v>429</x:v>
      </x:c>
      <x:c r="B432" s="52" t="str">
        <x:v>          &lt;h2&gt;Événements de l’année&lt;/h2&gt;</x:v>
      </x:c>
      <x:c r="C432" t="str"/>
    </x:row>
    <x:row r="433">
      <x:c r="A433" s="28" t="n">
        <x:v>430</x:v>
      </x:c>
      <x:c r="B433" s="52" t="str">
        <x:v>          &lt;div class="actions"&gt;</x:v>
      </x:c>
      <x:c r="C433" t="str"/>
    </x:row>
    <x:row r="434">
      <x:c r="A434" s="28" t="n">
        <x:v>431</x:v>
      </x:c>
      <x:c r="B434" s="52" t="str">
        <x:v>            &lt;button type="button" class="ghost" id="selectAll"&gt;Tout sélectionner&lt;/button&gt;</x:v>
      </x:c>
      <x:c r="C434" t="str"/>
    </x:row>
    <x:row r="435">
      <x:c r="A435" s="28" t="n">
        <x:v>432</x:v>
      </x:c>
      <x:c r="B435" s="52" t="str">
        <x:v>            &lt;button type="button" class="ghost" id="clearAll"&gt;Tout enlever&lt;/button&gt;</x:v>
      </x:c>
      <x:c r="C435" t="str"/>
    </x:row>
    <x:row r="436">
      <x:c r="A436" s="28" t="n">
        <x:v>433</x:v>
      </x:c>
      <x:c r="B436" s="52" t="str">
        <x:v>          &lt;/div&gt;</x:v>
      </x:c>
      <x:c r="C436" t="str"/>
    </x:row>
    <x:row r="437">
      <x:c r="A437" s="28" t="n">
        <x:v>434</x:v>
      </x:c>
      <x:c r="B437" s="52" t="str">
        <x:v>          &lt;div id="events" class="events" style="margin-top: 12px;"&gt;&lt;/div&gt;</x:v>
      </x:c>
      <x:c r="C437" t="str"/>
    </x:row>
    <x:row r="438">
      <x:c r="A438" s="28" t="n">
        <x:v>435</x:v>
      </x:c>
      <x:c r="B438" s="52" t="str">
        <x:v>          &lt;div class="actions"&gt;</x:v>
      </x:c>
      <x:c r="C438" t="str"/>
    </x:row>
    <x:row r="439">
      <x:c r="A439" s="28" t="n">
        <x:v>436</x:v>
      </x:c>
      <x:c r="B439" s="52" t="str">
        <x:v>            &lt;button id="submitBtn" type="submit"&gt;Enregistrer ma réponse&lt;/button&gt;</x:v>
      </x:c>
      <x:c r="C439" t="str"/>
    </x:row>
    <x:row r="440">
      <x:c r="A440" s="28" t="n">
        <x:v>437</x:v>
      </x:c>
      <x:c r="B440" s="52" t="str">
        <x:v>          &lt;/div&gt;</x:v>
      </x:c>
      <x:c r="C440" t="str"/>
    </x:row>
    <x:row r="441">
      <x:c r="A441" s="28" t="n">
        <x:v>438</x:v>
      </x:c>
      <x:c r="B441" s="52" t="str">
        <x:v>          &lt;div id="publicNotice" class="notice" hidden&gt;&lt;/div&gt;</x:v>
      </x:c>
      <x:c r="C441" t="str"/>
    </x:row>
    <x:row r="442">
      <x:c r="A442" s="28" t="n">
        <x:v>439</x:v>
      </x:c>
      <x:c r="B442" s="52" t="str">
        <x:v>        &lt;/div&gt;</x:v>
      </x:c>
      <x:c r="C442" t="str"/>
    </x:row>
    <x:row r="443">
      <x:c r="A443" s="28" t="n">
        <x:v>440</x:v>
      </x:c>
      <x:c r="B443" s="52" t="str">
        <x:v>      &lt;/form&gt;</x:v>
      </x:c>
      <x:c r="C443" t="str"/>
    </x:row>
    <x:row r="444">
      <x:c r="A444" s="28" t="n">
        <x:v>441</x:v>
      </x:c>
      <x:c r="B444" s="52" t="str">
        <x:v>    &lt;/section&gt;</x:v>
      </x:c>
      <x:c r="C444" t="str"/>
    </x:row>
    <x:row r="445">
      <x:c r="A445" s="28" t="n">
        <x:v>442</x:v>
      </x:c>
      <x:c r="B445" s="52" t="str"/>
      <x:c r="C445" t="str"/>
    </x:row>
    <x:row r="446">
      <x:c r="A446" s="28" t="n">
        <x:v>443</x:v>
      </x:c>
      <x:c r="B446" s="52" t="str">
        <x:v>    &lt;section id="admin" class="panel"&gt;</x:v>
      </x:c>
      <x:c r="C446" t="str"/>
    </x:row>
    <x:row r="447">
      <x:c r="A447" s="28" t="n">
        <x:v>444</x:v>
      </x:c>
      <x:c r="B447" s="52" t="str">
        <x:v>      &lt;div class="card"&gt;</x:v>
      </x:c>
      <x:c r="C447" t="str"/>
    </x:row>
    <x:row r="448">
      <x:c r="A448" s="28" t="n">
        <x:v>445</x:v>
      </x:c>
      <x:c r="B448" s="52" t="str">
        <x:v>        &lt;h2&gt;Dashboard annuel&lt;/h2&gt;</x:v>
      </x:c>
      <x:c r="C448" t="str"/>
    </x:row>
    <x:row r="449">
      <x:c r="A449" s="28" t="n">
        <x:v>446</x:v>
      </x:c>
      <x:c r="B449" s="52" t="str">
        <x:v>        &lt;div class="toolbar"&gt;</x:v>
      </x:c>
      <x:c r="C449" t="str"/>
    </x:row>
    <x:row r="450">
      <x:c r="A450" s="28" t="n">
        <x:v>447</x:v>
      </x:c>
      <x:c r="B450" s="52" t="str">
        <x:v>          &lt;div class="field"&gt;</x:v>
      </x:c>
      <x:c r="C450" t="str"/>
    </x:row>
    <x:row r="451">
      <x:c r="A451" s="28" t="n">
        <x:v>448</x:v>
      </x:c>
      <x:c r="B451" s="52" t="str">
        <x:v>            &lt;label for="adminPin"&gt;Code admin&lt;/label&gt;</x:v>
      </x:c>
      <x:c r="C451" t="str"/>
    </x:row>
    <x:row r="452">
      <x:c r="A452" s="28" t="n">
        <x:v>449</x:v>
      </x:c>
      <x:c r="B452" s="52" t="str">
        <x:v>            &lt;input id="adminPin" type="password" inputmode="numeric"&gt;</x:v>
      </x:c>
      <x:c r="C452" t="str"/>
    </x:row>
    <x:row r="453">
      <x:c r="A453" s="28" t="n">
        <x:v>450</x:v>
      </x:c>
      <x:c r="B453" s="52" t="str">
        <x:v>          &lt;/div&gt;</x:v>
      </x:c>
      <x:c r="C453" t="str"/>
    </x:row>
    <x:row r="454">
      <x:c r="A454" s="28" t="n">
        <x:v>451</x:v>
      </x:c>
      <x:c r="B454" s="52" t="str">
        <x:v>          &lt;div class="field"&gt;</x:v>
      </x:c>
      <x:c r="C454" t="str"/>
    </x:row>
    <x:row r="455">
      <x:c r="A455" s="28" t="n">
        <x:v>452</x:v>
      </x:c>
      <x:c r="B455" s="52" t="str">
        <x:v>            &lt;label for="adminYear"&gt;Année&lt;/label&gt;</x:v>
      </x:c>
      <x:c r="C455" t="str"/>
    </x:row>
    <x:row r="456">
      <x:c r="A456" s="28" t="n">
        <x:v>453</x:v>
      </x:c>
      <x:c r="B456" s="52" t="str">
        <x:v>            &lt;input id="adminYear" type="number" min="2020" max="2100"&gt;</x:v>
      </x:c>
      <x:c r="C456" t="str"/>
    </x:row>
    <x:row r="457">
      <x:c r="A457" s="28" t="n">
        <x:v>454</x:v>
      </x:c>
      <x:c r="B457" s="52" t="str">
        <x:v>          &lt;/div&gt;</x:v>
      </x:c>
      <x:c r="C457" t="str"/>
    </x:row>
    <x:row r="458">
      <x:c r="A458" s="28" t="n">
        <x:v>455</x:v>
      </x:c>
      <x:c r="B458" s="52" t="str">
        <x:v>          &lt;button id="loadDashboard" type="button"&gt;Charger&lt;/button&gt;</x:v>
      </x:c>
      <x:c r="C458" t="str"/>
    </x:row>
    <x:row r="459">
      <x:c r="A459" s="28" t="n">
        <x:v>456</x:v>
      </x:c>
      <x:c r="B459" s="52" t="str">
        <x:v>          &lt;button id="generateAll" class="secondary" type="button"&gt;Créer toutes les feuilles CR&lt;/button&gt;</x:v>
      </x:c>
      <x:c r="C459" t="str"/>
    </x:row>
    <x:row r="460">
      <x:c r="A460" s="28" t="n">
        <x:v>457</x:v>
      </x:c>
      <x:c r="B460" s="52" t="str">
        <x:v>        &lt;/div&gt;</x:v>
      </x:c>
      <x:c r="C460" t="str"/>
    </x:row>
    <x:row r="461">
      <x:c r="A461" s="28" t="n">
        <x:v>458</x:v>
      </x:c>
      <x:c r="B461" s="52" t="str">
        <x:v>        &lt;div id="adminNotice" class="notice" hidden&gt;&lt;/div&gt;</x:v>
      </x:c>
      <x:c r="C461" t="str"/>
    </x:row>
    <x:row r="462">
      <x:c r="A462" s="28" t="n">
        <x:v>459</x:v>
      </x:c>
      <x:c r="B462" s="52" t="str">
        <x:v>      &lt;/div&gt;</x:v>
      </x:c>
      <x:c r="C462" t="str"/>
    </x:row>
    <x:row r="463">
      <x:c r="A463" s="28" t="n">
        <x:v>460</x:v>
      </x:c>
      <x:c r="B463" s="52" t="str"/>
      <x:c r="C463" t="str"/>
    </x:row>
    <x:row r="464">
      <x:c r="A464" s="28" t="n">
        <x:v>461</x:v>
      </x:c>
      <x:c r="B464" s="52" t="str">
        <x:v>      &lt;div id="dashboardContent" class="admin-section"&gt;&lt;/div&gt;</x:v>
      </x:c>
      <x:c r="C464" t="str"/>
    </x:row>
    <x:row r="465">
      <x:c r="A465" s="28" t="n">
        <x:v>462</x:v>
      </x:c>
      <x:c r="B465" s="52" t="str">
        <x:v>    &lt;/section&gt;</x:v>
      </x:c>
      <x:c r="C465" t="str"/>
    </x:row>
    <x:row r="466">
      <x:c r="A466" s="28" t="n">
        <x:v>463</x:v>
      </x:c>
      <x:c r="B466" s="52" t="str">
        <x:v>  &lt;/main&gt;</x:v>
      </x:c>
      <x:c r="C466" t="str"/>
    </x:row>
    <x:row r="467">
      <x:c r="A467" s="28" t="n">
        <x:v>464</x:v>
      </x:c>
      <x:c r="B467" s="52" t="str"/>
      <x:c r="C467" t="str"/>
    </x:row>
    <x:row r="468">
      <x:c r="A468" s="28" t="n">
        <x:v>465</x:v>
      </x:c>
      <x:c r="B468" s="52" t="str">
        <x:v>  &lt;script&gt;</x:v>
      </x:c>
      <x:c r="C468" t="str"/>
    </x:row>
    <x:row r="469">
      <x:c r="A469" s="28" t="n">
        <x:v>466</x:v>
      </x:c>
      <x:c r="B469" s="52" t="str">
        <x:v>    const state = {</x:v>
      </x:c>
      <x:c r="C469" t="str"/>
    </x:row>
    <x:row r="470">
      <x:c r="A470" s="28" t="n">
        <x:v>467</x:v>
      </x:c>
      <x:c r="B470" s="52" t="str">
        <x:v>      config: null,</x:v>
      </x:c>
      <x:c r="C470" t="str"/>
    </x:row>
    <x:row r="471">
      <x:c r="A471" s="28" t="n">
        <x:v>468</x:v>
      </x:c>
      <x:c r="B471" s="52" t="str">
        <x:v>      dashboard: null,</x:v>
      </x:c>
      <x:c r="C471" t="str"/>
    </x:row>
    <x:row r="472">
      <x:c r="A472" s="28" t="n">
        <x:v>469</x:v>
      </x:c>
      <x:c r="B472" s="52" t="str">
        <x:v>      loading: false</x:v>
      </x:c>
      <x:c r="C472" t="str"/>
    </x:row>
    <x:row r="473">
      <x:c r="A473" s="28" t="n">
        <x:v>470</x:v>
      </x:c>
      <x:c r="B473" s="52" t="str">
        <x:v>    };</x:v>
      </x:c>
      <x:c r="C473" t="str"/>
    </x:row>
    <x:row r="474">
      <x:c r="A474" s="28" t="n">
        <x:v>471</x:v>
      </x:c>
      <x:c r="B474" s="52" t="str"/>
      <x:c r="C474" t="str"/>
    </x:row>
    <x:row r="475">
      <x:c r="A475" s="28" t="n">
        <x:v>472</x:v>
      </x:c>
      <x:c r="B475" s="52" t="str">
        <x:v>    document.querySelectorAll('.tab').forEach((button) =&gt; {</x:v>
      </x:c>
      <x:c r="C475" t="str"/>
    </x:row>
    <x:row r="476">
      <x:c r="A476" s="28" t="n">
        <x:v>473</x:v>
      </x:c>
      <x:c r="B476" s="52" t="str">
        <x:v>      button.addEventListener('click', () =&gt; {</x:v>
      </x:c>
      <x:c r="C476" t="str"/>
    </x:row>
    <x:row r="477">
      <x:c r="A477" s="28" t="n">
        <x:v>474</x:v>
      </x:c>
      <x:c r="B477" s="52" t="str">
        <x:v>        document.querySelectorAll('.tab').forEach((tab) =&gt; tab.classList.remove('active'));</x:v>
      </x:c>
      <x:c r="C477" t="str"/>
    </x:row>
    <x:row r="478">
      <x:c r="A478" s="28" t="n">
        <x:v>475</x:v>
      </x:c>
      <x:c r="B478" s="52" t="str">
        <x:v>        document.querySelectorAll('.panel').forEach((panel) =&gt; panel.classList.remove('active'));</x:v>
      </x:c>
      <x:c r="C478" t="str"/>
    </x:row>
    <x:row r="479">
      <x:c r="A479" s="28" t="n">
        <x:v>476</x:v>
      </x:c>
      <x:c r="B479" s="52" t="str">
        <x:v>        button.classList.add('active');</x:v>
      </x:c>
      <x:c r="C479" t="str"/>
    </x:row>
    <x:row r="480">
      <x:c r="A480" s="28" t="n">
        <x:v>477</x:v>
      </x:c>
      <x:c r="B480" s="52" t="str">
        <x:v>        document.getElementById(button.dataset.tab).classList.add('active');</x:v>
      </x:c>
      <x:c r="C480" t="str"/>
    </x:row>
    <x:row r="481">
      <x:c r="A481" s="28" t="n">
        <x:v>478</x:v>
      </x:c>
      <x:c r="B481" s="52" t="str">
        <x:v>      });</x:v>
      </x:c>
      <x:c r="C481" t="str"/>
    </x:row>
    <x:row r="482">
      <x:c r="A482" s="28" t="n">
        <x:v>479</x:v>
      </x:c>
      <x:c r="B482" s="52" t="str">
        <x:v>    });</x:v>
      </x:c>
      <x:c r="C482" t="str"/>
    </x:row>
    <x:row r="483">
      <x:c r="A483" s="28" t="n">
        <x:v>480</x:v>
      </x:c>
      <x:c r="B483" s="52" t="str"/>
      <x:c r="C483" t="str"/>
    </x:row>
    <x:row r="484">
      <x:c r="A484" s="28" t="n">
        <x:v>481</x:v>
      </x:c>
      <x:c r="B484" s="52" t="str">
        <x:v>    document.getElementById('reponse').addEventListener('change', updateConditionalBlocks);</x:v>
      </x:c>
      <x:c r="C484" t="str"/>
    </x:row>
    <x:row r="485">
      <x:c r="A485" s="28" t="n">
        <x:v>482</x:v>
      </x:c>
      <x:c r="B485" s="52" t="str">
        <x:v>    document.getElementById('selectAll').addEventListener('click', () =&gt; setAllEvents(true));</x:v>
      </x:c>
      <x:c r="C485" t="str"/>
    </x:row>
    <x:row r="486">
      <x:c r="A486" s="28" t="n">
        <x:v>483</x:v>
      </x:c>
      <x:c r="B486" s="52" t="str">
        <x:v>    document.getElementById('clearAll').addEventListener('click', () =&gt; setAllEvents(false));</x:v>
      </x:c>
      <x:c r="C486" t="str"/>
    </x:row>
    <x:row r="487">
      <x:c r="A487" s="28" t="n">
        <x:v>484</x:v>
      </x:c>
      <x:c r="B487" s="52" t="str">
        <x:v>    document.getElementById('presenceForm').addEventListener('submit', submitForm);</x:v>
      </x:c>
      <x:c r="C487" t="str"/>
    </x:row>
    <x:row r="488">
      <x:c r="A488" s="28" t="n">
        <x:v>485</x:v>
      </x:c>
      <x:c r="B488" s="52" t="str">
        <x:v>    document.getElementById('loadDashboard').addEventListener('click', loadDashboard);</x:v>
      </x:c>
      <x:c r="C488" t="str"/>
    </x:row>
    <x:row r="489">
      <x:c r="A489" s="28" t="n">
        <x:v>486</x:v>
      </x:c>
      <x:c r="B489" s="52" t="str">
        <x:v>    document.getElementById('generateAll').addEventListener('click', generateAllSheets);</x:v>
      </x:c>
      <x:c r="C489" t="str"/>
    </x:row>
    <x:row r="490">
      <x:c r="A490" s="28" t="n">
        <x:v>487</x:v>
      </x:c>
      <x:c r="B490" s="52" t="str"/>
      <x:c r="C490" t="str"/>
    </x:row>
    <x:row r="491">
      <x:c r="A491" s="28" t="n">
        <x:v>488</x:v>
      </x:c>
      <x:c r="B491" s="52" t="str">
        <x:v>    init();</x:v>
      </x:c>
      <x:c r="C491" t="str"/>
    </x:row>
    <x:row r="492">
      <x:c r="A492" s="28" t="n">
        <x:v>489</x:v>
      </x:c>
      <x:c r="B492" s="52" t="str"/>
      <x:c r="C492" t="str"/>
    </x:row>
    <x:row r="493">
      <x:c r="A493" s="28" t="n">
        <x:v>490</x:v>
      </x:c>
      <x:c r="B493" s="52" t="str">
        <x:v>    function init() {</x:v>
      </x:c>
      <x:c r="C493" t="str"/>
    </x:row>
    <x:row r="494">
      <x:c r="A494" s="28" t="n">
        <x:v>491</x:v>
      </x:c>
      <x:c r="B494" s="52" t="str">
        <x:v>      google.script.run</x:v>
      </x:c>
      <x:c r="C494" t="str"/>
    </x:row>
    <x:row r="495">
      <x:c r="A495" s="28" t="n">
        <x:v>492</x:v>
      </x:c>
      <x:c r="B495" s="52" t="str">
        <x:v>        .withSuccessHandler((config) =&gt; {</x:v>
      </x:c>
      <x:c r="C495" t="str"/>
    </x:row>
    <x:row r="496">
      <x:c r="A496" s="28" t="n">
        <x:v>493</x:v>
      </x:c>
      <x:c r="B496" s="52" t="str">
        <x:v>          state.config = config;</x:v>
      </x:c>
      <x:c r="C496" t="str"/>
    </x:row>
    <x:row r="497">
      <x:c r="A497" s="28" t="n">
        <x:v>494</x:v>
      </x:c>
      <x:c r="B497" s="52" t="str">
        <x:v>          fillSelect('statut', config.statuses);</x:v>
      </x:c>
      <x:c r="C497" t="str"/>
    </x:row>
    <x:row r="498">
      <x:c r="A498" s="28" t="n">
        <x:v>495</x:v>
      </x:c>
      <x:c r="B498" s="52" t="str">
        <x:v>          fillSelect('cayenne', config.cayennes);</x:v>
      </x:c>
      <x:c r="C498" t="str"/>
    </x:row>
    <x:row r="499">
      <x:c r="A499" s="28" t="n">
        <x:v>496</x:v>
      </x:c>
      <x:c r="B499" s="52" t="str">
        <x:v>          fillSelect('reponse', config.responseTypes);</x:v>
      </x:c>
      <x:c r="C499" t="str"/>
    </x:row>
    <x:row r="500">
      <x:c r="A500" s="28" t="n">
        <x:v>497</x:v>
      </x:c>
      <x:c r="B500" s="52" t="str">
        <x:v>          document.getElementById('adminYear').value = config.activeYear;</x:v>
      </x:c>
      <x:c r="C500" t="str"/>
    </x:row>
    <x:row r="501">
      <x:c r="A501" s="28" t="n">
        <x:v>498</x:v>
      </x:c>
      <x:c r="B501" s="52" t="str">
        <x:v>          renderCauses(config.causes);</x:v>
      </x:c>
      <x:c r="C501" t="str"/>
    </x:row>
    <x:row r="502">
      <x:c r="A502" s="28" t="n">
        <x:v>499</x:v>
      </x:c>
      <x:c r="B502" s="52" t="str">
        <x:v>          renderEvents(config.events);</x:v>
      </x:c>
      <x:c r="C502" t="str"/>
    </x:row>
    <x:row r="503">
      <x:c r="A503" s="28" t="n">
        <x:v>500</x:v>
      </x:c>
      <x:c r="B503" s="52" t="str">
        <x:v>          updateConditionalBlocks();</x:v>
      </x:c>
      <x:c r="C503" t="str"/>
    </x:row>
    <x:row r="504">
      <x:c r="A504" s="28" t="n">
        <x:v>501</x:v>
      </x:c>
      <x:c r="B504" s="52" t="str">
        <x:v>        })</x:v>
      </x:c>
      <x:c r="C504" t="str"/>
    </x:row>
    <x:row r="505">
      <x:c r="A505" s="28" t="n">
        <x:v>502</x:v>
      </x:c>
      <x:c r="B505" s="52" t="str">
        <x:v>        .withFailureHandler((error) =&gt; showNotice('publicNotice', error.message || error, 'error'))</x:v>
      </x:c>
      <x:c r="C505" t="str"/>
    </x:row>
    <x:row r="506">
      <x:c r="A506" s="28" t="n">
        <x:v>503</x:v>
      </x:c>
      <x:c r="B506" s="52" t="str">
        <x:v>        .getPublicConfig();</x:v>
      </x:c>
      <x:c r="C506" t="str"/>
    </x:row>
    <x:row r="507">
      <x:c r="A507" s="28" t="n">
        <x:v>504</x:v>
      </x:c>
      <x:c r="B507" s="52" t="str">
        <x:v>    }</x:v>
      </x:c>
      <x:c r="C507" t="str"/>
    </x:row>
    <x:row r="508">
      <x:c r="A508" s="28" t="n">
        <x:v>505</x:v>
      </x:c>
      <x:c r="B508" s="52" t="str"/>
      <x:c r="C508" t="str"/>
    </x:row>
    <x:row r="509">
      <x:c r="A509" s="28" t="n">
        <x:v>506</x:v>
      </x:c>
      <x:c r="B509" s="52" t="str">
        <x:v>    function fillSelect(id, values) {</x:v>
      </x:c>
      <x:c r="C509" t="str"/>
    </x:row>
    <x:row r="510">
      <x:c r="A510" s="28" t="n">
        <x:v>507</x:v>
      </x:c>
      <x:c r="B510" s="52" t="str">
        <x:v>      const select = document.getElementById(id);</x:v>
      </x:c>
      <x:c r="C510" t="str"/>
    </x:row>
    <x:row r="511">
      <x:c r="A511" s="28" t="n">
        <x:v>508</x:v>
      </x:c>
      <x:c r="B511" s="52" t="str">
        <x:v>      select.innerHTML = '&lt;option value=""&gt;Choisir&lt;/option&gt;' + values.map((value) =&gt; {</x:v>
      </x:c>
      <x:c r="C511" t="str"/>
    </x:row>
    <x:row r="512">
      <x:c r="A512" s="28" t="n">
        <x:v>509</x:v>
      </x:c>
      <x:c r="B512" s="52" t="str">
        <x:v>        return `&lt;option value="${escapeHtml(value)}"&gt;${escapeHtml(value)}&lt;/option&gt;`;</x:v>
      </x:c>
      <x:c r="C512" t="str"/>
    </x:row>
    <x:row r="513">
      <x:c r="A513" s="28" t="n">
        <x:v>510</x:v>
      </x:c>
      <x:c r="B513" s="52" t="str">
        <x:v>      }).join('');</x:v>
      </x:c>
      <x:c r="C513" t="str"/>
    </x:row>
    <x:row r="514">
      <x:c r="A514" s="28" t="n">
        <x:v>511</x:v>
      </x:c>
      <x:c r="B514" s="52" t="str">
        <x:v>    }</x:v>
      </x:c>
      <x:c r="C514" t="str"/>
    </x:row>
    <x:row r="515">
      <x:c r="A515" s="28" t="n">
        <x:v>512</x:v>
      </x:c>
      <x:c r="B515" s="52" t="str"/>
      <x:c r="C515" t="str"/>
    </x:row>
    <x:row r="516">
      <x:c r="A516" s="28" t="n">
        <x:v>513</x:v>
      </x:c>
      <x:c r="B516" s="52" t="str">
        <x:v>    function renderCauses(causes) {</x:v>
      </x:c>
      <x:c r="C516" t="str"/>
    </x:row>
    <x:row r="517">
      <x:c r="A517" s="28" t="n">
        <x:v>514</x:v>
      </x:c>
      <x:c r="B517" s="52" t="str">
        <x:v>      const container = document.getElementById('causes');</x:v>
      </x:c>
      <x:c r="C517" t="str"/>
    </x:row>
    <x:row r="518">
      <x:c r="A518" s="28" t="n">
        <x:v>515</x:v>
      </x:c>
      <x:c r="B518" s="52" t="str">
        <x:v>      container.innerHTML = causes.map((cause, index) =&gt; {</x:v>
      </x:c>
      <x:c r="C518" t="str"/>
    </x:row>
    <x:row r="519">
      <x:c r="A519" s="28" t="n">
        <x:v>516</x:v>
      </x:c>
      <x:c r="B519" s="52" t="str">
        <x:v>        return `</x:v>
      </x:c>
      <x:c r="C519" t="str"/>
    </x:row>
    <x:row r="520">
      <x:c r="A520" s="28" t="n">
        <x:v>517</x:v>
      </x:c>
      <x:c r="B520" s="52" t="str">
        <x:v>          &lt;label class="choice" for="cause_${index}"&gt;</x:v>
      </x:c>
      <x:c r="C520" t="str"/>
    </x:row>
    <x:row r="521">
      <x:c r="A521" s="28" t="n">
        <x:v>518</x:v>
      </x:c>
      <x:c r="B521" s="52" t="str">
        <x:v>            &lt;input id="cause_${index}" type="checkbox" name="causes" value="${escapeHtml(cause)}"&gt;</x:v>
      </x:c>
      <x:c r="C521" t="str"/>
    </x:row>
    <x:row r="522">
      <x:c r="A522" s="28" t="n">
        <x:v>519</x:v>
      </x:c>
      <x:c r="B522" s="52" t="str">
        <x:v>            &lt;span&gt;${escapeHtml(cause)}&lt;/span&gt;</x:v>
      </x:c>
      <x:c r="C522" t="str"/>
    </x:row>
    <x:row r="523">
      <x:c r="A523" s="28" t="n">
        <x:v>520</x:v>
      </x:c>
      <x:c r="B523" s="52" t="str">
        <x:v>          &lt;/label&gt;</x:v>
      </x:c>
      <x:c r="C523" t="str"/>
    </x:row>
    <x:row r="524">
      <x:c r="A524" s="28" t="n">
        <x:v>521</x:v>
      </x:c>
      <x:c r="B524" s="52" t="str">
        <x:v>        `;</x:v>
      </x:c>
      <x:c r="C524" t="str"/>
    </x:row>
    <x:row r="525">
      <x:c r="A525" s="28" t="n">
        <x:v>522</x:v>
      </x:c>
      <x:c r="B525" s="52" t="str">
        <x:v>      }).join('');</x:v>
      </x:c>
      <x:c r="C525" t="str"/>
    </x:row>
    <x:row r="526">
      <x:c r="A526" s="28" t="n">
        <x:v>523</x:v>
      </x:c>
      <x:c r="B526" s="52" t="str">
        <x:v>    }</x:v>
      </x:c>
      <x:c r="C526" t="str"/>
    </x:row>
    <x:row r="527">
      <x:c r="A527" s="28" t="n">
        <x:v>524</x:v>
      </x:c>
      <x:c r="B527" s="52" t="str"/>
      <x:c r="C527" t="str"/>
    </x:row>
    <x:row r="528">
      <x:c r="A528" s="28" t="n">
        <x:v>525</x:v>
      </x:c>
      <x:c r="B528" s="52" t="str">
        <x:v>    function renderEvents(events) {</x:v>
      </x:c>
      <x:c r="C528" t="str"/>
    </x:row>
    <x:row r="529">
      <x:c r="A529" s="28" t="n">
        <x:v>526</x:v>
      </x:c>
      <x:c r="B529" s="52" t="str">
        <x:v>      const container = document.getElementById('events');</x:v>
      </x:c>
      <x:c r="C529" t="str"/>
    </x:row>
    <x:row r="530">
      <x:c r="A530" s="28" t="n">
        <x:v>527</x:v>
      </x:c>
      <x:c r="B530" s="52" t="str">
        <x:v>      if (!events.length) {</x:v>
      </x:c>
      <x:c r="C530" t="str"/>
    </x:row>
    <x:row r="531">
      <x:c r="A531" s="28" t="n">
        <x:v>528</x:v>
      </x:c>
      <x:c r="B531" s="52" t="str">
        <x:v>        container.innerHTML = '&lt;div class="empty"&gt;Aucun événement actif dans le calendrier.&lt;/div&gt;';</x:v>
      </x:c>
      <x:c r="C531" t="str"/>
    </x:row>
    <x:row r="532">
      <x:c r="A532" s="28" t="n">
        <x:v>529</x:v>
      </x:c>
      <x:c r="B532" s="52" t="str">
        <x:v>        return;</x:v>
      </x:c>
      <x:c r="C532" t="str"/>
    </x:row>
    <x:row r="533">
      <x:c r="A533" s="28" t="n">
        <x:v>530</x:v>
      </x:c>
      <x:c r="B533" s="52" t="str">
        <x:v>      }</x:v>
      </x:c>
      <x:c r="C533" t="str"/>
    </x:row>
    <x:row r="534">
      <x:c r="A534" s="28" t="n">
        <x:v>531</x:v>
      </x:c>
      <x:c r="B534" s="52" t="str">
        <x:v>      container.innerHTML = events.map((event) =&gt; {</x:v>
      </x:c>
      <x:c r="C534" t="str"/>
    </x:row>
    <x:row r="535">
      <x:c r="A535" s="28" t="n">
        <x:v>532</x:v>
      </x:c>
      <x:c r="B535" s="52" t="str">
        <x:v>        return `</x:v>
      </x:c>
      <x:c r="C535" t="str"/>
    </x:row>
    <x:row r="536">
      <x:c r="A536" s="28" t="n">
        <x:v>533</x:v>
      </x:c>
      <x:c r="B536" s="52" t="str">
        <x:v>          &lt;label class="event"&gt;</x:v>
      </x:c>
      <x:c r="C536" t="str"/>
    </x:row>
    <x:row r="537">
      <x:c r="A537" s="28" t="n">
        <x:v>534</x:v>
      </x:c>
      <x:c r="B537" s="52" t="str">
        <x:v>            &lt;input type="checkbox" name="eventIds" value="${escapeHtml(event.id)}"&gt;</x:v>
      </x:c>
      <x:c r="C537" t="str"/>
    </x:row>
    <x:row r="538">
      <x:c r="A538" s="28" t="n">
        <x:v>535</x:v>
      </x:c>
      <x:c r="B538" s="52" t="str">
        <x:v>            &lt;span&gt;</x:v>
      </x:c>
      <x:c r="C538" t="str"/>
    </x:row>
    <x:row r="539">
      <x:c r="A539" s="28" t="n">
        <x:v>536</x:v>
      </x:c>
      <x:c r="B539" s="52" t="str">
        <x:v>              &lt;strong&gt;${escapeHtml(event.title)}&lt;/strong&gt;</x:v>
      </x:c>
      <x:c r="C539" t="str"/>
    </x:row>
    <x:row r="540">
      <x:c r="A540" s="28" t="n">
        <x:v>537</x:v>
      </x:c>
      <x:c r="B540" s="52" t="str">
        <x:v>              &lt;span class="meta"&gt;${escapeHtml(event.date)} - ${escapeHtml(event.type)} - ${escapeHtml(event.start || '')}${event.end ? ' à ' + escapeHtml(event.end) : ''}&lt;/span&gt;</x:v>
      </x:c>
      <x:c r="C540" t="str"/>
    </x:row>
    <x:row r="541">
      <x:c r="A541" s="28" t="n">
        <x:v>538</x:v>
      </x:c>
      <x:c r="B541" s="52" t="str">
        <x:v>            &lt;/span&gt;</x:v>
      </x:c>
      <x:c r="C541" t="str"/>
    </x:row>
    <x:row r="542">
      <x:c r="A542" s="28" t="n">
        <x:v>539</x:v>
      </x:c>
      <x:c r="B542" s="52" t="str">
        <x:v>          &lt;/label&gt;</x:v>
      </x:c>
      <x:c r="C542" t="str"/>
    </x:row>
    <x:row r="543">
      <x:c r="A543" s="28" t="n">
        <x:v>540</x:v>
      </x:c>
      <x:c r="B543" s="52" t="str">
        <x:v>        `;</x:v>
      </x:c>
      <x:c r="C543" t="str"/>
    </x:row>
    <x:row r="544">
      <x:c r="A544" s="28" t="n">
        <x:v>541</x:v>
      </x:c>
      <x:c r="B544" s="52" t="str">
        <x:v>      }).join('');</x:v>
      </x:c>
      <x:c r="C544" t="str"/>
    </x:row>
    <x:row r="545">
      <x:c r="A545" s="28" t="n">
        <x:v>542</x:v>
      </x:c>
      <x:c r="B545" s="52" t="str">
        <x:v>    }</x:v>
      </x:c>
      <x:c r="C545" t="str"/>
    </x:row>
    <x:row r="546">
      <x:c r="A546" s="28" t="n">
        <x:v>543</x:v>
      </x:c>
      <x:c r="B546" s="52" t="str"/>
      <x:c r="C546" t="str"/>
    </x:row>
    <x:row r="547">
      <x:c r="A547" s="28" t="n">
        <x:v>544</x:v>
      </x:c>
      <x:c r="B547" s="52" t="str">
        <x:v>    function updateConditionalBlocks() {</x:v>
      </x:c>
      <x:c r="C547" t="str"/>
    </x:row>
    <x:row r="548">
      <x:c r="A548" s="28" t="n">
        <x:v>545</x:v>
      </x:c>
      <x:c r="B548" s="52" t="str">
        <x:v>      const value = document.getElementById('reponse').value;</x:v>
      </x:c>
      <x:c r="C548" t="str"/>
    </x:row>
    <x:row r="549">
      <x:c r="A549" s="28" t="n">
        <x:v>546</x:v>
      </x:c>
      <x:c r="B549" s="52" t="str">
        <x:v>      document.getElementById('absenceBlock').style.display = value === 'Absent excusé' ? 'block' : 'none';</x:v>
      </x:c>
      <x:c r="C549" t="str"/>
    </x:row>
    <x:row r="550">
      <x:c r="A550" s="28" t="n">
        <x:v>547</x:v>
      </x:c>
      <x:c r="B550" s="52" t="str">
        <x:v>      document.getElementById('aidBlock').style.display = value === 'Disponible pour aider' ? 'block' : 'none';</x:v>
      </x:c>
      <x:c r="C550" t="str"/>
    </x:row>
    <x:row r="551">
      <x:c r="A551" s="28" t="n">
        <x:v>548</x:v>
      </x:c>
      <x:c r="B551" s="52" t="str">
        <x:v>    }</x:v>
      </x:c>
      <x:c r="C551" t="str"/>
    </x:row>
    <x:row r="552">
      <x:c r="A552" s="28" t="n">
        <x:v>549</x:v>
      </x:c>
      <x:c r="B552" s="52" t="str"/>
      <x:c r="C552" t="str"/>
    </x:row>
    <x:row r="553">
      <x:c r="A553" s="28" t="n">
        <x:v>550</x:v>
      </x:c>
      <x:c r="B553" s="52" t="str">
        <x:v>    function setAllEvents(checked) {</x:v>
      </x:c>
      <x:c r="C553" t="str"/>
    </x:row>
    <x:row r="554">
      <x:c r="A554" s="28" t="n">
        <x:v>551</x:v>
      </x:c>
      <x:c r="B554" s="52" t="str">
        <x:v>      document.querySelectorAll('input[name="eventIds"]').forEach((input) =&gt; {</x:v>
      </x:c>
      <x:c r="C554" t="str"/>
    </x:row>
    <x:row r="555">
      <x:c r="A555" s="28" t="n">
        <x:v>552</x:v>
      </x:c>
      <x:c r="B555" s="52" t="str">
        <x:v>        input.checked = checked;</x:v>
      </x:c>
      <x:c r="C555" t="str"/>
    </x:row>
    <x:row r="556">
      <x:c r="A556" s="28" t="n">
        <x:v>553</x:v>
      </x:c>
      <x:c r="B556" s="52" t="str">
        <x:v>      });</x:v>
      </x:c>
      <x:c r="C556" t="str"/>
    </x:row>
    <x:row r="557">
      <x:c r="A557" s="28" t="n">
        <x:v>554</x:v>
      </x:c>
      <x:c r="B557" s="52" t="str">
        <x:v>    }</x:v>
      </x:c>
      <x:c r="C557" t="str"/>
    </x:row>
    <x:row r="558">
      <x:c r="A558" s="28" t="n">
        <x:v>555</x:v>
      </x:c>
      <x:c r="B558" s="52" t="str"/>
      <x:c r="C558" t="str"/>
    </x:row>
    <x:row r="559">
      <x:c r="A559" s="28" t="n">
        <x:v>556</x:v>
      </x:c>
      <x:c r="B559" s="52" t="str">
        <x:v>    function submitForm(event) {</x:v>
      </x:c>
      <x:c r="C559" t="str"/>
    </x:row>
    <x:row r="560">
      <x:c r="A560" s="28" t="n">
        <x:v>557</x:v>
      </x:c>
      <x:c r="B560" s="52" t="str">
        <x:v>      event.preventDefault();</x:v>
      </x:c>
      <x:c r="C560" t="str"/>
    </x:row>
    <x:row r="561">
      <x:c r="A561" s="28" t="n">
        <x:v>558</x:v>
      </x:c>
      <x:c r="B561" s="52" t="str">
        <x:v>      setLoading(true, 'submitBtn');</x:v>
      </x:c>
      <x:c r="C561" t="str"/>
    </x:row>
    <x:row r="562">
      <x:c r="A562" s="28" t="n">
        <x:v>559</x:v>
      </x:c>
      <x:c r="B562" s="52" t="str">
        <x:v>      const form = document.getElementById('presenceForm');</x:v>
      </x:c>
      <x:c r="C562" t="str"/>
    </x:row>
    <x:row r="563">
      <x:c r="A563" s="28" t="n">
        <x:v>560</x:v>
      </x:c>
      <x:c r="B563" s="52" t="str">
        <x:v>      const formData = new FormData(form);</x:v>
      </x:c>
      <x:c r="C563" t="str"/>
    </x:row>
    <x:row r="564">
      <x:c r="A564" s="28" t="n">
        <x:v>561</x:v>
      </x:c>
      <x:c r="B564" s="52" t="str">
        <x:v>      const eventIds = Array.from(document.querySelectorAll('input[name="eventIds"]:checked')).map((input) =&gt; input.value);</x:v>
      </x:c>
      <x:c r="C564" t="str"/>
    </x:row>
    <x:row r="565">
      <x:c r="A565" s="28" t="n">
        <x:v>562</x:v>
      </x:c>
      <x:c r="B565" s="52" t="str">
        <x:v>      const causes = Array.from(document.querySelectorAll('input[name="causes"]:checked')).map((input) =&gt; input.value);</x:v>
      </x:c>
      <x:c r="C565" t="str"/>
    </x:row>
    <x:row r="566">
      <x:c r="A566" s="28" t="n">
        <x:v>563</x:v>
      </x:c>
      <x:c r="B566" s="52" t="str">
        <x:v>      const payload = {</x:v>
      </x:c>
      <x:c r="C566" t="str"/>
    </x:row>
    <x:row r="567">
      <x:c r="A567" s="28" t="n">
        <x:v>564</x:v>
      </x:c>
      <x:c r="B567" s="52" t="str">
        <x:v>        nom: formData.get('nom'),</x:v>
      </x:c>
      <x:c r="C567" t="str"/>
    </x:row>
    <x:row r="568">
      <x:c r="A568" s="28" t="n">
        <x:v>565</x:v>
      </x:c>
      <x:c r="B568" s="52" t="str">
        <x:v>        prenom: formData.get('prenom'),</x:v>
      </x:c>
      <x:c r="C568" t="str"/>
    </x:row>
    <x:row r="569">
      <x:c r="A569" s="28" t="n">
        <x:v>566</x:v>
      </x:c>
      <x:c r="B569" s="52" t="str">
        <x:v>        email: formData.get('email'),</x:v>
      </x:c>
      <x:c r="C569" t="str"/>
    </x:row>
    <x:row r="570">
      <x:c r="A570" s="28" t="n">
        <x:v>567</x:v>
      </x:c>
      <x:c r="B570" s="52" t="str">
        <x:v>        telephone: formData.get('telephone'),</x:v>
      </x:c>
      <x:c r="C570" t="str"/>
    </x:row>
    <x:row r="571">
      <x:c r="A571" s="28" t="n">
        <x:v>568</x:v>
      </x:c>
      <x:c r="B571" s="52" t="str">
        <x:v>        statut: formData.get('statut'),</x:v>
      </x:c>
      <x:c r="C571" t="str"/>
    </x:row>
    <x:row r="572">
      <x:c r="A572" s="28" t="n">
        <x:v>569</x:v>
      </x:c>
      <x:c r="B572" s="52" t="str">
        <x:v>        cayenne: formData.get('cayenne'),</x:v>
      </x:c>
      <x:c r="C572" t="str"/>
    </x:row>
    <x:row r="573">
      <x:c r="A573" s="28" t="n">
        <x:v>570</x:v>
      </x:c>
      <x:c r="B573" s="52" t="str">
        <x:v>        reponse: formData.get('reponse'),</x:v>
      </x:c>
      <x:c r="C573" t="str"/>
    </x:row>
    <x:row r="574">
      <x:c r="A574" s="28" t="n">
        <x:v>571</x:v>
      </x:c>
      <x:c r="B574" s="52" t="str">
        <x:v>        causes,</x:v>
      </x:c>
      <x:c r="C574" t="str"/>
    </x:row>
    <x:row r="575">
      <x:c r="A575" s="28" t="n">
        <x:v>572</x:v>
      </x:c>
      <x:c r="B575" s="52" t="str">
        <x:v>        precision: formData.get('precision'),</x:v>
      </x:c>
      <x:c r="C575" t="str"/>
    </x:row>
    <x:row r="576">
      <x:c r="A576" s="28" t="n">
        <x:v>573</x:v>
      </x:c>
      <x:c r="B576" s="52" t="str">
        <x:v>        heureDebutAide: formData.get('heureDebutAide'),</x:v>
      </x:c>
      <x:c r="C576" t="str"/>
    </x:row>
    <x:row r="577">
      <x:c r="A577" s="28" t="n">
        <x:v>574</x:v>
      </x:c>
      <x:c r="B577" s="52" t="str">
        <x:v>        heureFinAide: formData.get('heureFinAide'),</x:v>
      </x:c>
      <x:c r="C577" t="str"/>
    </x:row>
    <x:row r="578">
      <x:c r="A578" s="28" t="n">
        <x:v>575</x:v>
      </x:c>
      <x:c r="B578" s="52" t="str">
        <x:v>        commentaire: formData.get('commentaire'),</x:v>
      </x:c>
      <x:c r="C578" t="str"/>
    </x:row>
    <x:row r="579">
      <x:c r="A579" s="28" t="n">
        <x:v>576</x:v>
      </x:c>
      <x:c r="B579" s="52" t="str">
        <x:v>        eventIds,</x:v>
      </x:c>
      <x:c r="C579" t="str"/>
    </x:row>
    <x:row r="580">
      <x:c r="A580" s="28" t="n">
        <x:v>577</x:v>
      </x:c>
      <x:c r="B580" s="52" t="str">
        <x:v>        source: eventIds.length &gt; 1 ? 'Réponse anticipée' : 'Réponse événement'</x:v>
      </x:c>
      <x:c r="C580" t="str"/>
    </x:row>
    <x:row r="581">
      <x:c r="A581" s="28" t="n">
        <x:v>578</x:v>
      </x:c>
      <x:c r="B581" s="52" t="str">
        <x:v>      };</x:v>
      </x:c>
      <x:c r="C581" t="str"/>
    </x:row>
    <x:row r="582">
      <x:c r="A582" s="28" t="n">
        <x:v>579</x:v>
      </x:c>
      <x:c r="B582" s="52" t="str"/>
      <x:c r="C582" t="str"/>
    </x:row>
    <x:row r="583">
      <x:c r="A583" s="28" t="n">
        <x:v>580</x:v>
      </x:c>
      <x:c r="B583" s="52" t="str">
        <x:v>      google.script.run</x:v>
      </x:c>
      <x:c r="C583" t="str"/>
    </x:row>
    <x:row r="584">
      <x:c r="A584" s="28" t="n">
        <x:v>581</x:v>
      </x:c>
      <x:c r="B584" s="52" t="str">
        <x:v>        .withSuccessHandler((result) =&gt; {</x:v>
      </x:c>
      <x:c r="C584" t="str"/>
    </x:row>
    <x:row r="585">
      <x:c r="A585" s="28" t="n">
        <x:v>582</x:v>
      </x:c>
      <x:c r="B585" s="52" t="str">
        <x:v>          showNotice('publicNotice', result.message, 'ok');</x:v>
      </x:c>
      <x:c r="C585" t="str"/>
    </x:row>
    <x:row r="586">
      <x:c r="A586" s="28" t="n">
        <x:v>583</x:v>
      </x:c>
      <x:c r="B586" s="52" t="str">
        <x:v>          form.reset();</x:v>
      </x:c>
      <x:c r="C586" t="str"/>
    </x:row>
    <x:row r="587">
      <x:c r="A587" s="28" t="n">
        <x:v>584</x:v>
      </x:c>
      <x:c r="B587" s="52" t="str">
        <x:v>          updateConditionalBlocks();</x:v>
      </x:c>
      <x:c r="C587" t="str"/>
    </x:row>
    <x:row r="588">
      <x:c r="A588" s="28" t="n">
        <x:v>585</x:v>
      </x:c>
      <x:c r="B588" s="52" t="str">
        <x:v>          setLoading(false, 'submitBtn');</x:v>
      </x:c>
      <x:c r="C588" t="str"/>
    </x:row>
    <x:row r="589">
      <x:c r="A589" s="28" t="n">
        <x:v>586</x:v>
      </x:c>
      <x:c r="B589" s="52" t="str">
        <x:v>        })</x:v>
      </x:c>
      <x:c r="C589" t="str"/>
    </x:row>
    <x:row r="590">
      <x:c r="A590" s="28" t="n">
        <x:v>587</x:v>
      </x:c>
      <x:c r="B590" s="52" t="str">
        <x:v>        .withFailureHandler((error) =&gt; {</x:v>
      </x:c>
      <x:c r="C590" t="str"/>
    </x:row>
    <x:row r="591">
      <x:c r="A591" s="28" t="n">
        <x:v>588</x:v>
      </x:c>
      <x:c r="B591" s="52" t="str">
        <x:v>          showNotice('publicNotice', error.message || error, 'error');</x:v>
      </x:c>
      <x:c r="C591" t="str"/>
    </x:row>
    <x:row r="592">
      <x:c r="A592" s="28" t="n">
        <x:v>589</x:v>
      </x:c>
      <x:c r="B592" s="52" t="str">
        <x:v>          setLoading(false, 'submitBtn');</x:v>
      </x:c>
      <x:c r="C592" t="str"/>
    </x:row>
    <x:row r="593">
      <x:c r="A593" s="28" t="n">
        <x:v>590</x:v>
      </x:c>
      <x:c r="B593" s="52" t="str">
        <x:v>        })</x:v>
      </x:c>
      <x:c r="C593" t="str"/>
    </x:row>
    <x:row r="594">
      <x:c r="A594" s="28" t="n">
        <x:v>591</x:v>
      </x:c>
      <x:c r="B594" s="52" t="str">
        <x:v>        .submitResponses(payload);</x:v>
      </x:c>
      <x:c r="C594" t="str"/>
    </x:row>
    <x:row r="595">
      <x:c r="A595" s="28" t="n">
        <x:v>592</x:v>
      </x:c>
      <x:c r="B595" s="52" t="str">
        <x:v>    }</x:v>
      </x:c>
      <x:c r="C595" t="str"/>
    </x:row>
    <x:row r="596">
      <x:c r="A596" s="28" t="n">
        <x:v>593</x:v>
      </x:c>
      <x:c r="B596" s="52" t="str"/>
      <x:c r="C596" t="str"/>
    </x:row>
    <x:row r="597">
      <x:c r="A597" s="28" t="n">
        <x:v>594</x:v>
      </x:c>
      <x:c r="B597" s="52" t="str">
        <x:v>    function loadDashboard() {</x:v>
      </x:c>
      <x:c r="C597" t="str"/>
    </x:row>
    <x:row r="598">
      <x:c r="A598" s="28" t="n">
        <x:v>595</x:v>
      </x:c>
      <x:c r="B598" s="52" t="str">
        <x:v>      const pin = document.getElementById('adminPin').value;</x:v>
      </x:c>
      <x:c r="C598" t="str"/>
    </x:row>
    <x:row r="599">
      <x:c r="A599" s="28" t="n">
        <x:v>596</x:v>
      </x:c>
      <x:c r="B599" s="52" t="str">
        <x:v>      const year = Number(document.getElementById('adminYear').value);</x:v>
      </x:c>
      <x:c r="C599" t="str"/>
    </x:row>
    <x:row r="600">
      <x:c r="A600" s="28" t="n">
        <x:v>597</x:v>
      </x:c>
      <x:c r="B600" s="52" t="str">
        <x:v>      setLoading(true, 'loadDashboard');</x:v>
      </x:c>
      <x:c r="C600" t="str"/>
    </x:row>
    <x:row r="601">
      <x:c r="A601" s="28" t="n">
        <x:v>598</x:v>
      </x:c>
      <x:c r="B601" s="52" t="str">
        <x:v>      google.script.run</x:v>
      </x:c>
      <x:c r="C601" t="str"/>
    </x:row>
    <x:row r="602">
      <x:c r="A602" s="28" t="n">
        <x:v>599</x:v>
      </x:c>
      <x:c r="B602" s="52" t="str">
        <x:v>        .withSuccessHandler((dashboard) =&gt; {</x:v>
      </x:c>
      <x:c r="C602" t="str"/>
    </x:row>
    <x:row r="603">
      <x:c r="A603" s="28" t="n">
        <x:v>600</x:v>
      </x:c>
      <x:c r="B603" s="52" t="str">
        <x:v>          state.dashboard = dashboard;</x:v>
      </x:c>
      <x:c r="C603" t="str"/>
    </x:row>
    <x:row r="604">
      <x:c r="A604" s="28" t="n">
        <x:v>601</x:v>
      </x:c>
      <x:c r="B604" s="52" t="str">
        <x:v>          renderDashboard(dashboard);</x:v>
      </x:c>
      <x:c r="C604" t="str"/>
    </x:row>
    <x:row r="605">
      <x:c r="A605" s="28" t="n">
        <x:v>602</x:v>
      </x:c>
      <x:c r="B605" s="52" t="str">
        <x:v>          showNotice('adminNotice', 'Dashboard chargé.', 'ok');</x:v>
      </x:c>
      <x:c r="C605" t="str"/>
    </x:row>
    <x:row r="606">
      <x:c r="A606" s="28" t="n">
        <x:v>603</x:v>
      </x:c>
      <x:c r="B606" s="52" t="str">
        <x:v>          setLoading(false, 'loadDashboard');</x:v>
      </x:c>
      <x:c r="C606" t="str"/>
    </x:row>
    <x:row r="607">
      <x:c r="A607" s="28" t="n">
        <x:v>604</x:v>
      </x:c>
      <x:c r="B607" s="52" t="str">
        <x:v>        })</x:v>
      </x:c>
      <x:c r="C607" t="str"/>
    </x:row>
    <x:row r="608">
      <x:c r="A608" s="28" t="n">
        <x:v>605</x:v>
      </x:c>
      <x:c r="B608" s="52" t="str">
        <x:v>        .withFailureHandler((error) =&gt; {</x:v>
      </x:c>
      <x:c r="C608" t="str"/>
    </x:row>
    <x:row r="609">
      <x:c r="A609" s="28" t="n">
        <x:v>606</x:v>
      </x:c>
      <x:c r="B609" s="52" t="str">
        <x:v>          showNotice('adminNotice', error.message || error, 'error');</x:v>
      </x:c>
      <x:c r="C609" t="str"/>
    </x:row>
    <x:row r="610">
      <x:c r="A610" s="28" t="n">
        <x:v>607</x:v>
      </x:c>
      <x:c r="B610" s="52" t="str">
        <x:v>          setLoading(false, 'loadDashboard');</x:v>
      </x:c>
      <x:c r="C610" t="str"/>
    </x:row>
    <x:row r="611">
      <x:c r="A611" s="28" t="n">
        <x:v>608</x:v>
      </x:c>
      <x:c r="B611" s="52" t="str">
        <x:v>        })</x:v>
      </x:c>
      <x:c r="C611" t="str"/>
    </x:row>
    <x:row r="612">
      <x:c r="A612" s="28" t="n">
        <x:v>609</x:v>
      </x:c>
      <x:c r="B612" s="52" t="str">
        <x:v>        .getDashboardData(year, pin);</x:v>
      </x:c>
      <x:c r="C612" t="str"/>
    </x:row>
    <x:row r="613">
      <x:c r="A613" s="28" t="n">
        <x:v>610</x:v>
      </x:c>
      <x:c r="B613" s="52" t="str">
        <x:v>    }</x:v>
      </x:c>
      <x:c r="C613" t="str"/>
    </x:row>
    <x:row r="614">
      <x:c r="A614" s="28" t="n">
        <x:v>611</x:v>
      </x:c>
      <x:c r="B614" s="52" t="str"/>
      <x:c r="C614" t="str"/>
    </x:row>
    <x:row r="615">
      <x:c r="A615" s="28" t="n">
        <x:v>612</x:v>
      </x:c>
      <x:c r="B615" s="52" t="str">
        <x:v>    function generateAllSheets() {</x:v>
      </x:c>
      <x:c r="C615" t="str"/>
    </x:row>
    <x:row r="616">
      <x:c r="A616" s="28" t="n">
        <x:v>613</x:v>
      </x:c>
      <x:c r="B616" s="52" t="str">
        <x:v>      const pin = document.getElementById('adminPin').value;</x:v>
      </x:c>
      <x:c r="C616" t="str"/>
    </x:row>
    <x:row r="617">
      <x:c r="A617" s="28" t="n">
        <x:v>614</x:v>
      </x:c>
      <x:c r="B617" s="52" t="str">
        <x:v>      const year = Number(document.getElementById('adminYear').value);</x:v>
      </x:c>
      <x:c r="C617" t="str"/>
    </x:row>
    <x:row r="618">
      <x:c r="A618" s="28" t="n">
        <x:v>615</x:v>
      </x:c>
      <x:c r="B618" s="52" t="str">
        <x:v>      setLoading(true, 'generateAll');</x:v>
      </x:c>
      <x:c r="C618" t="str"/>
    </x:row>
    <x:row r="619">
      <x:c r="A619" s="28" t="n">
        <x:v>616</x:v>
      </x:c>
      <x:c r="B619" s="52" t="str">
        <x:v>      google.script.run</x:v>
      </x:c>
      <x:c r="C619" t="str"/>
    </x:row>
    <x:row r="620">
      <x:c r="A620" s="28" t="n">
        <x:v>617</x:v>
      </x:c>
      <x:c r="B620" s="52" t="str">
        <x:v>        .withSuccessHandler((results) =&gt; {</x:v>
      </x:c>
      <x:c r="C620" t="str"/>
    </x:row>
    <x:row r="621">
      <x:c r="A621" s="28" t="n">
        <x:v>618</x:v>
      </x:c>
      <x:c r="B621" s="52" t="str">
        <x:v>          showNotice('adminNotice', `${results.length} feuille(s) de compte rendu générée(s).`, 'ok');</x:v>
      </x:c>
      <x:c r="C621" t="str"/>
    </x:row>
    <x:row r="622">
      <x:c r="A622" s="28" t="n">
        <x:v>619</x:v>
      </x:c>
      <x:c r="B622" s="52" t="str">
        <x:v>          setLoading(false, 'generateAll');</x:v>
      </x:c>
      <x:c r="C622" t="str"/>
    </x:row>
    <x:row r="623">
      <x:c r="A623" s="28" t="n">
        <x:v>620</x:v>
      </x:c>
      <x:c r="B623" s="52" t="str">
        <x:v>          loadDashboard();</x:v>
      </x:c>
      <x:c r="C623" t="str"/>
    </x:row>
    <x:row r="624">
      <x:c r="A624" s="28" t="n">
        <x:v>621</x:v>
      </x:c>
      <x:c r="B624" s="52" t="str">
        <x:v>        })</x:v>
      </x:c>
      <x:c r="C624" t="str"/>
    </x:row>
    <x:row r="625">
      <x:c r="A625" s="28" t="n">
        <x:v>622</x:v>
      </x:c>
      <x:c r="B625" s="52" t="str">
        <x:v>        .withFailureHandler((error) =&gt; {</x:v>
      </x:c>
      <x:c r="C625" t="str"/>
    </x:row>
    <x:row r="626">
      <x:c r="A626" s="28" t="n">
        <x:v>623</x:v>
      </x:c>
      <x:c r="B626" s="52" t="str">
        <x:v>          showNotice('adminNotice', error.message || error, 'error');</x:v>
      </x:c>
      <x:c r="C626" t="str"/>
    </x:row>
    <x:row r="627">
      <x:c r="A627" s="28" t="n">
        <x:v>624</x:v>
      </x:c>
      <x:c r="B627" s="52" t="str">
        <x:v>          setLoading(false, 'generateAll');</x:v>
      </x:c>
      <x:c r="C627" t="str"/>
    </x:row>
    <x:row r="628">
      <x:c r="A628" s="28" t="n">
        <x:v>625</x:v>
      </x:c>
      <x:c r="B628" s="52" t="str">
        <x:v>        })</x:v>
      </x:c>
      <x:c r="C628" t="str"/>
    </x:row>
    <x:row r="629">
      <x:c r="A629" s="28" t="n">
        <x:v>626</x:v>
      </x:c>
      <x:c r="B629" s="52" t="str">
        <x:v>        .generateAllEventSheets(year, pin);</x:v>
      </x:c>
      <x:c r="C629" t="str"/>
    </x:row>
    <x:row r="630">
      <x:c r="A630" s="28" t="n">
        <x:v>627</x:v>
      </x:c>
      <x:c r="B630" s="52" t="str">
        <x:v>    }</x:v>
      </x:c>
      <x:c r="C630" t="str"/>
    </x:row>
    <x:row r="631">
      <x:c r="A631" s="28" t="n">
        <x:v>628</x:v>
      </x:c>
      <x:c r="B631" s="52" t="str"/>
      <x:c r="C631" t="str"/>
    </x:row>
    <x:row r="632">
      <x:c r="A632" s="28" t="n">
        <x:v>629</x:v>
      </x:c>
      <x:c r="B632" s="52" t="str">
        <x:v>    function generateOneSheet(eventId) {</x:v>
      </x:c>
      <x:c r="C632" t="str"/>
    </x:row>
    <x:row r="633">
      <x:c r="A633" s="28" t="n">
        <x:v>630</x:v>
      </x:c>
      <x:c r="B633" s="52" t="str">
        <x:v>      const pin = document.getElementById('adminPin').value;</x:v>
      </x:c>
      <x:c r="C633" t="str"/>
    </x:row>
    <x:row r="634">
      <x:c r="A634" s="28" t="n">
        <x:v>631</x:v>
      </x:c>
      <x:c r="B634" s="52" t="str">
        <x:v>      google.script.run</x:v>
      </x:c>
      <x:c r="C634" t="str"/>
    </x:row>
    <x:row r="635">
      <x:c r="A635" s="28" t="n">
        <x:v>632</x:v>
      </x:c>
      <x:c r="B635" s="52" t="str">
        <x:v>        .withSuccessHandler((result) =&gt; {</x:v>
      </x:c>
      <x:c r="C635" t="str"/>
    </x:row>
    <x:row r="636">
      <x:c r="A636" s="28" t="n">
        <x:v>633</x:v>
      </x:c>
      <x:c r="B636" s="52" t="str">
        <x:v>          showNotice('adminNotice', `Feuille créée : ${result.sheetName}`, 'ok');</x:v>
      </x:c>
      <x:c r="C636" t="str"/>
    </x:row>
    <x:row r="637">
      <x:c r="A637" s="28" t="n">
        <x:v>634</x:v>
      </x:c>
      <x:c r="B637" s="52" t="str">
        <x:v>          loadDashboard();</x:v>
      </x:c>
      <x:c r="C637" t="str"/>
    </x:row>
    <x:row r="638">
      <x:c r="A638" s="28" t="n">
        <x:v>635</x:v>
      </x:c>
      <x:c r="B638" s="52" t="str">
        <x:v>        })</x:v>
      </x:c>
      <x:c r="C638" t="str"/>
    </x:row>
    <x:row r="639">
      <x:c r="A639" s="28" t="n">
        <x:v>636</x:v>
      </x:c>
      <x:c r="B639" s="52" t="str">
        <x:v>        .withFailureHandler((error) =&gt; showNotice('adminNotice', error.message || error, 'error'))</x:v>
      </x:c>
      <x:c r="C639" t="str"/>
    </x:row>
    <x:row r="640">
      <x:c r="A640" s="28" t="n">
        <x:v>637</x:v>
      </x:c>
      <x:c r="B640" s="52" t="str">
        <x:v>        .generateEventSheet(eventId, pin);</x:v>
      </x:c>
      <x:c r="C640" t="str"/>
    </x:row>
    <x:row r="641">
      <x:c r="A641" s="28" t="n">
        <x:v>638</x:v>
      </x:c>
      <x:c r="B641" s="52" t="str">
        <x:v>    }</x:v>
      </x:c>
      <x:c r="C641" t="str"/>
    </x:row>
    <x:row r="642">
      <x:c r="A642" s="28" t="n">
        <x:v>639</x:v>
      </x:c>
      <x:c r="B642" s="52" t="str"/>
      <x:c r="C642" t="str"/>
    </x:row>
    <x:row r="643">
      <x:c r="A643" s="28" t="n">
        <x:v>640</x:v>
      </x:c>
      <x:c r="B643" s="52" t="str">
        <x:v>    function renderDashboard(data) {</x:v>
      </x:c>
      <x:c r="C643" t="str"/>
    </x:row>
    <x:row r="644">
      <x:c r="A644" s="28" t="n">
        <x:v>641</x:v>
      </x:c>
      <x:c r="B644" s="52" t="str">
        <x:v>      const root = document.getElementById('dashboardContent');</x:v>
      </x:c>
      <x:c r="C644" t="str"/>
    </x:row>
    <x:row r="645">
      <x:c r="A645" s="28" t="n">
        <x:v>642</x:v>
      </x:c>
      <x:c r="B645" s="52" t="str">
        <x:v>      root.innerHTML = `</x:v>
      </x:c>
      <x:c r="C645" t="str"/>
    </x:row>
    <x:row r="646">
      <x:c r="A646" s="28" t="n">
        <x:v>643</x:v>
      </x:c>
      <x:c r="B646" s="52" t="str">
        <x:v>        &lt;div class="kpis"&gt;</x:v>
      </x:c>
      <x:c r="C646" t="str"/>
    </x:row>
    <x:row r="647">
      <x:c r="A647" s="28" t="n">
        <x:v>644</x:v>
      </x:c>
      <x:c r="B647" s="52" t="str">
        <x:v>          ${kpi('Événements', data.kpis.events)}</x:v>
      </x:c>
      <x:c r="C647" t="str"/>
    </x:row>
    <x:row r="648">
      <x:c r="A648" s="28" t="n">
        <x:v>645</x:v>
      </x:c>
      <x:c r="B648" s="52" t="str">
        <x:v>          ${kpi('Membres', data.kpis.members)}</x:v>
      </x:c>
      <x:c r="C648" t="str"/>
    </x:row>
    <x:row r="649">
      <x:c r="A649" s="28" t="n">
        <x:v>646</x:v>
      </x:c>
      <x:c r="B649" s="52" t="str">
        <x:v>          ${kpi('Présents', data.kpis.presents)}</x:v>
      </x:c>
      <x:c r="C649" t="str"/>
    </x:row>
    <x:row r="650">
      <x:c r="A650" s="28" t="n">
        <x:v>647</x:v>
      </x:c>
      <x:c r="B650" s="52" t="str">
        <x:v>          ${kpi('Excusés', data.kpis.excused)}</x:v>
      </x:c>
      <x:c r="C650" t="str"/>
    </x:row>
    <x:row r="651">
      <x:c r="A651" s="28" t="n">
        <x:v>648</x:v>
      </x:c>
      <x:c r="B651" s="52" t="str">
        <x:v>          ${kpi('Sans réponse', data.kpis.noResponse)}</x:v>
      </x:c>
      <x:c r="C651" t="str"/>
    </x:row>
    <x:row r="652">
      <x:c r="A652" s="28" t="n">
        <x:v>649</x:v>
      </x:c>
      <x:c r="B652" s="52" t="str">
        <x:v>          ${kpi('Aides', data.kpis.aids)}</x:v>
      </x:c>
      <x:c r="C652" t="str"/>
    </x:row>
    <x:row r="653">
      <x:c r="A653" s="28" t="n">
        <x:v>650</x:v>
      </x:c>
      <x:c r="B653" s="52" t="str">
        <x:v>        &lt;/div&gt;</x:v>
      </x:c>
      <x:c r="C653" t="str"/>
    </x:row>
    <x:row r="654">
      <x:c r="A654" s="28" t="n">
        <x:v>651</x:v>
      </x:c>
      <x:c r="B654" s="52" t="str"/>
      <x:c r="C654" t="str"/>
    </x:row>
    <x:row r="655">
      <x:c r="A655" s="28" t="n">
        <x:v>652</x:v>
      </x:c>
      <x:c r="B655" s="52" t="str">
        <x:v>        &lt;div class="card admin-section"&gt;</x:v>
      </x:c>
      <x:c r="C655" t="str"/>
    </x:row>
    <x:row r="656">
      <x:c r="A656" s="28" t="n">
        <x:v>653</x:v>
      </x:c>
      <x:c r="B656" s="52" t="str">
        <x:v>          &lt;h2&gt;Suivi par événement&lt;/h2&gt;</x:v>
      </x:c>
      <x:c r="C656" t="str"/>
    </x:row>
    <x:row r="657">
      <x:c r="A657" s="28" t="n">
        <x:v>654</x:v>
      </x:c>
      <x:c r="B657" s="52" t="str">
        <x:v>          ${renderEventTable(data.events)}</x:v>
      </x:c>
      <x:c r="C657" t="str"/>
    </x:row>
    <x:row r="658">
      <x:c r="A658" s="28" t="n">
        <x:v>655</x:v>
      </x:c>
      <x:c r="B658" s="52" t="str">
        <x:v>        &lt;/div&gt;</x:v>
      </x:c>
      <x:c r="C658" t="str"/>
    </x:row>
    <x:row r="659">
      <x:c r="A659" s="28" t="n">
        <x:v>656</x:v>
      </x:c>
      <x:c r="B659" s="52" t="str"/>
      <x:c r="C659" t="str"/>
    </x:row>
    <x:row r="660">
      <x:c r="A660" s="28" t="n">
        <x:v>657</x:v>
      </x:c>
      <x:c r="B660" s="52" t="str">
        <x:v>        &lt;div class="card admin-section"&gt;</x:v>
      </x:c>
      <x:c r="C660" t="str"/>
    </x:row>
    <x:row r="661">
      <x:c r="A661" s="28" t="n">
        <x:v>658</x:v>
      </x:c>
      <x:c r="B661" s="52" t="str">
        <x:v>          &lt;h2&gt;Suivi par personne&lt;/h2&gt;</x:v>
      </x:c>
      <x:c r="C661" t="str"/>
    </x:row>
    <x:row r="662">
      <x:c r="A662" s="28" t="n">
        <x:v>659</x:v>
      </x:c>
      <x:c r="B662" s="52" t="str">
        <x:v>          ${renderMemberTable(data.members)}</x:v>
      </x:c>
      <x:c r="C662" t="str"/>
    </x:row>
    <x:row r="663">
      <x:c r="A663" s="28" t="n">
        <x:v>660</x:v>
      </x:c>
      <x:c r="B663" s="52" t="str">
        <x:v>        &lt;/div&gt;</x:v>
      </x:c>
      <x:c r="C663" t="str"/>
    </x:row>
    <x:row r="664">
      <x:c r="A664" s="28" t="n">
        <x:v>661</x:v>
      </x:c>
      <x:c r="B664" s="52" t="str"/>
      <x:c r="C664" t="str"/>
    </x:row>
    <x:row r="665">
      <x:c r="A665" s="28" t="n">
        <x:v>662</x:v>
      </x:c>
      <x:c r="B665" s="52" t="str">
        <x:v>        &lt;div class="card admin-section"&gt;</x:v>
      </x:c>
      <x:c r="C665" t="str"/>
    </x:row>
    <x:row r="666">
      <x:c r="A666" s="28" t="n">
        <x:v>663</x:v>
      </x:c>
      <x:c r="B666" s="52" t="str">
        <x:v>          &lt;h2&gt;Causes d’absence&lt;/h2&gt;</x:v>
      </x:c>
      <x:c r="C666" t="str"/>
    </x:row>
    <x:row r="667">
      <x:c r="A667" s="28" t="n">
        <x:v>664</x:v>
      </x:c>
      <x:c r="B667" s="52" t="str">
        <x:v>          ${renderCauseTable(data.causes)}</x:v>
      </x:c>
      <x:c r="C667" t="str"/>
    </x:row>
    <x:row r="668">
      <x:c r="A668" s="28" t="n">
        <x:v>665</x:v>
      </x:c>
      <x:c r="B668" s="52" t="str">
        <x:v>        &lt;/div&gt;</x:v>
      </x:c>
      <x:c r="C668" t="str"/>
    </x:row>
    <x:row r="669">
      <x:c r="A669" s="28" t="n">
        <x:v>666</x:v>
      </x:c>
      <x:c r="B669" s="52" t="str">
        <x:v>      `;</x:v>
      </x:c>
      <x:c r="C669" t="str"/>
    </x:row>
    <x:row r="670">
      <x:c r="A670" s="28" t="n">
        <x:v>667</x:v>
      </x:c>
      <x:c r="B670" s="52" t="str">
        <x:v>    }</x:v>
      </x:c>
      <x:c r="C670" t="str"/>
    </x:row>
    <x:row r="671">
      <x:c r="A671" s="28" t="n">
        <x:v>668</x:v>
      </x:c>
      <x:c r="B671" s="52" t="str"/>
      <x:c r="C671" t="str"/>
    </x:row>
    <x:row r="672">
      <x:c r="A672" s="28" t="n">
        <x:v>669</x:v>
      </x:c>
      <x:c r="B672" s="52" t="str">
        <x:v>    function kpi(label, value) {</x:v>
      </x:c>
      <x:c r="C672" t="str"/>
    </x:row>
    <x:row r="673">
      <x:c r="A673" s="28" t="n">
        <x:v>670</x:v>
      </x:c>
      <x:c r="B673" s="52" t="str">
        <x:v>      return `&lt;div class="kpi"&gt;&lt;span&gt;${escapeHtml(label)}&lt;/span&gt;&lt;strong&gt;${escapeHtml(value)}&lt;/strong&gt;&lt;/div&gt;`;</x:v>
      </x:c>
      <x:c r="C673" t="str"/>
    </x:row>
    <x:row r="674">
      <x:c r="A674" s="28" t="n">
        <x:v>671</x:v>
      </x:c>
      <x:c r="B674" s="52" t="str">
        <x:v>    }</x:v>
      </x:c>
      <x:c r="C674" t="str"/>
    </x:row>
    <x:row r="675">
      <x:c r="A675" s="28" t="n">
        <x:v>672</x:v>
      </x:c>
      <x:c r="B675" s="52" t="str"/>
      <x:c r="C675" t="str"/>
    </x:row>
    <x:row r="676">
      <x:c r="A676" s="28" t="n">
        <x:v>673</x:v>
      </x:c>
      <x:c r="B676" s="52" t="str">
        <x:v>    function renderEventTable(events) {</x:v>
      </x:c>
      <x:c r="C676" t="str"/>
    </x:row>
    <x:row r="677">
      <x:c r="A677" s="28" t="n">
        <x:v>674</x:v>
      </x:c>
      <x:c r="B677" s="52" t="str">
        <x:v>      if (!events.length) return '&lt;div class="empty"&gt;Aucun événement actif.&lt;/div&gt;';</x:v>
      </x:c>
      <x:c r="C677" t="str"/>
    </x:row>
    <x:row r="678">
      <x:c r="A678" s="28" t="n">
        <x:v>675</x:v>
      </x:c>
      <x:c r="B678" s="52" t="str">
        <x:v>      return `</x:v>
      </x:c>
      <x:c r="C678" t="str"/>
    </x:row>
    <x:row r="679">
      <x:c r="A679" s="28" t="n">
        <x:v>676</x:v>
      </x:c>
      <x:c r="B679" s="52" t="str">
        <x:v>        &lt;table&gt;</x:v>
      </x:c>
      <x:c r="C679" t="str"/>
    </x:row>
    <x:row r="680">
      <x:c r="A680" s="28" t="n">
        <x:v>677</x:v>
      </x:c>
      <x:c r="B680" s="52" t="str">
        <x:v>          &lt;thead&gt;</x:v>
      </x:c>
      <x:c r="C680" t="str"/>
    </x:row>
    <x:row r="681">
      <x:c r="A681" s="28" t="n">
        <x:v>678</x:v>
      </x:c>
      <x:c r="B681" s="52" t="str">
        <x:v>            &lt;tr&gt;</x:v>
      </x:c>
      <x:c r="C681" t="str"/>
    </x:row>
    <x:row r="682">
      <x:c r="A682" s="28" t="n">
        <x:v>679</x:v>
      </x:c>
      <x:c r="B682" s="52" t="str">
        <x:v>              &lt;th&gt;Date&lt;/th&gt;</x:v>
      </x:c>
      <x:c r="C682" t="str"/>
    </x:row>
    <x:row r="683">
      <x:c r="A683" s="28" t="n">
        <x:v>680</x:v>
      </x:c>
      <x:c r="B683" s="52" t="str">
        <x:v>              &lt;th&gt;Événement&lt;/th&gt;</x:v>
      </x:c>
      <x:c r="C683" t="str"/>
    </x:row>
    <x:row r="684">
      <x:c r="A684" s="28" t="n">
        <x:v>681</x:v>
      </x:c>
      <x:c r="B684" s="52" t="str">
        <x:v>              &lt;th&gt;Présents&lt;/th&gt;</x:v>
      </x:c>
      <x:c r="C684" t="str"/>
    </x:row>
    <x:row r="685">
      <x:c r="A685" s="28" t="n">
        <x:v>682</x:v>
      </x:c>
      <x:c r="B685" s="52" t="str">
        <x:v>              &lt;th&gt;Excusés&lt;/th&gt;</x:v>
      </x:c>
      <x:c r="C685" t="str"/>
    </x:row>
    <x:row r="686">
      <x:c r="A686" s="28" t="n">
        <x:v>683</x:v>
      </x:c>
      <x:c r="B686" s="52" t="str">
        <x:v>              &lt;th&gt;Sans réponse&lt;/th&gt;</x:v>
      </x:c>
      <x:c r="C686" t="str"/>
    </x:row>
    <x:row r="687">
      <x:c r="A687" s="28" t="n">
        <x:v>684</x:v>
      </x:c>
      <x:c r="B687" s="52" t="str">
        <x:v>              &lt;th&gt;Aides&lt;/th&gt;</x:v>
      </x:c>
      <x:c r="C687" t="str"/>
    </x:row>
    <x:row r="688">
      <x:c r="A688" s="28" t="n">
        <x:v>685</x:v>
      </x:c>
      <x:c r="B688" s="52" t="str">
        <x:v>              &lt;th&gt;Feuille CR&lt;/th&gt;</x:v>
      </x:c>
      <x:c r="C688" t="str"/>
    </x:row>
    <x:row r="689">
      <x:c r="A689" s="28" t="n">
        <x:v>686</x:v>
      </x:c>
      <x:c r="B689" s="52" t="str">
        <x:v>            &lt;/tr&gt;</x:v>
      </x:c>
      <x:c r="C689" t="str"/>
    </x:row>
    <x:row r="690">
      <x:c r="A690" s="28" t="n">
        <x:v>687</x:v>
      </x:c>
      <x:c r="B690" s="52" t="str">
        <x:v>          &lt;/thead&gt;</x:v>
      </x:c>
      <x:c r="C690" t="str"/>
    </x:row>
    <x:row r="691">
      <x:c r="A691" s="28" t="n">
        <x:v>688</x:v>
      </x:c>
      <x:c r="B691" s="52" t="str">
        <x:v>          &lt;tbody&gt;</x:v>
      </x:c>
      <x:c r="C691" t="str"/>
    </x:row>
    <x:row r="692">
      <x:c r="A692" s="28" t="n">
        <x:v>689</x:v>
      </x:c>
      <x:c r="B692" s="52" t="str">
        <x:v>            ${events.map((event) =&gt; `</x:v>
      </x:c>
      <x:c r="C692" t="str"/>
    </x:row>
    <x:row r="693">
      <x:c r="A693" s="28" t="n">
        <x:v>690</x:v>
      </x:c>
      <x:c r="B693" s="52" t="str">
        <x:v>              &lt;tr&gt;</x:v>
      </x:c>
      <x:c r="C693" t="str"/>
    </x:row>
    <x:row r="694">
      <x:c r="A694" s="28" t="n">
        <x:v>691</x:v>
      </x:c>
      <x:c r="B694" s="52" t="str">
        <x:v>                &lt;td&gt;${escapeHtml(event.date)}&lt;/td&gt;</x:v>
      </x:c>
      <x:c r="C694" t="str"/>
    </x:row>
    <x:row r="695">
      <x:c r="A695" s="28" t="n">
        <x:v>692</x:v>
      </x:c>
      <x:c r="B695" s="52" t="str">
        <x:v>                &lt;td&gt;&lt;strong&gt;${escapeHtml(event.title)}&lt;/strong&gt;&lt;br&gt;&lt;span class="meta"&gt;${escapeHtml(event.type)}&lt;/span&gt;&lt;/td&gt;</x:v>
      </x:c>
      <x:c r="C695" t="str"/>
    </x:row>
    <x:row r="696">
      <x:c r="A696" s="28" t="n">
        <x:v>693</x:v>
      </x:c>
      <x:c r="B696" s="52" t="str">
        <x:v>                &lt;td&gt;&lt;span class="pill green"&gt;${escapeHtml(event.presents)}&lt;/span&gt;&lt;/td&gt;</x:v>
      </x:c>
      <x:c r="C696" t="str"/>
    </x:row>
    <x:row r="697">
      <x:c r="A697" s="28" t="n">
        <x:v>694</x:v>
      </x:c>
      <x:c r="B697" s="52" t="str">
        <x:v>                &lt;td&gt;&lt;span class="pill amber"&gt;${escapeHtml(event.excused)}&lt;/span&gt;&lt;/td&gt;</x:v>
      </x:c>
      <x:c r="C697" t="str"/>
    </x:row>
    <x:row r="698">
      <x:c r="A698" s="28" t="n">
        <x:v>695</x:v>
      </x:c>
      <x:c r="B698" s="52" t="str">
        <x:v>                &lt;td&gt;&lt;span class="pill red"&gt;${escapeHtml(event.noResponse)}&lt;/span&gt;&lt;/td&gt;</x:v>
      </x:c>
      <x:c r="C698" t="str"/>
    </x:row>
    <x:row r="699">
      <x:c r="A699" s="28" t="n">
        <x:v>696</x:v>
      </x:c>
      <x:c r="B699" s="52" t="str">
        <x:v>                &lt;td&gt;&lt;span class="pill"&gt;${escapeHtml(event.aids)}&lt;/span&gt;&lt;/td&gt;</x:v>
      </x:c>
      <x:c r="C699" t="str"/>
    </x:row>
    <x:row r="700">
      <x:c r="A700" s="28" t="n">
        <x:v>697</x:v>
      </x:c>
      <x:c r="B700" s="52" t="str">
        <x:v>                &lt;td&gt;&lt;button type="button" onclick="generateOneSheet('${escapeJs(event.id)}')"&gt;Créer / actualiser&lt;/button&gt;&lt;/td&gt;</x:v>
      </x:c>
      <x:c r="C700" t="str"/>
    </x:row>
    <x:row r="701">
      <x:c r="A701" s="28" t="n">
        <x:v>698</x:v>
      </x:c>
      <x:c r="B701" s="52" t="str">
        <x:v>              &lt;/tr&gt;</x:v>
      </x:c>
      <x:c r="C701" t="str"/>
    </x:row>
    <x:row r="702">
      <x:c r="A702" s="28" t="n">
        <x:v>699</x:v>
      </x:c>
      <x:c r="B702" s="52" t="str">
        <x:v>            `).join('')}</x:v>
      </x:c>
      <x:c r="C702" t="str"/>
    </x:row>
    <x:row r="703">
      <x:c r="A703" s="28" t="n">
        <x:v>700</x:v>
      </x:c>
      <x:c r="B703" s="52" t="str">
        <x:v>          &lt;/tbody&gt;</x:v>
      </x:c>
      <x:c r="C703" t="str"/>
    </x:row>
    <x:row r="704">
      <x:c r="A704" s="28" t="n">
        <x:v>701</x:v>
      </x:c>
      <x:c r="B704" s="52" t="str">
        <x:v>        &lt;/table&gt;</x:v>
      </x:c>
      <x:c r="C704" t="str"/>
    </x:row>
    <x:row r="705">
      <x:c r="A705" s="28" t="n">
        <x:v>702</x:v>
      </x:c>
      <x:c r="B705" s="52" t="str">
        <x:v>      `;</x:v>
      </x:c>
      <x:c r="C705" t="str"/>
    </x:row>
    <x:row r="706">
      <x:c r="A706" s="28" t="n">
        <x:v>703</x:v>
      </x:c>
      <x:c r="B706" s="52" t="str">
        <x:v>    }</x:v>
      </x:c>
      <x:c r="C706" t="str"/>
    </x:row>
    <x:row r="707">
      <x:c r="A707" s="28" t="n">
        <x:v>704</x:v>
      </x:c>
      <x:c r="B707" s="52" t="str"/>
      <x:c r="C707" t="str"/>
    </x:row>
    <x:row r="708">
      <x:c r="A708" s="28" t="n">
        <x:v>705</x:v>
      </x:c>
      <x:c r="B708" s="52" t="str">
        <x:v>    function renderMemberTable(members) {</x:v>
      </x:c>
      <x:c r="C708" t="str"/>
    </x:row>
    <x:row r="709">
      <x:c r="A709" s="28" t="n">
        <x:v>706</x:v>
      </x:c>
      <x:c r="B709" s="52" t="str">
        <x:v>      if (!members.length) return '&lt;div class="empty"&gt;Aucun membre actif.&lt;/div&gt;';</x:v>
      </x:c>
      <x:c r="C709" t="str"/>
    </x:row>
    <x:row r="710">
      <x:c r="A710" s="28" t="n">
        <x:v>707</x:v>
      </x:c>
      <x:c r="B710" s="52" t="str">
        <x:v>      return `</x:v>
      </x:c>
      <x:c r="C710" t="str"/>
    </x:row>
    <x:row r="711">
      <x:c r="A711" s="28" t="n">
        <x:v>708</x:v>
      </x:c>
      <x:c r="B711" s="52" t="str">
        <x:v>        &lt;table&gt;</x:v>
      </x:c>
      <x:c r="C711" t="str"/>
    </x:row>
    <x:row r="712">
      <x:c r="A712" s="28" t="n">
        <x:v>709</x:v>
      </x:c>
      <x:c r="B712" s="52" t="str">
        <x:v>          &lt;thead&gt;</x:v>
      </x:c>
      <x:c r="C712" t="str"/>
    </x:row>
    <x:row r="713">
      <x:c r="A713" s="28" t="n">
        <x:v>710</x:v>
      </x:c>
      <x:c r="B713" s="52" t="str">
        <x:v>            &lt;tr&gt;</x:v>
      </x:c>
      <x:c r="C713" t="str"/>
    </x:row>
    <x:row r="714">
      <x:c r="A714" s="28" t="n">
        <x:v>711</x:v>
      </x:c>
      <x:c r="B714" s="52" t="str">
        <x:v>              &lt;th&gt;Nom&lt;/th&gt;</x:v>
      </x:c>
      <x:c r="C714" t="str"/>
    </x:row>
    <x:row r="715">
      <x:c r="A715" s="28" t="n">
        <x:v>712</x:v>
      </x:c>
      <x:c r="B715" s="52" t="str">
        <x:v>              &lt;th&gt;Statut&lt;/th&gt;</x:v>
      </x:c>
      <x:c r="C715" t="str"/>
    </x:row>
    <x:row r="716">
      <x:c r="A716" s="28" t="n">
        <x:v>713</x:v>
      </x:c>
      <x:c r="B716" s="52" t="str">
        <x:v>              &lt;th&gt;Cayenne&lt;/th&gt;</x:v>
      </x:c>
      <x:c r="C716" t="str"/>
    </x:row>
    <x:row r="717">
      <x:c r="A717" s="28" t="n">
        <x:v>714</x:v>
      </x:c>
      <x:c r="B717" s="52" t="str">
        <x:v>              &lt;th&gt;Présences&lt;/th&gt;</x:v>
      </x:c>
      <x:c r="C717" t="str"/>
    </x:row>
    <x:row r="718">
      <x:c r="A718" s="28" t="n">
        <x:v>715</x:v>
      </x:c>
      <x:c r="B718" s="52" t="str">
        <x:v>              &lt;th&gt;Excusés&lt;/th&gt;</x:v>
      </x:c>
      <x:c r="C718" t="str"/>
    </x:row>
    <x:row r="719">
      <x:c r="A719" s="28" t="n">
        <x:v>716</x:v>
      </x:c>
      <x:c r="B719" s="52" t="str">
        <x:v>              &lt;th&gt;Sans réponse&lt;/th&gt;</x:v>
      </x:c>
      <x:c r="C719" t="str"/>
    </x:row>
    <x:row r="720">
      <x:c r="A720" s="28" t="n">
        <x:v>717</x:v>
      </x:c>
      <x:c r="B720" s="52" t="str">
        <x:v>              &lt;th&gt;Aides&lt;/th&gt;</x:v>
      </x:c>
      <x:c r="C720" t="str"/>
    </x:row>
    <x:row r="721">
      <x:c r="A721" s="28" t="n">
        <x:v>718</x:v>
      </x:c>
      <x:c r="B721" s="52" t="str">
        <x:v>              &lt;th&gt;Taux&lt;/th&gt;</x:v>
      </x:c>
      <x:c r="C721" t="str"/>
    </x:row>
    <x:row r="722">
      <x:c r="A722" s="28" t="n">
        <x:v>719</x:v>
      </x:c>
      <x:c r="B722" s="52" t="str">
        <x:v>            &lt;/tr&gt;</x:v>
      </x:c>
      <x:c r="C722" t="str"/>
    </x:row>
    <x:row r="723">
      <x:c r="A723" s="28" t="n">
        <x:v>720</x:v>
      </x:c>
      <x:c r="B723" s="52" t="str">
        <x:v>          &lt;/thead&gt;</x:v>
      </x:c>
      <x:c r="C723" t="str"/>
    </x:row>
    <x:row r="724">
      <x:c r="A724" s="28" t="n">
        <x:v>721</x:v>
      </x:c>
      <x:c r="B724" s="52" t="str">
        <x:v>          &lt;tbody&gt;</x:v>
      </x:c>
      <x:c r="C724" t="str"/>
    </x:row>
    <x:row r="725">
      <x:c r="A725" s="28" t="n">
        <x:v>722</x:v>
      </x:c>
      <x:c r="B725" s="52" t="str">
        <x:v>            ${members.map((member) =&gt; `</x:v>
      </x:c>
      <x:c r="C725" t="str"/>
    </x:row>
    <x:row r="726">
      <x:c r="A726" s="28" t="n">
        <x:v>723</x:v>
      </x:c>
      <x:c r="B726" s="52" t="str">
        <x:v>              &lt;tr&gt;</x:v>
      </x:c>
      <x:c r="C726" t="str"/>
    </x:row>
    <x:row r="727">
      <x:c r="A727" s="28" t="n">
        <x:v>724</x:v>
      </x:c>
      <x:c r="B727" s="52" t="str">
        <x:v>                &lt;td&gt;&lt;strong&gt;${escapeHtml(member.nom)} ${escapeHtml(member.prenom)}&lt;/strong&gt;&lt;/td&gt;</x:v>
      </x:c>
      <x:c r="C727" t="str"/>
    </x:row>
    <x:row r="728">
      <x:c r="A728" s="28" t="n">
        <x:v>725</x:v>
      </x:c>
      <x:c r="B728" s="52" t="str">
        <x:v>                &lt;td&gt;${escapeHtml(member.statut)}&lt;/td&gt;</x:v>
      </x:c>
      <x:c r="C728" t="str"/>
    </x:row>
    <x:row r="729">
      <x:c r="A729" s="28" t="n">
        <x:v>726</x:v>
      </x:c>
      <x:c r="B729" s="52" t="str">
        <x:v>                &lt;td&gt;${escapeHtml(member.cayenne)}&lt;/td&gt;</x:v>
      </x:c>
      <x:c r="C729" t="str"/>
    </x:row>
    <x:row r="730">
      <x:c r="A730" s="28" t="n">
        <x:v>727</x:v>
      </x:c>
      <x:c r="B730" s="52" t="str">
        <x:v>                &lt;td&gt;${escapeHtml(member.presents)}&lt;/td&gt;</x:v>
      </x:c>
      <x:c r="C730" t="str"/>
    </x:row>
    <x:row r="731">
      <x:c r="A731" s="28" t="n">
        <x:v>728</x:v>
      </x:c>
      <x:c r="B731" s="52" t="str">
        <x:v>                &lt;td&gt;${escapeHtml(member.excused)}&lt;/td&gt;</x:v>
      </x:c>
      <x:c r="C731" t="str"/>
    </x:row>
    <x:row r="732">
      <x:c r="A732" s="28" t="n">
        <x:v>729</x:v>
      </x:c>
      <x:c r="B732" s="52" t="str">
        <x:v>                &lt;td&gt;${escapeHtml(member.noResponse)}&lt;/td&gt;</x:v>
      </x:c>
      <x:c r="C732" t="str"/>
    </x:row>
    <x:row r="733">
      <x:c r="A733" s="28" t="n">
        <x:v>730</x:v>
      </x:c>
      <x:c r="B733" s="52" t="str">
        <x:v>                &lt;td&gt;${escapeHtml(member.aids)}&lt;/td&gt;</x:v>
      </x:c>
      <x:c r="C733" t="str"/>
    </x:row>
    <x:row r="734">
      <x:c r="A734" s="28" t="n">
        <x:v>731</x:v>
      </x:c>
      <x:c r="B734" s="52" t="str">
        <x:v>                &lt;td&gt;${Math.round((member.presenceRate || 0) * 100)}%&lt;/td&gt;</x:v>
      </x:c>
      <x:c r="C734" t="str"/>
    </x:row>
    <x:row r="735">
      <x:c r="A735" s="28" t="n">
        <x:v>732</x:v>
      </x:c>
      <x:c r="B735" s="52" t="str">
        <x:v>              &lt;/tr&gt;</x:v>
      </x:c>
      <x:c r="C735" t="str"/>
    </x:row>
    <x:row r="736">
      <x:c r="A736" s="28" t="n">
        <x:v>733</x:v>
      </x:c>
      <x:c r="B736" s="52" t="str">
        <x:v>            `).join('')}</x:v>
      </x:c>
      <x:c r="C736" t="str"/>
    </x:row>
    <x:row r="737">
      <x:c r="A737" s="28" t="n">
        <x:v>734</x:v>
      </x:c>
      <x:c r="B737" s="52" t="str">
        <x:v>          &lt;/tbody&gt;</x:v>
      </x:c>
      <x:c r="C737" t="str"/>
    </x:row>
    <x:row r="738">
      <x:c r="A738" s="28" t="n">
        <x:v>735</x:v>
      </x:c>
      <x:c r="B738" s="52" t="str">
        <x:v>        &lt;/table&gt;</x:v>
      </x:c>
      <x:c r="C738" t="str"/>
    </x:row>
    <x:row r="739">
      <x:c r="A739" s="28" t="n">
        <x:v>736</x:v>
      </x:c>
      <x:c r="B739" s="52" t="str">
        <x:v>      `;</x:v>
      </x:c>
      <x:c r="C739" t="str"/>
    </x:row>
    <x:row r="740">
      <x:c r="A740" s="28" t="n">
        <x:v>737</x:v>
      </x:c>
      <x:c r="B740" s="52" t="str">
        <x:v>    }</x:v>
      </x:c>
      <x:c r="C740" t="str"/>
    </x:row>
    <x:row r="741">
      <x:c r="A741" s="28" t="n">
        <x:v>738</x:v>
      </x:c>
      <x:c r="B741" s="52" t="str"/>
      <x:c r="C741" t="str"/>
    </x:row>
    <x:row r="742">
      <x:c r="A742" s="28" t="n">
        <x:v>739</x:v>
      </x:c>
      <x:c r="B742" s="52" t="str">
        <x:v>    function renderCauseTable(causes) {</x:v>
      </x:c>
      <x:c r="C742" t="str"/>
    </x:row>
    <x:row r="743">
      <x:c r="A743" s="28" t="n">
        <x:v>740</x:v>
      </x:c>
      <x:c r="B743" s="52" t="str">
        <x:v>      if (!causes.length) return '&lt;div class="empty"&gt;Aucune absence excusée enregistrée.&lt;/div&gt;';</x:v>
      </x:c>
      <x:c r="C743" t="str"/>
    </x:row>
    <x:row r="744">
      <x:c r="A744" s="28" t="n">
        <x:v>741</x:v>
      </x:c>
      <x:c r="B744" s="52" t="str">
        <x:v>      return `</x:v>
      </x:c>
      <x:c r="C744" t="str"/>
    </x:row>
    <x:row r="745">
      <x:c r="A745" s="28" t="n">
        <x:v>742</x:v>
      </x:c>
      <x:c r="B745" s="52" t="str">
        <x:v>        &lt;table&gt;</x:v>
      </x:c>
      <x:c r="C745" t="str"/>
    </x:row>
    <x:row r="746">
      <x:c r="A746" s="28" t="n">
        <x:v>743</x:v>
      </x:c>
      <x:c r="B746" s="52" t="str">
        <x:v>          &lt;thead&gt;&lt;tr&gt;&lt;th&gt;Cause&lt;/th&gt;&lt;th&gt;Total&lt;/th&gt;&lt;/tr&gt;&lt;/thead&gt;</x:v>
      </x:c>
      <x:c r="C746" t="str"/>
    </x:row>
    <x:row r="747">
      <x:c r="A747" s="28" t="n">
        <x:v>744</x:v>
      </x:c>
      <x:c r="B747" s="52" t="str">
        <x:v>          &lt;tbody&gt;</x:v>
      </x:c>
      <x:c r="C747" t="str"/>
    </x:row>
    <x:row r="748">
      <x:c r="A748" s="28" t="n">
        <x:v>745</x:v>
      </x:c>
      <x:c r="B748" s="52" t="str">
        <x:v>            ${causes.map((cause) =&gt; `</x:v>
      </x:c>
      <x:c r="C748" t="str"/>
    </x:row>
    <x:row r="749">
      <x:c r="A749" s="28" t="n">
        <x:v>746</x:v>
      </x:c>
      <x:c r="B749" s="52" t="str">
        <x:v>              &lt;tr&gt;&lt;td&gt;${escapeHtml(cause.cause)}&lt;/td&gt;&lt;td&gt;${escapeHtml(cause.count)}&lt;/td&gt;&lt;/tr&gt;</x:v>
      </x:c>
      <x:c r="C749" t="str"/>
    </x:row>
    <x:row r="750">
      <x:c r="A750" s="28" t="n">
        <x:v>747</x:v>
      </x:c>
      <x:c r="B750" s="52" t="str">
        <x:v>            `).join('')}</x:v>
      </x:c>
      <x:c r="C750" t="str"/>
    </x:row>
    <x:row r="751">
      <x:c r="A751" s="28" t="n">
        <x:v>748</x:v>
      </x:c>
      <x:c r="B751" s="52" t="str">
        <x:v>          &lt;/tbody&gt;</x:v>
      </x:c>
      <x:c r="C751" t="str"/>
    </x:row>
    <x:row r="752">
      <x:c r="A752" s="28" t="n">
        <x:v>749</x:v>
      </x:c>
      <x:c r="B752" s="52" t="str">
        <x:v>        &lt;/table&gt;</x:v>
      </x:c>
      <x:c r="C752" t="str"/>
    </x:row>
    <x:row r="753">
      <x:c r="A753" s="28" t="n">
        <x:v>750</x:v>
      </x:c>
      <x:c r="B753" s="52" t="str">
        <x:v>      `;</x:v>
      </x:c>
      <x:c r="C753" t="str"/>
    </x:row>
    <x:row r="754">
      <x:c r="A754" s="28" t="n">
        <x:v>751</x:v>
      </x:c>
      <x:c r="B754" s="52" t="str">
        <x:v>    }</x:v>
      </x:c>
      <x:c r="C754" t="str"/>
    </x:row>
    <x:row r="755">
      <x:c r="A755" s="28" t="n">
        <x:v>752</x:v>
      </x:c>
      <x:c r="B755" s="52" t="str"/>
      <x:c r="C755" t="str"/>
    </x:row>
    <x:row r="756">
      <x:c r="A756" s="28" t="n">
        <x:v>753</x:v>
      </x:c>
      <x:c r="B756" s="52" t="str">
        <x:v>    function showNotice(id, message, type) {</x:v>
      </x:c>
      <x:c r="C756" t="str"/>
    </x:row>
    <x:row r="757">
      <x:c r="A757" s="28" t="n">
        <x:v>754</x:v>
      </x:c>
      <x:c r="B757" s="52" t="str">
        <x:v>      const node = document.getElementById(id);</x:v>
      </x:c>
      <x:c r="C757" t="str"/>
    </x:row>
    <x:row r="758">
      <x:c r="A758" s="28" t="n">
        <x:v>755</x:v>
      </x:c>
      <x:c r="B758" s="52" t="str">
        <x:v>      node.hidden = false;</x:v>
      </x:c>
      <x:c r="C758" t="str"/>
    </x:row>
    <x:row r="759">
      <x:c r="A759" s="28" t="n">
        <x:v>756</x:v>
      </x:c>
      <x:c r="B759" s="52" t="str">
        <x:v>      node.className = 'notice ' + type;</x:v>
      </x:c>
      <x:c r="C759" t="str"/>
    </x:row>
    <x:row r="760">
      <x:c r="A760" s="28" t="n">
        <x:v>757</x:v>
      </x:c>
      <x:c r="B760" s="52" t="str">
        <x:v>      node.textContent = message;</x:v>
      </x:c>
      <x:c r="C760" t="str"/>
    </x:row>
    <x:row r="761">
      <x:c r="A761" s="28" t="n">
        <x:v>758</x:v>
      </x:c>
      <x:c r="B761" s="52" t="str">
        <x:v>    }</x:v>
      </x:c>
      <x:c r="C761" t="str"/>
    </x:row>
    <x:row r="762">
      <x:c r="A762" s="28" t="n">
        <x:v>759</x:v>
      </x:c>
      <x:c r="B762" s="52" t="str"/>
      <x:c r="C762" t="str"/>
    </x:row>
    <x:row r="763">
      <x:c r="A763" s="28" t="n">
        <x:v>760</x:v>
      </x:c>
      <x:c r="B763" s="52" t="str">
        <x:v>    function setLoading(isLoading, buttonId) {</x:v>
      </x:c>
      <x:c r="C763" t="str"/>
    </x:row>
    <x:row r="764">
      <x:c r="A764" s="28" t="n">
        <x:v>761</x:v>
      </x:c>
      <x:c r="B764" s="52" t="str">
        <x:v>      const button = document.getElementById(buttonId);</x:v>
      </x:c>
      <x:c r="C764" t="str"/>
    </x:row>
    <x:row r="765">
      <x:c r="A765" s="28" t="n">
        <x:v>762</x:v>
      </x:c>
      <x:c r="B765" s="52" t="str">
        <x:v>      if (!button) return;</x:v>
      </x:c>
      <x:c r="C765" t="str"/>
    </x:row>
    <x:row r="766">
      <x:c r="A766" s="28" t="n">
        <x:v>763</x:v>
      </x:c>
      <x:c r="B766" s="52" t="str">
        <x:v>      button.disabled = isLoading;</x:v>
      </x:c>
      <x:c r="C766" t="str"/>
    </x:row>
    <x:row r="767">
      <x:c r="A767" s="28" t="n">
        <x:v>764</x:v>
      </x:c>
      <x:c r="B767" s="52" t="str">
        <x:v>    }</x:v>
      </x:c>
      <x:c r="C767" t="str"/>
    </x:row>
    <x:row r="768">
      <x:c r="A768" s="28" t="n">
        <x:v>765</x:v>
      </x:c>
      <x:c r="B768" s="52" t="str"/>
      <x:c r="C768" t="str"/>
    </x:row>
    <x:row r="769">
      <x:c r="A769" s="28" t="n">
        <x:v>766</x:v>
      </x:c>
      <x:c r="B769" s="52" t="str">
        <x:v>    function escapeHtml(value) {</x:v>
      </x:c>
      <x:c r="C769" t="str"/>
    </x:row>
    <x:row r="770">
      <x:c r="A770" s="28" t="n">
        <x:v>767</x:v>
      </x:c>
      <x:c r="B770" s="52" t="str">
        <x:v>      return String(value ?? '')</x:v>
      </x:c>
      <x:c r="C770" t="str"/>
    </x:row>
    <x:row r="771">
      <x:c r="A771" s="28" t="n">
        <x:v>768</x:v>
      </x:c>
      <x:c r="B771" s="52" t="str">
        <x:v>        .replaceAll('&amp;', '&amp;amp;')</x:v>
      </x:c>
      <x:c r="C771" t="str"/>
    </x:row>
    <x:row r="772">
      <x:c r="A772" s="28" t="n">
        <x:v>769</x:v>
      </x:c>
      <x:c r="B772" s="52" t="str">
        <x:v>        .replaceAll('&lt;', '&amp;lt;')</x:v>
      </x:c>
      <x:c r="C772" t="str"/>
    </x:row>
    <x:row r="773">
      <x:c r="A773" s="28" t="n">
        <x:v>770</x:v>
      </x:c>
      <x:c r="B773" s="52" t="str">
        <x:v>        .replaceAll('&gt;', '&amp;gt;')</x:v>
      </x:c>
      <x:c r="C773" t="str"/>
    </x:row>
    <x:row r="774">
      <x:c r="A774" s="28" t="n">
        <x:v>771</x:v>
      </x:c>
      <x:c r="B774" s="52" t="str">
        <x:v>        .replaceAll('"', '&amp;quot;')</x:v>
      </x:c>
      <x:c r="C774" t="str"/>
    </x:row>
    <x:row r="775">
      <x:c r="A775" s="28" t="n">
        <x:v>772</x:v>
      </x:c>
      <x:c r="B775" s="52" t="str">
        <x:v>        .replaceAll("'", '&amp;#039;');</x:v>
      </x:c>
      <x:c r="C775" t="str"/>
    </x:row>
    <x:row r="776">
      <x:c r="A776" s="28" t="n">
        <x:v>773</x:v>
      </x:c>
      <x:c r="B776" s="52" t="str">
        <x:v>    }</x:v>
      </x:c>
      <x:c r="C776" t="str"/>
    </x:row>
    <x:row r="777">
      <x:c r="A777" s="28" t="n">
        <x:v>774</x:v>
      </x:c>
      <x:c r="B777" s="52" t="str"/>
      <x:c r="C777" t="str"/>
    </x:row>
    <x:row r="778">
      <x:c r="A778" s="28" t="n">
        <x:v>775</x:v>
      </x:c>
      <x:c r="B778" s="52" t="str">
        <x:v>    function escapeJs(value) {</x:v>
      </x:c>
      <x:c r="C778" t="str"/>
    </x:row>
    <x:row r="779">
      <x:c r="A779" s="28" t="n">
        <x:v>776</x:v>
      </x:c>
      <x:c r="B779" s="52" t="str">
        <x:v>      return String(value ?? '').replace(/\\/g, '\\\\').replace(/'/g, "\\'");</x:v>
      </x:c>
      <x:c r="C779" t="str"/>
    </x:row>
    <x:row r="780">
      <x:c r="A780" s="28" t="n">
        <x:v>777</x:v>
      </x:c>
      <x:c r="B780" s="52" t="str">
        <x:v>    }</x:v>
      </x:c>
      <x:c r="C780" t="str"/>
    </x:row>
    <x:row r="781">
      <x:c r="A781" s="28" t="n">
        <x:v>778</x:v>
      </x:c>
      <x:c r="B781" s="52" t="str">
        <x:v>  &lt;/script&gt;</x:v>
      </x:c>
      <x:c r="C781" t="str"/>
    </x:row>
    <x:row r="782">
      <x:c r="A782" s="28" t="n">
        <x:v>779</x:v>
      </x:c>
      <x:c r="B782" s="52" t="str">
        <x:v>&lt;/body&gt;</x:v>
      </x:c>
      <x:c r="C782" t="str"/>
    </x:row>
    <x:row r="783">
      <x:c r="A783" s="28" t="n">
        <x:v>780</x:v>
      </x:c>
      <x:c r="B783" s="52" t="str">
        <x:v>&lt;/html&gt;</x:v>
      </x:c>
      <x:c r="C783" t="str"/>
    </x:row>
    <x:row r="784">
      <x:c r="A784" s="28" t="n">
        <x:v>781</x:v>
      </x:c>
      <x:c r="B784" s="52" t="str"/>
      <x:c r="C784" t="str"/>
    </x:row>
    <x:row r="785">
      <x:c r="A785" s="28"/>
      <x:c r="B785" s="52"/>
    </x:row>
    <x:row r="786">
      <x:c r="A786" s="28"/>
      <x:c r="B786" s="52"/>
    </x:row>
    <x:row r="787">
      <x:c r="A787" s="28"/>
      <x:c r="B787" s="52"/>
    </x:row>
    <x:row r="788">
      <x:c r="A788" s="28"/>
      <x:c r="B788" s="52"/>
    </x:row>
    <x:row r="789">
      <x:c r="A789" s="28"/>
      <x:c r="B789" s="52"/>
    </x:row>
    <x:row r="790">
      <x:c r="A790" s="28"/>
      <x:c r="B790" s="52"/>
    </x:row>
    <x:row r="791">
      <x:c r="A791" s="28"/>
      <x:c r="B791" s="52"/>
    </x:row>
    <x:row r="792">
      <x:c r="A792" s="28"/>
      <x:c r="B792" s="52"/>
    </x:row>
    <x:row r="793">
      <x:c r="A793" s="28"/>
      <x:c r="B793" s="52"/>
    </x:row>
    <x:row r="794">
      <x:c r="A794" s="28"/>
      <x:c r="B794" s="52"/>
    </x:row>
    <x:row r="795">
      <x:c r="A795" s="28"/>
      <x:c r="B795" s="52"/>
    </x:row>
    <x:row r="796">
      <x:c r="A796" s="28"/>
      <x:c r="B796" s="52"/>
    </x:row>
    <x:row r="797">
      <x:c r="A797" s="28"/>
      <x:c r="B797" s="52"/>
    </x:row>
    <x:row r="798">
      <x:c r="A798" s="28"/>
      <x:c r="B798" s="52"/>
    </x:row>
    <x:row r="799">
      <x:c r="A799" s="28"/>
      <x:c r="B799" s="52"/>
    </x:row>
    <x:row r="800">
      <x:c r="A800" s="28"/>
      <x:c r="B800" s="52"/>
    </x:row>
    <x:row r="801">
      <x:c r="A801" s="28"/>
      <x:c r="B801" s="52"/>
    </x:row>
    <x:row r="802">
      <x:c r="A802" s="28"/>
      <x:c r="B802" s="52"/>
    </x:row>
    <x:row r="803">
      <x:c r="A803" s="28"/>
      <x:c r="B803" s="52"/>
    </x:row>
    <x:row r="804">
      <x:c r="A804" s="28"/>
      <x:c r="B804" s="52"/>
    </x:row>
    <x:row r="805">
      <x:c r="A805" s="28"/>
      <x:c r="B805" s="52"/>
    </x:row>
    <x:row r="806">
      <x:c r="A806" s="28"/>
      <x:c r="B806" s="52"/>
    </x:row>
    <x:row r="807">
      <x:c r="A807" s="28"/>
      <x:c r="B807" s="52"/>
    </x:row>
    <x:row r="808">
      <x:c r="A808" s="28"/>
      <x:c r="B808" s="52"/>
    </x:row>
    <x:row r="809">
      <x:c r="A809" s="28"/>
      <x:c r="B809" s="52"/>
    </x:row>
    <x:row r="810">
      <x:c r="A810" s="28"/>
      <x:c r="B810" s="52"/>
    </x:row>
    <x:row r="811">
      <x:c r="A811" s="28"/>
      <x:c r="B811" s="52"/>
    </x:row>
    <x:row r="812">
      <x:c r="A812" s="28"/>
      <x:c r="B812" s="52"/>
    </x:row>
    <x:row r="813">
      <x:c r="A813" s="28"/>
      <x:c r="B813" s="52"/>
    </x:row>
    <x:row r="814">
      <x:c r="A814" s="28"/>
      <x:c r="B814" s="52"/>
    </x:row>
    <x:row r="815">
      <x:c r="A815" s="28"/>
      <x:c r="B815" s="52"/>
    </x:row>
    <x:row r="816">
      <x:c r="A816" s="28"/>
      <x:c r="B816" s="52"/>
    </x:row>
    <x:row r="817">
      <x:c r="A817" s="28"/>
      <x:c r="B817" s="52"/>
    </x:row>
    <x:row r="818">
      <x:c r="A818" s="28"/>
      <x:c r="B818" s="52"/>
    </x:row>
    <x:row r="819">
      <x:c r="A819" s="28"/>
      <x:c r="B819" s="52"/>
    </x:row>
    <x:row r="820">
      <x:c r="A820" s="28"/>
      <x:c r="B820" s="52"/>
    </x:row>
    <x:row r="821">
      <x:c r="A821" s="28"/>
      <x:c r="B821" s="52"/>
    </x:row>
    <x:row r="822">
      <x:c r="A822" s="28"/>
      <x:c r="B822" s="52"/>
    </x:row>
    <x:row r="823">
      <x:c r="A823" s="28"/>
      <x:c r="B823" s="52"/>
    </x:row>
    <x:row r="824">
      <x:c r="A824" s="28"/>
      <x:c r="B824" s="52"/>
    </x:row>
    <x:row r="825">
      <x:c r="A825" s="28"/>
      <x:c r="B825" s="52"/>
    </x:row>
    <x:row r="826">
      <x:c r="A826" s="28"/>
      <x:c r="B826" s="52"/>
    </x:row>
    <x:row r="827">
      <x:c r="A827" s="28"/>
      <x:c r="B827" s="52"/>
    </x:row>
    <x:row r="828">
      <x:c r="A828" s="28"/>
      <x:c r="B828" s="52"/>
    </x:row>
    <x:row r="829">
      <x:c r="A829" s="28"/>
      <x:c r="B829" s="52"/>
    </x:row>
    <x:row r="830">
      <x:c r="A830" s="28"/>
      <x:c r="B830" s="52"/>
    </x:row>
    <x:row r="831">
      <x:c r="A831" s="28"/>
      <x:c r="B831" s="52"/>
    </x:row>
    <x:row r="832">
      <x:c r="A832" s="28"/>
      <x:c r="B832" s="52"/>
    </x:row>
    <x:row r="833">
      <x:c r="A833" s="28"/>
      <x:c r="B833" s="52"/>
    </x:row>
    <x:row r="834">
      <x:c r="A834" s="28"/>
      <x:c r="B834" s="52"/>
    </x:row>
    <x:row r="835">
      <x:c r="A835" s="28"/>
      <x:c r="B835" s="52"/>
    </x:row>
    <x:row r="836">
      <x:c r="A836" s="28"/>
      <x:c r="B836" s="52"/>
    </x:row>
    <x:row r="837">
      <x:c r="A837" s="28"/>
      <x:c r="B837" s="52"/>
    </x:row>
    <x:row r="838">
      <x:c r="A838" s="28"/>
      <x:c r="B838" s="52"/>
    </x:row>
    <x:row r="839">
      <x:c r="A839" s="28"/>
      <x:c r="B839" s="52"/>
    </x:row>
    <x:row r="840">
      <x:c r="A840" s="28"/>
      <x:c r="B840" s="52"/>
    </x:row>
    <x:row r="841">
      <x:c r="A841" s="28"/>
      <x:c r="B841" s="52"/>
    </x:row>
    <x:row r="842">
      <x:c r="A842" s="28"/>
      <x:c r="B842" s="52"/>
    </x:row>
    <x:row r="843">
      <x:c r="A843" s="28"/>
      <x:c r="B843" s="52"/>
    </x:row>
    <x:row r="844">
      <x:c r="A844" s="28"/>
      <x:c r="B844" s="52"/>
    </x:row>
    <x:row r="845">
      <x:c r="A845" s="28"/>
      <x:c r="B845" s="52"/>
    </x:row>
    <x:row r="846">
      <x:c r="A846" s="28"/>
      <x:c r="B846" s="52"/>
    </x:row>
    <x:row r="847">
      <x:c r="A847" s="28"/>
      <x:c r="B847" s="52"/>
    </x:row>
    <x:row r="848">
      <x:c r="A848" s="28"/>
      <x:c r="B848" s="52"/>
    </x:row>
    <x:row r="849">
      <x:c r="A849" s="28"/>
      <x:c r="B849" s="52"/>
    </x:row>
    <x:row r="850">
      <x:c r="A850" s="28"/>
      <x:c r="B850" s="52"/>
    </x:row>
    <x:row r="851">
      <x:c r="A851" s="28"/>
      <x:c r="B851" s="52"/>
    </x:row>
    <x:row r="852">
      <x:c r="A852" s="28"/>
      <x:c r="B852" s="52"/>
    </x:row>
    <x:row r="853">
      <x:c r="A853" s="28"/>
      <x:c r="B853" s="52"/>
    </x:row>
    <x:row r="854">
      <x:c r="A854" s="28"/>
      <x:c r="B854" s="52"/>
    </x:row>
    <x:row r="855">
      <x:c r="A855" s="28"/>
      <x:c r="B855" s="52"/>
    </x:row>
    <x:row r="856">
      <x:c r="A856" s="28"/>
      <x:c r="B856" s="52"/>
    </x:row>
    <x:row r="857">
      <x:c r="A857" s="28"/>
      <x:c r="B857" s="52"/>
    </x:row>
    <x:row r="858">
      <x:c r="A858" s="28"/>
      <x:c r="B858" s="52"/>
    </x:row>
    <x:row r="859">
      <x:c r="A859" s="28"/>
      <x:c r="B859" s="52"/>
    </x:row>
    <x:row r="860">
      <x:c r="A860" s="28"/>
      <x:c r="B860" s="52"/>
    </x:row>
    <x:row r="861">
      <x:c r="A861" s="28"/>
      <x:c r="B861" s="52"/>
    </x:row>
    <x:row r="862">
      <x:c r="A862" s="28"/>
      <x:c r="B862" s="52"/>
    </x:row>
    <x:row r="863">
      <x:c r="A863" s="28"/>
      <x:c r="B863" s="52"/>
    </x:row>
    <x:row r="864">
      <x:c r="A864" s="28"/>
      <x:c r="B864" s="52"/>
    </x:row>
    <x:row r="865">
      <x:c r="A865" s="28"/>
      <x:c r="B865" s="52"/>
    </x:row>
    <x:row r="866">
      <x:c r="A866" s="28"/>
      <x:c r="B866" s="52"/>
    </x:row>
    <x:row r="867">
      <x:c r="A867" s="28"/>
      <x:c r="B867" s="52"/>
    </x:row>
    <x:row r="868">
      <x:c r="A868" s="28"/>
      <x:c r="B868" s="52"/>
    </x:row>
    <x:row r="869">
      <x:c r="A869" s="28"/>
      <x:c r="B869" s="52"/>
    </x:row>
    <x:row r="870">
      <x:c r="A870" s="28"/>
      <x:c r="B870" s="52"/>
    </x:row>
    <x:row r="871">
      <x:c r="A871" s="28"/>
      <x:c r="B871" s="52"/>
    </x:row>
    <x:row r="872">
      <x:c r="A872" s="28"/>
      <x:c r="B872" s="52"/>
    </x:row>
    <x:row r="873">
      <x:c r="A873" s="28"/>
      <x:c r="B873" s="52"/>
    </x:row>
    <x:row r="874">
      <x:c r="A874" s="28"/>
      <x:c r="B874" s="52"/>
    </x:row>
    <x:row r="875">
      <x:c r="A875" s="28"/>
      <x:c r="B875" s="52"/>
    </x:row>
    <x:row r="876">
      <x:c r="A876" s="28"/>
      <x:c r="B876" s="52"/>
    </x:row>
    <x:row r="877">
      <x:c r="A877" s="28"/>
      <x:c r="B877" s="52"/>
    </x:row>
    <x:row r="878">
      <x:c r="A878" s="28"/>
      <x:c r="B878" s="52"/>
    </x:row>
    <x:row r="879">
      <x:c r="A879" s="28"/>
      <x:c r="B879" s="52"/>
    </x:row>
    <x:row r="880">
      <x:c r="A880" s="28"/>
      <x:c r="B880" s="52"/>
    </x:row>
    <x:row r="881">
      <x:c r="A881" s="28"/>
      <x:c r="B881" s="52"/>
    </x:row>
    <x:row r="882">
      <x:c r="A882" s="28"/>
      <x:c r="B882" s="52"/>
    </x:row>
    <x:row r="883">
      <x:c r="A883" s="28"/>
      <x:c r="B883" s="52"/>
    </x:row>
    <x:row r="884">
      <x:c r="A884" s="28"/>
      <x:c r="B884" s="52"/>
    </x:row>
    <x:row r="885">
      <x:c r="A885" s="28"/>
      <x:c r="B885" s="52"/>
    </x:row>
    <x:row r="886">
      <x:c r="A886" s="28"/>
      <x:c r="B886" s="52"/>
    </x:row>
    <x:row r="887">
      <x:c r="A887" s="28"/>
      <x:c r="B887" s="52"/>
    </x:row>
    <x:row r="888">
      <x:c r="A888" s="28"/>
      <x:c r="B888" s="52"/>
    </x:row>
    <x:row r="889">
      <x:c r="A889" s="28"/>
      <x:c r="B889" s="52"/>
    </x:row>
    <x:row r="890">
      <x:c r="A890" s="28"/>
      <x:c r="B890" s="52"/>
    </x:row>
    <x:row r="891">
      <x:c r="A891" s="28"/>
      <x:c r="B891" s="52"/>
    </x:row>
    <x:row r="892">
      <x:c r="A892" s="28"/>
      <x:c r="B892" s="52"/>
    </x:row>
    <x:row r="893">
      <x:c r="A893" s="28"/>
      <x:c r="B893" s="52"/>
    </x:row>
    <x:row r="894">
      <x:c r="A894" s="28"/>
      <x:c r="B894" s="52"/>
    </x:row>
    <x:row r="895">
      <x:c r="A895" s="28"/>
      <x:c r="B895" s="52"/>
    </x:row>
    <x:row r="896">
      <x:c r="A896" s="28"/>
      <x:c r="B896" s="52"/>
    </x:row>
    <x:row r="897">
      <x:c r="A897" s="28"/>
      <x:c r="B897" s="52"/>
    </x:row>
    <x:row r="898">
      <x:c r="A898" s="28"/>
      <x:c r="B898" s="52"/>
    </x:row>
    <x:row r="899">
      <x:c r="A899" s="28"/>
      <x:c r="B899" s="52"/>
    </x:row>
    <x:row r="900">
      <x:c r="A900" s="28"/>
      <x:c r="B900" s="52"/>
    </x:row>
    <x:row r="901">
      <x:c r="A901" s="28"/>
      <x:c r="B901" s="52"/>
    </x:row>
    <x:row r="902">
      <x:c r="A902" s="28"/>
      <x:c r="B902" s="52"/>
    </x:row>
    <x:row r="903">
      <x:c r="A903" s="28"/>
      <x:c r="B903" s="52"/>
    </x:row>
    <x:row r="904">
      <x:c r="A904" s="28"/>
      <x:c r="B904" s="52"/>
    </x:row>
    <x:row r="905">
      <x:c r="A905" s="28"/>
      <x:c r="B905" s="52"/>
    </x:row>
    <x:row r="906">
      <x:c r="A906" s="28"/>
      <x:c r="B906" s="52"/>
    </x:row>
    <x:row r="907">
      <x:c r="A907" s="28"/>
      <x:c r="B907" s="52"/>
    </x:row>
    <x:row r="908">
      <x:c r="A908" s="28"/>
      <x:c r="B908" s="52"/>
    </x:row>
    <x:row r="909">
      <x:c r="A909" s="28"/>
      <x:c r="B909" s="52"/>
    </x:row>
    <x:row r="910">
      <x:c r="A910" s="28"/>
      <x:c r="B910" s="52"/>
    </x:row>
    <x:row r="911">
      <x:c r="A911" s="28"/>
      <x:c r="B911" s="52"/>
    </x:row>
    <x:row r="912">
      <x:c r="A912" s="28"/>
      <x:c r="B912" s="52"/>
    </x:row>
    <x:row r="913">
      <x:c r="A913" s="28"/>
      <x:c r="B913" s="52"/>
    </x:row>
    <x:row r="914">
      <x:c r="A914" s="28"/>
      <x:c r="B914" s="52"/>
    </x:row>
    <x:row r="915">
      <x:c r="A915" s="28"/>
      <x:c r="B915" s="52"/>
    </x:row>
    <x:row r="916">
      <x:c r="A916" s="28"/>
      <x:c r="B916" s="52"/>
    </x:row>
    <x:row r="917">
      <x:c r="A917" s="28"/>
      <x:c r="B917" s="52"/>
    </x:row>
    <x:row r="918">
      <x:c r="A918" s="28"/>
      <x:c r="B918" s="52"/>
    </x:row>
    <x:row r="919">
      <x:c r="A919" s="28"/>
      <x:c r="B919" s="52"/>
    </x:row>
    <x:row r="920">
      <x:c r="A920" s="28"/>
      <x:c r="B920" s="52"/>
    </x:row>
    <x:row r="921">
      <x:c r="A921" s="28"/>
      <x:c r="B921" s="52"/>
    </x:row>
    <x:row r="922">
      <x:c r="A922" s="28"/>
      <x:c r="B922" s="52"/>
    </x:row>
    <x:row r="923">
      <x:c r="A923" s="28"/>
      <x:c r="B923" s="52"/>
    </x:row>
    <x:row r="924">
      <x:c r="A924" s="28"/>
      <x:c r="B924" s="52"/>
    </x:row>
    <x:row r="925">
      <x:c r="A925" s="28"/>
      <x:c r="B925" s="52"/>
    </x:row>
    <x:row r="926">
      <x:c r="A926" s="28"/>
      <x:c r="B926" s="52"/>
    </x:row>
    <x:row r="927">
      <x:c r="A927" s="28"/>
      <x:c r="B927" s="52"/>
    </x:row>
    <x:row r="928">
      <x:c r="A928" s="28"/>
      <x:c r="B928" s="52"/>
    </x:row>
    <x:row r="929">
      <x:c r="A929" s="28"/>
      <x:c r="B929" s="52"/>
    </x:row>
    <x:row r="930">
      <x:c r="A930" s="28"/>
      <x:c r="B930" s="52"/>
    </x:row>
    <x:row r="931">
      <x:c r="A931" s="28"/>
      <x:c r="B931" s="52"/>
    </x:row>
    <x:row r="932">
      <x:c r="A932" s="28"/>
      <x:c r="B932" s="52"/>
    </x:row>
    <x:row r="933">
      <x:c r="A933" s="28"/>
      <x:c r="B933" s="52"/>
    </x:row>
    <x:row r="934">
      <x:c r="A934" s="28"/>
      <x:c r="B934" s="52"/>
    </x:row>
    <x:row r="935">
      <x:c r="A935" s="28"/>
      <x:c r="B935" s="52"/>
    </x:row>
    <x:row r="936">
      <x:c r="A936" s="28"/>
      <x:c r="B936" s="52"/>
    </x:row>
    <x:row r="937">
      <x:c r="A937" s="28"/>
      <x:c r="B937" s="52"/>
    </x:row>
    <x:row r="938">
      <x:c r="A938" s="28"/>
      <x:c r="B938" s="52"/>
    </x:row>
    <x:row r="939">
      <x:c r="A939" s="28"/>
      <x:c r="B939" s="52"/>
    </x:row>
    <x:row r="940">
      <x:c r="A940" s="28"/>
      <x:c r="B940" s="52"/>
    </x:row>
    <x:row r="941">
      <x:c r="A941" s="28"/>
      <x:c r="B941" s="52"/>
    </x:row>
    <x:row r="942">
      <x:c r="A942" s="28"/>
      <x:c r="B942" s="52"/>
    </x:row>
    <x:row r="943">
      <x:c r="A943" s="28"/>
      <x:c r="B943" s="52"/>
    </x:row>
    <x:row r="944">
      <x:c r="A944" s="28"/>
      <x:c r="B944" s="52"/>
    </x:row>
    <x:row r="945">
      <x:c r="A945" s="28"/>
      <x:c r="B945" s="52"/>
    </x:row>
    <x:row r="946">
      <x:c r="A946" s="28"/>
      <x:c r="B946" s="52"/>
    </x:row>
    <x:row r="947">
      <x:c r="A947" s="28"/>
      <x:c r="B947" s="52"/>
    </x:row>
    <x:row r="948">
      <x:c r="A948" s="28"/>
      <x:c r="B948" s="52"/>
    </x:row>
    <x:row r="949">
      <x:c r="A949" s="28"/>
      <x:c r="B949" s="52"/>
    </x:row>
    <x:row r="950">
      <x:c r="A950" s="28"/>
      <x:c r="B950" s="52"/>
    </x:row>
    <x:row r="951">
      <x:c r="A951" s="28"/>
      <x:c r="B951" s="52"/>
    </x:row>
    <x:row r="952">
      <x:c r="A952" s="28"/>
      <x:c r="B952" s="52"/>
    </x:row>
    <x:row r="953">
      <x:c r="A953" s="28"/>
      <x:c r="B953" s="52"/>
    </x:row>
    <x:row r="954">
      <x:c r="A954" s="28"/>
      <x:c r="B954" s="52"/>
    </x:row>
    <x:row r="955">
      <x:c r="A955" s="28"/>
      <x:c r="B955" s="52"/>
    </x:row>
    <x:row r="956">
      <x:c r="A956" s="28"/>
      <x:c r="B956" s="52"/>
    </x:row>
    <x:row r="957">
      <x:c r="A957" s="28"/>
      <x:c r="B957" s="52"/>
    </x:row>
    <x:row r="958">
      <x:c r="A958" s="28"/>
      <x:c r="B958" s="52"/>
    </x:row>
    <x:row r="959">
      <x:c r="A959" s="28"/>
      <x:c r="B959" s="52"/>
    </x:row>
    <x:row r="960">
      <x:c r="A960" s="28"/>
      <x:c r="B960" s="52"/>
    </x:row>
    <x:row r="961">
      <x:c r="A961" s="28"/>
      <x:c r="B961" s="52"/>
    </x:row>
    <x:row r="962">
      <x:c r="A962" s="28"/>
      <x:c r="B962" s="52"/>
    </x:row>
    <x:row r="963">
      <x:c r="A963" s="28"/>
      <x:c r="B963" s="52"/>
    </x:row>
    <x:row r="964">
      <x:c r="A964" s="28"/>
      <x:c r="B964" s="52"/>
    </x:row>
    <x:row r="965">
      <x:c r="A965" s="28"/>
      <x:c r="B965" s="52"/>
    </x:row>
    <x:row r="966">
      <x:c r="A966" s="28"/>
      <x:c r="B966" s="52"/>
    </x:row>
    <x:row r="967">
      <x:c r="A967" s="28"/>
      <x:c r="B967" s="52"/>
    </x:row>
    <x:row r="968">
      <x:c r="A968" s="28"/>
      <x:c r="B968" s="52"/>
    </x:row>
    <x:row r="969">
      <x:c r="A969" s="28"/>
      <x:c r="B969" s="52"/>
    </x:row>
    <x:row r="970">
      <x:c r="A970" s="28"/>
      <x:c r="B970" s="52"/>
    </x:row>
    <x:row r="971">
      <x:c r="A971" s="28"/>
      <x:c r="B971" s="52"/>
    </x:row>
    <x:row r="972">
      <x:c r="A972" s="28"/>
      <x:c r="B972" s="52"/>
    </x:row>
    <x:row r="973">
      <x:c r="A973" s="28"/>
      <x:c r="B973" s="52"/>
    </x:row>
    <x:row r="974">
      <x:c r="A974" s="28"/>
      <x:c r="B974" s="52"/>
    </x:row>
    <x:row r="975">
      <x:c r="A975" s="28"/>
      <x:c r="B975" s="52"/>
    </x:row>
    <x:row r="976">
      <x:c r="A976" s="28"/>
      <x:c r="B976" s="52"/>
    </x:row>
    <x:row r="977">
      <x:c r="A977" s="28"/>
      <x:c r="B977" s="52"/>
    </x:row>
    <x:row r="978">
      <x:c r="A978" s="28"/>
      <x:c r="B978" s="52"/>
    </x:row>
    <x:row r="979">
      <x:c r="A979" s="28"/>
      <x:c r="B979" s="52"/>
    </x:row>
    <x:row r="980">
      <x:c r="A980" s="28"/>
      <x:c r="B980" s="52"/>
    </x:row>
    <x:row r="981">
      <x:c r="A981" s="28"/>
      <x:c r="B981" s="52"/>
    </x:row>
    <x:row r="982">
      <x:c r="A982" s="28"/>
      <x:c r="B982" s="52"/>
    </x:row>
    <x:row r="983">
      <x:c r="A983" s="28"/>
      <x:c r="B983" s="52"/>
    </x:row>
    <x:row r="984">
      <x:c r="A984" s="28"/>
      <x:c r="B984" s="52"/>
    </x:row>
    <x:row r="985">
      <x:c r="A985" s="28"/>
      <x:c r="B985" s="52"/>
    </x:row>
    <x:row r="986">
      <x:c r="A986" s="28"/>
      <x:c r="B986" s="52"/>
    </x:row>
    <x:row r="987">
      <x:c r="A987" s="28"/>
      <x:c r="B987" s="52"/>
    </x:row>
    <x:row r="988">
      <x:c r="A988" s="28"/>
      <x:c r="B988" s="52"/>
    </x:row>
    <x:row r="989">
      <x:c r="A989" s="28"/>
      <x:c r="B989" s="52"/>
    </x:row>
    <x:row r="990">
      <x:c r="A990" s="28"/>
      <x:c r="B990" s="52"/>
    </x:row>
    <x:row r="991">
      <x:c r="A991" s="28"/>
      <x:c r="B991" s="52"/>
    </x:row>
    <x:row r="992">
      <x:c r="A992" s="28"/>
      <x:c r="B992" s="52"/>
    </x:row>
    <x:row r="993">
      <x:c r="A993" s="28"/>
      <x:c r="B993" s="52"/>
    </x:row>
    <x:row r="994">
      <x:c r="A994" s="28"/>
      <x:c r="B994" s="52"/>
    </x:row>
    <x:row r="995">
      <x:c r="A995" s="28"/>
      <x:c r="B995" s="52"/>
    </x:row>
    <x:row r="996">
      <x:c r="A996" s="28"/>
      <x:c r="B996" s="52"/>
    </x:row>
    <x:row r="997">
      <x:c r="A997" s="28"/>
      <x:c r="B997" s="52"/>
    </x:row>
    <x:row r="998">
      <x:c r="A998" s="28"/>
      <x:c r="B998" s="52"/>
    </x:row>
    <x:row r="999">
      <x:c r="A999" s="28"/>
      <x:c r="B999" s="52"/>
    </x:row>
    <x:row r="1000">
      <x:c r="A1000" s="28"/>
      <x:c r="B1000" s="52"/>
    </x:row>
    <x:row r="1001">
      <x:c r="A1001" s="28"/>
      <x:c r="B1001" s="52"/>
    </x:row>
    <x:row r="1002">
      <x:c r="A1002" s="28"/>
      <x:c r="B1002" s="52"/>
    </x:row>
    <x:row r="1003">
      <x:c r="A1003" s="28"/>
      <x:c r="B1003" s="52"/>
    </x:row>
    <x:row r="1004">
      <x:c r="A1004" s="28"/>
      <x:c r="B1004" s="52"/>
    </x:row>
    <x:row r="1005">
      <x:c r="A1005" s="28"/>
      <x:c r="B1005" s="52"/>
    </x:row>
    <x:row r="1006">
      <x:c r="A1006" s="28"/>
      <x:c r="B1006" s="52"/>
    </x:row>
    <x:row r="1007">
      <x:c r="A1007" s="28"/>
      <x:c r="B1007" s="52"/>
    </x:row>
    <x:row r="1008">
      <x:c r="A1008" s="28"/>
      <x:c r="B1008" s="52"/>
    </x:row>
    <x:row r="1009">
      <x:c r="A1009" s="28"/>
      <x:c r="B1009" s="52"/>
    </x:row>
    <x:row r="1010">
      <x:c r="A1010" s="28"/>
      <x:c r="B1010" s="52"/>
    </x:row>
    <x:row r="1011">
      <x:c r="A1011" s="28"/>
      <x:c r="B1011" s="52"/>
    </x:row>
    <x:row r="1012">
      <x:c r="A1012" s="28"/>
      <x:c r="B1012" s="52"/>
    </x:row>
    <x:row r="1013">
      <x:c r="A1013" s="28"/>
      <x:c r="B1013" s="52"/>
    </x:row>
    <x:row r="1014">
      <x:c r="A1014" s="28"/>
      <x:c r="B1014" s="52"/>
    </x:row>
    <x:row r="1015">
      <x:c r="A1015" s="28"/>
      <x:c r="B1015" s="52"/>
    </x:row>
    <x:row r="1016">
      <x:c r="A1016" s="28"/>
      <x:c r="B1016" s="52"/>
    </x:row>
    <x:row r="1017">
      <x:c r="A1017" s="28"/>
      <x:c r="B1017" s="52"/>
    </x:row>
    <x:row r="1018">
      <x:c r="A1018" s="28"/>
      <x:c r="B1018" s="52"/>
    </x:row>
    <x:row r="1019">
      <x:c r="A1019" s="28"/>
      <x:c r="B1019" s="52"/>
    </x:row>
    <x:row r="1020">
      <x:c r="A1020" s="28"/>
      <x:c r="B1020" s="52"/>
    </x:row>
    <x:row r="1021">
      <x:c r="A1021" s="28"/>
      <x:c r="B1021" s="52"/>
    </x:row>
    <x:row r="1022">
      <x:c r="A1022" s="28"/>
      <x:c r="B1022" s="52"/>
    </x:row>
    <x:row r="1023">
      <x:c r="A1023" s="28"/>
      <x:c r="B1023" s="52"/>
    </x:row>
    <x:row r="1024">
      <x:c r="A1024" s="28"/>
      <x:c r="B1024" s="52"/>
    </x:row>
    <x:row r="1025">
      <x:c r="A1025" s="28"/>
      <x:c r="B1025" s="52"/>
    </x:row>
    <x:row r="1026">
      <x:c r="A1026" s="28"/>
      <x:c r="B1026" s="52"/>
    </x:row>
    <x:row r="1027">
      <x:c r="A1027" s="28"/>
      <x:c r="B1027" s="52"/>
    </x:row>
    <x:row r="1028">
      <x:c r="A1028" s="28"/>
      <x:c r="B1028" s="52"/>
    </x:row>
    <x:row r="1029">
      <x:c r="A1029" s="28"/>
      <x:c r="B1029" s="52"/>
    </x:row>
    <x:row r="1030">
      <x:c r="A1030" s="28"/>
      <x:c r="B1030" s="52"/>
    </x:row>
    <x:row r="1031">
      <x:c r="A1031" s="28"/>
      <x:c r="B1031" s="52"/>
    </x:row>
    <x:row r="1032">
      <x:c r="A1032" s="28"/>
      <x:c r="B1032" s="52"/>
    </x:row>
    <x:row r="1033">
      <x:c r="A1033" s="28"/>
      <x:c r="B1033" s="52"/>
    </x:row>
    <x:row r="1034">
      <x:c r="A1034" s="28"/>
      <x:c r="B1034" s="52"/>
    </x:row>
    <x:row r="1035">
      <x:c r="A1035" s="28"/>
      <x:c r="B1035" s="52"/>
    </x:row>
    <x:row r="1036">
      <x:c r="A1036" s="28"/>
      <x:c r="B1036" s="52"/>
    </x:row>
    <x:row r="1037">
      <x:c r="A1037" s="28"/>
      <x:c r="B1037" s="52"/>
    </x:row>
    <x:row r="1038">
      <x:c r="A1038" s="28"/>
      <x:c r="B1038" s="52"/>
    </x:row>
    <x:row r="1039">
      <x:c r="A1039" s="28"/>
      <x:c r="B1039" s="52"/>
    </x:row>
    <x:row r="1040">
      <x:c r="A1040" s="28"/>
      <x:c r="B1040" s="52"/>
    </x:row>
    <x:row r="1041">
      <x:c r="A1041" s="28"/>
      <x:c r="B1041" s="52"/>
    </x:row>
    <x:row r="1042">
      <x:c r="A1042" s="28"/>
      <x:c r="B1042" s="52"/>
    </x:row>
    <x:row r="1043">
      <x:c r="A1043" s="28"/>
      <x:c r="B1043" s="52"/>
    </x:row>
    <x:row r="1044">
      <x:c r="A1044" s="28"/>
      <x:c r="B1044" s="52"/>
    </x:row>
    <x:row r="1045">
      <x:c r="A1045" s="28"/>
      <x:c r="B1045" s="52"/>
    </x:row>
    <x:row r="1046">
      <x:c r="A1046" s="28"/>
      <x:c r="B1046" s="52"/>
    </x:row>
    <x:row r="1047">
      <x:c r="A1047" s="28"/>
      <x:c r="B1047" s="52"/>
    </x:row>
    <x:row r="1048">
      <x:c r="A1048" s="28"/>
      <x:c r="B1048" s="52"/>
    </x:row>
    <x:row r="1049">
      <x:c r="A1049" s="28"/>
      <x:c r="B1049" s="52"/>
    </x:row>
    <x:row r="1050">
      <x:c r="A1050" s="28"/>
      <x:c r="B1050" s="52"/>
    </x:row>
    <x:row r="1051">
      <x:c r="A1051" s="28"/>
      <x:c r="B1051" s="52"/>
    </x:row>
    <x:row r="1052">
      <x:c r="A1052" s="28"/>
      <x:c r="B1052" s="52"/>
    </x:row>
    <x:row r="1053">
      <x:c r="A1053" s="28"/>
      <x:c r="B1053" s="52"/>
    </x:row>
    <x:row r="1054">
      <x:c r="A1054" s="28"/>
      <x:c r="B1054" s="52"/>
    </x:row>
    <x:row r="1055">
      <x:c r="A1055" s="28"/>
      <x:c r="B1055" s="52"/>
    </x:row>
    <x:row r="1056">
      <x:c r="A1056" s="28"/>
      <x:c r="B1056" s="52"/>
    </x:row>
    <x:row r="1057">
      <x:c r="A1057" s="28"/>
      <x:c r="B1057" s="52"/>
    </x:row>
    <x:row r="1058">
      <x:c r="A1058" s="28"/>
      <x:c r="B1058" s="52"/>
    </x:row>
    <x:row r="1059">
      <x:c r="A1059" s="28"/>
      <x:c r="B1059" s="52"/>
    </x:row>
    <x:row r="1060">
      <x:c r="A1060" s="28"/>
      <x:c r="B1060" s="52"/>
    </x:row>
    <x:row r="1061">
      <x:c r="A1061" s="28"/>
      <x:c r="B1061" s="52"/>
    </x:row>
    <x:row r="1062">
      <x:c r="A1062" s="28"/>
      <x:c r="B1062" s="52"/>
    </x:row>
    <x:row r="1063">
      <x:c r="A1063" s="28"/>
      <x:c r="B1063" s="52"/>
    </x:row>
    <x:row r="1064">
      <x:c r="A1064" s="28"/>
      <x:c r="B1064" s="52"/>
    </x:row>
    <x:row r="1065">
      <x:c r="A1065" s="28"/>
      <x:c r="B1065" s="52"/>
    </x:row>
    <x:row r="1066">
      <x:c r="A1066" s="28"/>
      <x:c r="B1066" s="52"/>
    </x:row>
    <x:row r="1067">
      <x:c r="A1067" s="28"/>
      <x:c r="B1067" s="52"/>
    </x:row>
    <x:row r="1068">
      <x:c r="A1068" s="28"/>
      <x:c r="B1068" s="52"/>
    </x:row>
    <x:row r="1069">
      <x:c r="A1069" s="28"/>
      <x:c r="B1069" s="52"/>
    </x:row>
    <x:row r="1070">
      <x:c r="A1070" s="28"/>
      <x:c r="B1070" s="52"/>
    </x:row>
    <x:row r="1071">
      <x:c r="A1071" s="28"/>
      <x:c r="B1071" s="52"/>
    </x:row>
    <x:row r="1072">
      <x:c r="A1072" s="28"/>
      <x:c r="B1072" s="52"/>
    </x:row>
    <x:row r="1073">
      <x:c r="A1073" s="28"/>
      <x:c r="B1073" s="52"/>
    </x:row>
    <x:row r="1074">
      <x:c r="A1074" s="28"/>
      <x:c r="B1074" s="52"/>
    </x:row>
    <x:row r="1075">
      <x:c r="A1075" s="28"/>
      <x:c r="B1075" s="52"/>
    </x:row>
    <x:row r="1076">
      <x:c r="A1076" s="28"/>
      <x:c r="B1076" s="52"/>
    </x:row>
    <x:row r="1077">
      <x:c r="A1077" s="28"/>
      <x:c r="B1077" s="52"/>
    </x:row>
    <x:row r="1078">
      <x:c r="A1078" s="28"/>
      <x:c r="B1078" s="52"/>
    </x:row>
    <x:row r="1079">
      <x:c r="A1079" s="28"/>
      <x:c r="B1079" s="52"/>
    </x:row>
    <x:row r="1080">
      <x:c r="A1080" s="28"/>
      <x:c r="B1080" s="52"/>
    </x:row>
    <x:row r="1081">
      <x:c r="A1081" s="28"/>
      <x:c r="B1081" s="52"/>
    </x:row>
    <x:row r="1082">
      <x:c r="A1082" s="28"/>
      <x:c r="B1082" s="52"/>
    </x:row>
    <x:row r="1083">
      <x:c r="A1083" s="28"/>
      <x:c r="B1083" s="52"/>
    </x:row>
    <x:row r="1084">
      <x:c r="A1084" s="28"/>
      <x:c r="B1084" s="52"/>
    </x:row>
    <x:row r="1085">
      <x:c r="A1085" s="28"/>
      <x:c r="B1085" s="52"/>
    </x:row>
    <x:row r="1086">
      <x:c r="A1086" s="28"/>
      <x:c r="B1086" s="52"/>
    </x:row>
    <x:row r="1087">
      <x:c r="A1087" s="28"/>
      <x:c r="B1087" s="52"/>
    </x:row>
    <x:row r="1088">
      <x:c r="A1088" s="28"/>
      <x:c r="B1088" s="52"/>
    </x:row>
    <x:row r="1089">
      <x:c r="A1089" s="28"/>
      <x:c r="B1089" s="52"/>
    </x:row>
    <x:row r="1090">
      <x:c r="A1090" s="28"/>
      <x:c r="B1090" s="52"/>
    </x:row>
    <x:row r="1091">
      <x:c r="A1091" s="28"/>
      <x:c r="B1091" s="52"/>
    </x:row>
    <x:row r="1092">
      <x:c r="A1092" s="28"/>
      <x:c r="B1092" s="52"/>
    </x:row>
    <x:row r="1093">
      <x:c r="A1093" s="28"/>
      <x:c r="B1093" s="52"/>
    </x:row>
    <x:row r="1094">
      <x:c r="A1094" s="28"/>
      <x:c r="B1094" s="52"/>
    </x:row>
    <x:row r="1095">
      <x:c r="A1095" s="28"/>
      <x:c r="B1095" s="52"/>
    </x:row>
    <x:row r="1096">
      <x:c r="A1096" s="28"/>
      <x:c r="B1096" s="52"/>
    </x:row>
    <x:row r="1097">
      <x:c r="A1097" s="28"/>
      <x:c r="B1097" s="52"/>
    </x:row>
    <x:row r="1098">
      <x:c r="A1098" s="28"/>
      <x:c r="B1098" s="52"/>
    </x:row>
    <x:row r="1099">
      <x:c r="A1099" s="28"/>
      <x:c r="B1099" s="52"/>
    </x:row>
    <x:row r="1100">
      <x:c r="A1100" s="28"/>
      <x:c r="B1100" s="52"/>
    </x:row>
    <x:row r="1101">
      <x:c r="A1101" s="28"/>
      <x:c r="B1101" s="52"/>
    </x:row>
    <x:row r="1102">
      <x:c r="A1102" s="28"/>
      <x:c r="B1102" s="52"/>
    </x:row>
    <x:row r="1103">
      <x:c r="A1103" s="28"/>
      <x:c r="B1103" s="52"/>
    </x:row>
    <x:row r="1104">
      <x:c r="A1104" s="28"/>
      <x:c r="B1104" s="52"/>
    </x:row>
    <x:row r="1105">
      <x:c r="A1105" s="28"/>
      <x:c r="B1105" s="52"/>
    </x:row>
    <x:row r="1106">
      <x:c r="A1106" s="28"/>
      <x:c r="B1106" s="52"/>
    </x:row>
    <x:row r="1107">
      <x:c r="A1107" s="28"/>
      <x:c r="B1107" s="52"/>
    </x:row>
    <x:row r="1108">
      <x:c r="A1108" s="28"/>
      <x:c r="B1108" s="52"/>
    </x:row>
    <x:row r="1109">
      <x:c r="A1109" s="28"/>
      <x:c r="B1109" s="52"/>
    </x:row>
    <x:row r="1110">
      <x:c r="A1110" s="28"/>
      <x:c r="B1110" s="52"/>
    </x:row>
    <x:row r="1111">
      <x:c r="A1111" s="28"/>
      <x:c r="B1111" s="52"/>
    </x:row>
    <x:row r="1112">
      <x:c r="A1112" s="28"/>
      <x:c r="B1112" s="52"/>
    </x:row>
    <x:row r="1113">
      <x:c r="A1113" s="28"/>
      <x:c r="B1113" s="52"/>
    </x:row>
    <x:row r="1114">
      <x:c r="A1114" s="28"/>
      <x:c r="B1114" s="52"/>
    </x:row>
    <x:row r="1115">
      <x:c r="A1115" s="28"/>
      <x:c r="B1115" s="52"/>
    </x:row>
    <x:row r="1116">
      <x:c r="A1116" s="28"/>
      <x:c r="B1116" s="52"/>
    </x:row>
    <x:row r="1117">
      <x:c r="A1117" s="28"/>
      <x:c r="B1117" s="52"/>
    </x:row>
    <x:row r="1118">
      <x:c r="A1118" s="28"/>
      <x:c r="B1118" s="52"/>
    </x:row>
    <x:row r="1119">
      <x:c r="A1119" s="28"/>
      <x:c r="B1119" s="52"/>
    </x:row>
    <x:row r="1120">
      <x:c r="A1120" s="28"/>
      <x:c r="B1120" s="52"/>
    </x:row>
    <x:row r="1121">
      <x:c r="A1121" s="28"/>
      <x:c r="B1121" s="52"/>
    </x:row>
    <x:row r="1122">
      <x:c r="A1122" s="28"/>
      <x:c r="B1122" s="52"/>
    </x:row>
    <x:row r="1123">
      <x:c r="A1123" s="28"/>
      <x:c r="B1123" s="52"/>
    </x:row>
    <x:row r="1124">
      <x:c r="A1124" s="28"/>
      <x:c r="B1124" s="52"/>
    </x:row>
    <x:row r="1125">
      <x:c r="A1125" s="28"/>
      <x:c r="B1125" s="52"/>
    </x:row>
    <x:row r="1126">
      <x:c r="A1126" s="28"/>
      <x:c r="B1126" s="52"/>
    </x:row>
    <x:row r="1127">
      <x:c r="A1127" s="28"/>
      <x:c r="B1127" s="52"/>
    </x:row>
    <x:row r="1128">
      <x:c r="A1128" s="28"/>
      <x:c r="B1128" s="52"/>
    </x:row>
    <x:row r="1129">
      <x:c r="A1129" s="28"/>
      <x:c r="B1129" s="52"/>
    </x:row>
    <x:row r="1130">
      <x:c r="A1130" s="28"/>
      <x:c r="B1130" s="52"/>
    </x:row>
    <x:row r="1131">
      <x:c r="A1131" s="28"/>
      <x:c r="B1131" s="52"/>
    </x:row>
    <x:row r="1132">
      <x:c r="A1132" s="28"/>
      <x:c r="B1132" s="52"/>
    </x:row>
    <x:row r="1133">
      <x:c r="A1133" s="28"/>
      <x:c r="B1133" s="52"/>
    </x:row>
    <x:row r="1134">
      <x:c r="A1134" s="28"/>
      <x:c r="B1134" s="52"/>
    </x:row>
    <x:row r="1135">
      <x:c r="A1135" s="28"/>
      <x:c r="B1135" s="52"/>
    </x:row>
    <x:row r="1136">
      <x:c r="A1136" s="28"/>
      <x:c r="B1136" s="52"/>
    </x:row>
    <x:row r="1137">
      <x:c r="A1137" s="28"/>
      <x:c r="B1137" s="52"/>
    </x:row>
    <x:row r="1138">
      <x:c r="A1138" s="28"/>
      <x:c r="B1138" s="52"/>
    </x:row>
    <x:row r="1139">
      <x:c r="A1139" s="28"/>
      <x:c r="B1139" s="52"/>
    </x:row>
    <x:row r="1140">
      <x:c r="A1140" s="28"/>
      <x:c r="B1140" s="52"/>
    </x:row>
    <x:row r="1141">
      <x:c r="A1141" s="28"/>
      <x:c r="B1141" s="52"/>
    </x:row>
    <x:row r="1142">
      <x:c r="A1142" s="28"/>
      <x:c r="B1142" s="52"/>
    </x:row>
    <x:row r="1143">
      <x:c r="A1143" s="28"/>
      <x:c r="B1143" s="52"/>
    </x:row>
    <x:row r="1144">
      <x:c r="A1144" s="28"/>
      <x:c r="B1144" s="52"/>
    </x:row>
    <x:row r="1145">
      <x:c r="A1145" s="28"/>
      <x:c r="B1145" s="52"/>
    </x:row>
    <x:row r="1146">
      <x:c r="A1146" s="28"/>
      <x:c r="B1146" s="52"/>
    </x:row>
    <x:row r="1147">
      <x:c r="A1147" s="28"/>
      <x:c r="B1147" s="52"/>
    </x:row>
    <x:row r="1148">
      <x:c r="A1148" s="28"/>
      <x:c r="B1148" s="52"/>
    </x:row>
    <x:row r="1149">
      <x:c r="A1149" s="28"/>
      <x:c r="B1149" s="52"/>
    </x:row>
    <x:row r="1150">
      <x:c r="A1150" s="28"/>
      <x:c r="B1150" s="52"/>
    </x:row>
    <x:row r="1151">
      <x:c r="A1151" s="28"/>
      <x:c r="B1151" s="52"/>
    </x:row>
    <x:row r="1152">
      <x:c r="A1152" s="28"/>
      <x:c r="B1152" s="52"/>
    </x:row>
    <x:row r="1153">
      <x:c r="A1153" s="28"/>
      <x:c r="B1153" s="52"/>
    </x:row>
    <x:row r="1154">
      <x:c r="A1154" s="28"/>
      <x:c r="B1154" s="52"/>
    </x:row>
    <x:row r="1155">
      <x:c r="A1155" s="28"/>
      <x:c r="B1155" s="52"/>
    </x:row>
    <x:row r="1156">
      <x:c r="A1156" s="28"/>
      <x:c r="B1156" s="52"/>
    </x:row>
    <x:row r="1157">
      <x:c r="A1157" s="28"/>
      <x:c r="B1157" s="52"/>
    </x:row>
    <x:row r="1158">
      <x:c r="A1158" s="28"/>
      <x:c r="B1158" s="52"/>
    </x:row>
    <x:row r="1159">
      <x:c r="A1159" s="28"/>
      <x:c r="B1159" s="52"/>
    </x:row>
    <x:row r="1160">
      <x:c r="A1160" s="28"/>
      <x:c r="B1160" s="52"/>
    </x:row>
    <x:row r="1161">
      <x:c r="A1161" s="28"/>
      <x:c r="B1161" s="52"/>
    </x:row>
    <x:row r="1162">
      <x:c r="A1162" s="28"/>
      <x:c r="B1162" s="52"/>
    </x:row>
    <x:row r="1163">
      <x:c r="A1163" s="28"/>
      <x:c r="B1163" s="52"/>
    </x:row>
    <x:row r="1164">
      <x:c r="A1164" s="28"/>
      <x:c r="B1164" s="52"/>
    </x:row>
    <x:row r="1165">
      <x:c r="A1165" s="28"/>
      <x:c r="B1165" s="52"/>
    </x:row>
    <x:row r="1166">
      <x:c r="A1166" s="28"/>
      <x:c r="B1166" s="52"/>
    </x:row>
    <x:row r="1167">
      <x:c r="A1167" s="28"/>
      <x:c r="B1167" s="52"/>
    </x:row>
    <x:row r="1168">
      <x:c r="A1168" s="28"/>
      <x:c r="B1168" s="52"/>
    </x:row>
    <x:row r="1169">
      <x:c r="A1169" s="28"/>
      <x:c r="B1169" s="52"/>
    </x:row>
    <x:row r="1170">
      <x:c r="A1170" s="28"/>
      <x:c r="B1170" s="52"/>
    </x:row>
    <x:row r="1171">
      <x:c r="A1171" s="28"/>
      <x:c r="B1171" s="52"/>
    </x:row>
    <x:row r="1172">
      <x:c r="A1172" s="28"/>
      <x:c r="B1172" s="52"/>
    </x:row>
    <x:row r="1173">
      <x:c r="A1173" s="28"/>
      <x:c r="B1173" s="52"/>
    </x:row>
    <x:row r="1174">
      <x:c r="A1174" s="28"/>
      <x:c r="B1174" s="52"/>
    </x:row>
    <x:row r="1175">
      <x:c r="A1175" s="28"/>
      <x:c r="B1175" s="52"/>
    </x:row>
    <x:row r="1176">
      <x:c r="A1176" s="28"/>
      <x:c r="B1176" s="52"/>
    </x:row>
    <x:row r="1177">
      <x:c r="A1177" s="28"/>
      <x:c r="B1177" s="52"/>
    </x:row>
    <x:row r="1178">
      <x:c r="A1178" s="28"/>
      <x:c r="B1178" s="52"/>
    </x:row>
    <x:row r="1179">
      <x:c r="A1179" s="28"/>
      <x:c r="B1179" s="52"/>
    </x:row>
    <x:row r="1180">
      <x:c r="A1180" s="28"/>
      <x:c r="B1180" s="52"/>
    </x:row>
    <x:row r="1181">
      <x:c r="A1181" s="28"/>
      <x:c r="B1181" s="52"/>
    </x:row>
    <x:row r="1182">
      <x:c r="A1182" s="28"/>
      <x:c r="B1182" s="52"/>
    </x:row>
    <x:row r="1183">
      <x:c r="A1183" s="28"/>
      <x:c r="B1183" s="52"/>
    </x:row>
    <x:row r="1184">
      <x:c r="A1184" s="28"/>
      <x:c r="B1184" s="52"/>
    </x:row>
    <x:row r="1185">
      <x:c r="A1185" s="28"/>
      <x:c r="B1185" s="52"/>
    </x:row>
    <x:row r="1186">
      <x:c r="A1186" s="28"/>
      <x:c r="B1186" s="52"/>
    </x:row>
    <x:row r="1187">
      <x:c r="A1187" s="28"/>
      <x:c r="B1187" s="52"/>
    </x:row>
    <x:row r="1188">
      <x:c r="A1188" s="28"/>
      <x:c r="B1188" s="52"/>
    </x:row>
    <x:row r="1189">
      <x:c r="A1189" s="28"/>
      <x:c r="B1189" s="52"/>
    </x:row>
    <x:row r="1190">
      <x:c r="A1190" s="28"/>
      <x:c r="B1190" s="52"/>
    </x:row>
    <x:row r="1191">
      <x:c r="A1191" s="28"/>
      <x:c r="B1191" s="52"/>
    </x:row>
    <x:row r="1192">
      <x:c r="A1192" s="28"/>
      <x:c r="B1192" s="52"/>
    </x:row>
    <x:row r="1193">
      <x:c r="A1193" s="28"/>
      <x:c r="B1193" s="52"/>
    </x:row>
    <x:row r="1194">
      <x:c r="A1194" s="28"/>
      <x:c r="B1194" s="52"/>
    </x:row>
    <x:row r="1195">
      <x:c r="A1195" s="28"/>
      <x:c r="B1195" s="52"/>
    </x:row>
    <x:row r="1196">
      <x:c r="A1196" s="28"/>
      <x:c r="B1196" s="52"/>
    </x:row>
    <x:row r="1197">
      <x:c r="A1197" s="28"/>
      <x:c r="B1197" s="52"/>
    </x:row>
    <x:row r="1198">
      <x:c r="A1198" s="28"/>
      <x:c r="B1198" s="52"/>
    </x:row>
    <x:row r="1199">
      <x:c r="A1199" s="28"/>
      <x:c r="B1199" s="52"/>
    </x:row>
    <x:row r="1200">
      <x:c r="A1200" s="28"/>
      <x:c r="B1200" s="52"/>
    </x:row>
    <x:row r="1201">
      <x:c r="A1201" s="28"/>
      <x:c r="B1201" s="52"/>
    </x:row>
    <x:row r="1202">
      <x:c r="A1202" s="28"/>
      <x:c r="B1202" s="52"/>
    </x:row>
    <x:row r="1203">
      <x:c r="A1203" s="28"/>
      <x:c r="B1203" s="52"/>
    </x:row>
    <x:row r="1204">
      <x:c r="A1204" s="28"/>
      <x:c r="B1204" s="52"/>
    </x:row>
    <x:row r="1205">
      <x:c r="A1205" s="28"/>
      <x:c r="B1205" s="52"/>
    </x:row>
    <x:row r="1206">
      <x:c r="A1206" s="28"/>
      <x:c r="B1206" s="52"/>
    </x:row>
    <x:row r="1207">
      <x:c r="A1207" s="28"/>
      <x:c r="B1207" s="52"/>
    </x:row>
    <x:row r="1208">
      <x:c r="A1208" s="28"/>
      <x:c r="B1208" s="52"/>
    </x:row>
    <x:row r="1209">
      <x:c r="A1209" s="28"/>
      <x:c r="B1209" s="52"/>
    </x:row>
    <x:row r="1210">
      <x:c r="A1210" s="28"/>
      <x:c r="B1210" s="52"/>
    </x:row>
    <x:row r="1211">
      <x:c r="A1211" s="28"/>
      <x:c r="B1211" s="52"/>
    </x:row>
    <x:row r="1212">
      <x:c r="A1212" s="28"/>
      <x:c r="B1212" s="52"/>
    </x:row>
    <x:row r="1213">
      <x:c r="A1213" s="28"/>
      <x:c r="B1213" s="52"/>
    </x:row>
    <x:row r="1214">
      <x:c r="A1214" s="28"/>
      <x:c r="B1214" s="52"/>
    </x:row>
    <x:row r="1215">
      <x:c r="A1215" s="28"/>
      <x:c r="B1215" s="52"/>
    </x:row>
    <x:row r="1216">
      <x:c r="A1216" s="28"/>
      <x:c r="B1216" s="52"/>
    </x:row>
    <x:row r="1217">
      <x:c r="A1217" s="28"/>
      <x:c r="B1217" s="52"/>
    </x:row>
    <x:row r="1218">
      <x:c r="A1218" s="28"/>
      <x:c r="B1218" s="52"/>
    </x:row>
    <x:row r="1219">
      <x:c r="A1219" s="28"/>
      <x:c r="B1219" s="52"/>
    </x:row>
    <x:row r="1220">
      <x:c r="A1220" s="28"/>
      <x:c r="B1220" s="52"/>
    </x:row>
    <x:row r="1221">
      <x:c r="A1221" s="28"/>
      <x:c r="B1221" s="52"/>
    </x:row>
    <x:row r="1222">
      <x:c r="A1222" s="28"/>
      <x:c r="B1222" s="52"/>
    </x:row>
    <x:row r="1223">
      <x:c r="A1223" s="28"/>
      <x:c r="B1223" s="52"/>
    </x:row>
    <x:row r="1224">
      <x:c r="A1224" s="28"/>
      <x:c r="B1224" s="52"/>
    </x:row>
    <x:row r="1225">
      <x:c r="A1225" s="28"/>
      <x:c r="B1225" s="52"/>
    </x:row>
    <x:row r="1226">
      <x:c r="A1226" s="28"/>
      <x:c r="B1226" s="52"/>
    </x:row>
    <x:row r="1227">
      <x:c r="A1227" s="28"/>
      <x:c r="B1227" s="52"/>
    </x:row>
    <x:row r="1228">
      <x:c r="A1228" s="28"/>
      <x:c r="B1228" s="52"/>
    </x:row>
    <x:row r="1229">
      <x:c r="A1229" s="28"/>
      <x:c r="B1229" s="52"/>
    </x:row>
    <x:row r="1230">
      <x:c r="A1230" s="28"/>
      <x:c r="B1230" s="52"/>
    </x:row>
    <x:row r="1231">
      <x:c r="A1231" s="28"/>
      <x:c r="B1231" s="52"/>
    </x:row>
    <x:row r="1232">
      <x:c r="A1232" s="28"/>
      <x:c r="B1232" s="52"/>
    </x:row>
    <x:row r="1233">
      <x:c r="A1233" s="28"/>
      <x:c r="B1233" s="52"/>
    </x:row>
    <x:row r="1234">
      <x:c r="A1234" s="28"/>
      <x:c r="B1234" s="52"/>
    </x:row>
    <x:row r="1235">
      <x:c r="A1235" s="28"/>
      <x:c r="B1235" s="52"/>
    </x:row>
    <x:row r="1236">
      <x:c r="A1236" s="28"/>
      <x:c r="B1236" s="52"/>
    </x:row>
    <x:row r="1237">
      <x:c r="A1237" s="28"/>
      <x:c r="B1237" s="52"/>
    </x:row>
    <x:row r="1238">
      <x:c r="A1238" s="28"/>
      <x:c r="B1238" s="52"/>
    </x:row>
    <x:row r="1239">
      <x:c r="A1239" s="28"/>
      <x:c r="B1239" s="52"/>
    </x:row>
    <x:row r="1240">
      <x:c r="A1240" s="28"/>
      <x:c r="B1240" s="52"/>
    </x:row>
    <x:row r="1241">
      <x:c r="A1241" s="28"/>
      <x:c r="B1241" s="52"/>
    </x:row>
    <x:row r="1242">
      <x:c r="A1242" s="28"/>
      <x:c r="B1242" s="52"/>
    </x:row>
    <x:row r="1243">
      <x:c r="A1243" s="28"/>
      <x:c r="B1243" s="52"/>
    </x:row>
    <x:row r="1244">
      <x:c r="A1244" s="28"/>
      <x:c r="B1244" s="52"/>
    </x:row>
    <x:row r="1245">
      <x:c r="A1245" s="28"/>
      <x:c r="B1245" s="52"/>
    </x:row>
    <x:row r="1246">
      <x:c r="A1246" s="28"/>
      <x:c r="B1246" s="52"/>
    </x:row>
    <x:row r="1247">
      <x:c r="A1247" s="28"/>
      <x:c r="B1247" s="52"/>
    </x:row>
    <x:row r="1248">
      <x:c r="A1248" s="28"/>
      <x:c r="B1248" s="52"/>
    </x:row>
    <x:row r="1249">
      <x:c r="A1249" s="28"/>
      <x:c r="B1249" s="52"/>
    </x:row>
    <x:row r="1250">
      <x:c r="A1250" s="28"/>
      <x:c r="B1250" s="52"/>
    </x:row>
    <x:row r="1251">
      <x:c r="A1251" s="28"/>
      <x:c r="B1251" s="52"/>
    </x:row>
    <x:row r="1252">
      <x:c r="A1252" s="28"/>
      <x:c r="B1252" s="52"/>
    </x:row>
    <x:row r="1253">
      <x:c r="A1253" s="28"/>
      <x:c r="B1253" s="52"/>
    </x:row>
    <x:row r="1254">
      <x:c r="A1254" s="28"/>
      <x:c r="B1254" s="52"/>
    </x:row>
    <x:row r="1255">
      <x:c r="A1255" s="28"/>
      <x:c r="B1255" s="52"/>
    </x:row>
    <x:row r="1256">
      <x:c r="A1256" s="28"/>
      <x:c r="B1256" s="52"/>
    </x:row>
    <x:row r="1257">
      <x:c r="A1257" s="28"/>
      <x:c r="B1257" s="52"/>
    </x:row>
    <x:row r="1258">
      <x:c r="A1258" s="28"/>
      <x:c r="B1258" s="52"/>
    </x:row>
    <x:row r="1259">
      <x:c r="A1259" s="28"/>
      <x:c r="B1259" s="52"/>
    </x:row>
    <x:row r="1260">
      <x:c r="A1260" s="28"/>
      <x:c r="B1260" s="52"/>
    </x:row>
    <x:row r="1261">
      <x:c r="A1261" s="28"/>
      <x:c r="B1261" s="52"/>
    </x:row>
    <x:row r="1262">
      <x:c r="A1262" s="28"/>
      <x:c r="B1262" s="52"/>
    </x:row>
    <x:row r="1263">
      <x:c r="A1263" s="28"/>
      <x:c r="B1263" s="52"/>
    </x:row>
    <x:row r="1264">
      <x:c r="A1264" s="28"/>
      <x:c r="B1264" s="52"/>
    </x:row>
    <x:row r="1265">
      <x:c r="A1265" s="28"/>
      <x:c r="B1265" s="52"/>
    </x:row>
    <x:row r="1266">
      <x:c r="A1266" s="28"/>
      <x:c r="B1266" s="52"/>
    </x:row>
    <x:row r="1267">
      <x:c r="A1267" s="28"/>
      <x:c r="B1267" s="52"/>
    </x:row>
    <x:row r="1268">
      <x:c r="A1268" s="28"/>
      <x:c r="B1268" s="52"/>
    </x:row>
    <x:row r="1269">
      <x:c r="A1269" s="28"/>
      <x:c r="B1269" s="52"/>
    </x:row>
    <x:row r="1270">
      <x:c r="A1270" s="28"/>
      <x:c r="B1270" s="52"/>
    </x:row>
    <x:row r="1271">
      <x:c r="A1271" s="28"/>
      <x:c r="B1271" s="52"/>
    </x:row>
    <x:row r="1272">
      <x:c r="A1272" s="28"/>
      <x:c r="B1272" s="52"/>
    </x:row>
    <x:row r="1273">
      <x:c r="A1273" s="28"/>
      <x:c r="B1273" s="52"/>
    </x:row>
    <x:row r="1274">
      <x:c r="A1274" s="28"/>
      <x:c r="B1274" s="52"/>
    </x:row>
    <x:row r="1275">
      <x:c r="A1275" s="28"/>
      <x:c r="B1275" s="52"/>
    </x:row>
    <x:row r="1276">
      <x:c r="A1276" s="28"/>
      <x:c r="B1276" s="52"/>
    </x:row>
    <x:row r="1277">
      <x:c r="A1277" s="28"/>
      <x:c r="B1277" s="52"/>
    </x:row>
    <x:row r="1278">
      <x:c r="A1278" s="28"/>
      <x:c r="B1278" s="52"/>
    </x:row>
    <x:row r="1279">
      <x:c r="A1279" s="28"/>
      <x:c r="B1279" s="52"/>
    </x:row>
    <x:row r="1280">
      <x:c r="A1280" s="28"/>
      <x:c r="B1280" s="52"/>
    </x:row>
    <x:row r="1281">
      <x:c r="A1281" s="28"/>
      <x:c r="B1281" s="52"/>
    </x:row>
    <x:row r="1282">
      <x:c r="A1282" s="28"/>
      <x:c r="B1282" s="52"/>
    </x:row>
    <x:row r="1283">
      <x:c r="A1283" s="28"/>
      <x:c r="B1283" s="52"/>
    </x:row>
    <x:row r="1284">
      <x:c r="A1284" s="28"/>
      <x:c r="B1284" s="52"/>
    </x:row>
    <x:row r="1285">
      <x:c r="A1285" s="28"/>
      <x:c r="B1285" s="52"/>
    </x:row>
    <x:row r="1286">
      <x:c r="A1286" s="28"/>
      <x:c r="B1286" s="52"/>
    </x:row>
    <x:row r="1287">
      <x:c r="A1287" s="28"/>
      <x:c r="B1287" s="52"/>
    </x:row>
    <x:row r="1288">
      <x:c r="A1288" s="28"/>
      <x:c r="B1288" s="52"/>
    </x:row>
    <x:row r="1289">
      <x:c r="A1289" s="28"/>
      <x:c r="B1289" s="52"/>
    </x:row>
    <x:row r="1290">
      <x:c r="A1290" s="28"/>
      <x:c r="B1290" s="52"/>
    </x:row>
    <x:row r="1291">
      <x:c r="A1291" s="28"/>
      <x:c r="B1291" s="52"/>
    </x:row>
    <x:row r="1292">
      <x:c r="A1292" s="28"/>
      <x:c r="B1292" s="52"/>
    </x:row>
    <x:row r="1293">
      <x:c r="A1293" s="28"/>
      <x:c r="B1293" s="52"/>
    </x:row>
    <x:row r="1294">
      <x:c r="A1294" s="28"/>
      <x:c r="B1294" s="52"/>
    </x:row>
    <x:row r="1295">
      <x:c r="A1295" s="28"/>
      <x:c r="B1295" s="52"/>
    </x:row>
    <x:row r="1296">
      <x:c r="A1296" s="28"/>
      <x:c r="B1296" s="52"/>
    </x:row>
    <x:row r="1297">
      <x:c r="A1297" s="28"/>
      <x:c r="B1297" s="52"/>
    </x:row>
    <x:row r="1298">
      <x:c r="A1298" s="28"/>
      <x:c r="B1298" s="52"/>
    </x:row>
    <x:row r="1299">
      <x:c r="A1299" s="28"/>
      <x:c r="B1299" s="52"/>
    </x:row>
    <x:row r="1300">
      <x:c r="A1300" s="28"/>
      <x:c r="B1300" s="52"/>
    </x:row>
    <x:row r="1301">
      <x:c r="A1301" s="28"/>
      <x:c r="B1301" s="52"/>
    </x:row>
    <x:row r="1302">
      <x:c r="A1302" s="28"/>
      <x:c r="B1302" s="52"/>
    </x:row>
    <x:row r="1303">
      <x:c r="A1303" s="28"/>
      <x:c r="B1303" s="52"/>
    </x:row>
    <x:row r="1304">
      <x:c r="A1304" s="28"/>
      <x:c r="B1304" s="52"/>
    </x:row>
    <x:row r="1305">
      <x:c r="A1305" s="28"/>
      <x:c r="B1305" s="52"/>
    </x:row>
    <x:row r="1306">
      <x:c r="A1306" s="28"/>
      <x:c r="B1306" s="52"/>
    </x:row>
    <x:row r="1307">
      <x:c r="A1307" s="28"/>
      <x:c r="B1307" s="52"/>
    </x:row>
    <x:row r="1308">
      <x:c r="A1308" s="28"/>
      <x:c r="B1308" s="52"/>
    </x:row>
    <x:row r="1309">
      <x:c r="A1309" s="28"/>
      <x:c r="B1309" s="52"/>
    </x:row>
    <x:row r="1310">
      <x:c r="A1310" s="28"/>
      <x:c r="B1310" s="52"/>
    </x:row>
    <x:row r="1311">
      <x:c r="A1311" s="28"/>
      <x:c r="B1311" s="52"/>
    </x:row>
    <x:row r="1312">
      <x:c r="A1312" s="28"/>
      <x:c r="B1312" s="52"/>
    </x:row>
    <x:row r="1313">
      <x:c r="A1313" s="28"/>
      <x:c r="B1313" s="52"/>
    </x:row>
    <x:row r="1314">
      <x:c r="A1314" s="28"/>
      <x:c r="B1314" s="52"/>
    </x:row>
    <x:row r="1315">
      <x:c r="A1315" s="28"/>
      <x:c r="B1315" s="52"/>
    </x:row>
    <x:row r="1316">
      <x:c r="A1316" s="28"/>
      <x:c r="B1316" s="52"/>
    </x:row>
    <x:row r="1317">
      <x:c r="A1317" s="28"/>
      <x:c r="B1317" s="52"/>
    </x:row>
    <x:row r="1318">
      <x:c r="A1318" s="28"/>
      <x:c r="B1318" s="52"/>
    </x:row>
    <x:row r="1319">
      <x:c r="A1319" s="28"/>
      <x:c r="B1319" s="52"/>
    </x:row>
    <x:row r="1320">
      <x:c r="A1320" s="28"/>
      <x:c r="B1320" s="52"/>
    </x:row>
    <x:row r="1321">
      <x:c r="A1321" s="28"/>
      <x:c r="B1321" s="52"/>
    </x:row>
    <x:row r="1322">
      <x:c r="A1322" s="28"/>
      <x:c r="B1322" s="52"/>
    </x:row>
    <x:row r="1323">
      <x:c r="A1323" s="28"/>
      <x:c r="B1323" s="52"/>
    </x:row>
    <x:row r="1324">
      <x:c r="A1324" s="28"/>
      <x:c r="B1324" s="52"/>
    </x:row>
    <x:row r="1325">
      <x:c r="A1325" s="28"/>
      <x:c r="B1325" s="52"/>
    </x:row>
    <x:row r="1326">
      <x:c r="A1326" s="28"/>
      <x:c r="B1326" s="52"/>
    </x:row>
    <x:row r="1327">
      <x:c r="A1327" s="28"/>
      <x:c r="B1327" s="52"/>
    </x:row>
    <x:row r="1328">
      <x:c r="A1328" s="28"/>
      <x:c r="B1328" s="52"/>
    </x:row>
    <x:row r="1329">
      <x:c r="A1329" s="28"/>
      <x:c r="B1329" s="52"/>
    </x:row>
    <x:row r="1330">
      <x:c r="A1330" s="28"/>
      <x:c r="B1330" s="52"/>
    </x:row>
    <x:row r="1331">
      <x:c r="A1331" s="28"/>
      <x:c r="B1331" s="52"/>
    </x:row>
    <x:row r="1332">
      <x:c r="A1332" s="28"/>
      <x:c r="B1332" s="52"/>
    </x:row>
    <x:row r="1333">
      <x:c r="A1333" s="28"/>
      <x:c r="B1333" s="52"/>
    </x:row>
    <x:row r="1334">
      <x:c r="A1334" s="28"/>
      <x:c r="B1334" s="52"/>
    </x:row>
    <x:row r="1335">
      <x:c r="A1335" s="28"/>
      <x:c r="B1335" s="52"/>
    </x:row>
    <x:row r="1336">
      <x:c r="A1336" s="28"/>
      <x:c r="B1336" s="52"/>
    </x:row>
    <x:row r="1337">
      <x:c r="A1337" s="28"/>
      <x:c r="B1337" s="52"/>
    </x:row>
    <x:row r="1338">
      <x:c r="A1338" s="28"/>
      <x:c r="B1338" s="52"/>
    </x:row>
    <x:row r="1339">
      <x:c r="A1339" s="28"/>
      <x:c r="B1339" s="52"/>
    </x:row>
    <x:row r="1340">
      <x:c r="A1340" s="28"/>
      <x:c r="B1340" s="52"/>
    </x:row>
    <x:row r="1341">
      <x:c r="A1341" s="28"/>
      <x:c r="B1341" s="52"/>
    </x:row>
    <x:row r="1342">
      <x:c r="A1342" s="28"/>
      <x:c r="B1342" s="52"/>
    </x:row>
    <x:row r="1343">
      <x:c r="A1343" s="28"/>
      <x:c r="B1343" s="52"/>
    </x:row>
    <x:row r="1344">
      <x:c r="A1344" s="28"/>
      <x:c r="B1344" s="52"/>
    </x:row>
    <x:row r="1345">
      <x:c r="A1345" s="28"/>
      <x:c r="B1345" s="52"/>
    </x:row>
    <x:row r="1346">
      <x:c r="A1346" s="28"/>
      <x:c r="B1346" s="52"/>
    </x:row>
    <x:row r="1347">
      <x:c r="A1347" s="28"/>
      <x:c r="B1347" s="52"/>
    </x:row>
    <x:row r="1348">
      <x:c r="A1348" s="28"/>
      <x:c r="B1348" s="52"/>
    </x:row>
    <x:row r="1349">
      <x:c r="A1349" s="28"/>
      <x:c r="B1349" s="52"/>
    </x:row>
    <x:row r="1350">
      <x:c r="A1350" s="28"/>
      <x:c r="B1350" s="52"/>
    </x:row>
    <x:row r="1351">
      <x:c r="A1351" s="28"/>
      <x:c r="B1351" s="52"/>
    </x:row>
    <x:row r="1352">
      <x:c r="A1352" s="28"/>
      <x:c r="B1352" s="52"/>
    </x:row>
    <x:row r="1353">
      <x:c r="A1353" s="28"/>
      <x:c r="B1353" s="52"/>
    </x:row>
    <x:row r="1354">
      <x:c r="A1354" s="28"/>
      <x:c r="B1354" s="52"/>
    </x:row>
    <x:row r="1355">
      <x:c r="A1355" s="28"/>
      <x:c r="B1355" s="52"/>
    </x:row>
    <x:row r="1356">
      <x:c r="A1356" s="28"/>
      <x:c r="B1356" s="52"/>
    </x:row>
    <x:row r="1357">
      <x:c r="A1357" s="28"/>
      <x:c r="B1357" s="52"/>
    </x:row>
    <x:row r="1358">
      <x:c r="A1358" s="28"/>
      <x:c r="B1358" s="52"/>
    </x:row>
    <x:row r="1359">
      <x:c r="A1359" s="28"/>
      <x:c r="B1359" s="52"/>
    </x:row>
    <x:row r="1360">
      <x:c r="A1360" s="28"/>
      <x:c r="B1360" s="52"/>
    </x:row>
    <x:row r="1361">
      <x:c r="A1361" s="28"/>
      <x:c r="B1361" s="52"/>
    </x:row>
    <x:row r="1362">
      <x:c r="A1362" s="28"/>
      <x:c r="B1362" s="52"/>
    </x:row>
    <x:row r="1363">
      <x:c r="A1363" s="28"/>
      <x:c r="B1363" s="52"/>
    </x:row>
    <x:row r="1364">
      <x:c r="A1364" s="28"/>
      <x:c r="B1364" s="52"/>
    </x:row>
    <x:row r="1365">
      <x:c r="A1365" s="28"/>
      <x:c r="B1365" s="52"/>
    </x:row>
    <x:row r="1366">
      <x:c r="A1366" s="28"/>
      <x:c r="B1366" s="52"/>
    </x:row>
    <x:row r="1367">
      <x:c r="A1367" s="28"/>
      <x:c r="B1367" s="52"/>
    </x:row>
    <x:row r="1368">
      <x:c r="A1368" s="28"/>
      <x:c r="B1368" s="52"/>
    </x:row>
    <x:row r="1369">
      <x:c r="A1369" s="28"/>
      <x:c r="B1369" s="52"/>
    </x:row>
    <x:row r="1370">
      <x:c r="A1370" s="28"/>
      <x:c r="B1370" s="52"/>
    </x:row>
    <x:row r="1371">
      <x:c r="A1371" s="28"/>
      <x:c r="B1371" s="52"/>
    </x:row>
    <x:row r="1372">
      <x:c r="A1372" s="28"/>
      <x:c r="B1372" s="52"/>
    </x:row>
    <x:row r="1373">
      <x:c r="A1373" s="28"/>
      <x:c r="B1373" s="52"/>
    </x:row>
    <x:row r="1374">
      <x:c r="A1374" s="28"/>
      <x:c r="B1374" s="52"/>
    </x:row>
    <x:row r="1375">
      <x:c r="A1375" s="28"/>
      <x:c r="B1375" s="52"/>
    </x:row>
    <x:row r="1376">
      <x:c r="A1376" s="28"/>
      <x:c r="B1376" s="52"/>
    </x:row>
    <x:row r="1377">
      <x:c r="A1377" s="28"/>
      <x:c r="B1377" s="52"/>
    </x:row>
    <x:row r="1378">
      <x:c r="A1378" s="28"/>
      <x:c r="B1378" s="52"/>
    </x:row>
    <x:row r="1379">
      <x:c r="A1379" s="28"/>
      <x:c r="B1379" s="52"/>
    </x:row>
    <x:row r="1380">
      <x:c r="A1380" s="28"/>
      <x:c r="B1380" s="52"/>
    </x:row>
    <x:row r="1381">
      <x:c r="A1381" s="28"/>
      <x:c r="B1381" s="52"/>
    </x:row>
    <x:row r="1382">
      <x:c r="A1382" s="28"/>
      <x:c r="B1382" s="52"/>
    </x:row>
    <x:row r="1383">
      <x:c r="A1383" s="28"/>
      <x:c r="B1383" s="52"/>
    </x:row>
    <x:row r="1384">
      <x:c r="A1384" s="28"/>
      <x:c r="B1384" s="52"/>
    </x:row>
    <x:row r="1385">
      <x:c r="A1385" s="28"/>
      <x:c r="B1385" s="52"/>
    </x:row>
    <x:row r="1386">
      <x:c r="A1386" s="28"/>
      <x:c r="B1386" s="52"/>
    </x:row>
    <x:row r="1387">
      <x:c r="A1387" s="28"/>
      <x:c r="B1387" s="52"/>
    </x:row>
    <x:row r="1388">
      <x:c r="A1388" s="28"/>
      <x:c r="B1388" s="52"/>
    </x:row>
    <x:row r="1389">
      <x:c r="A1389" s="28"/>
      <x:c r="B1389" s="52"/>
    </x:row>
    <x:row r="1390">
      <x:c r="A1390" s="28"/>
      <x:c r="B1390" s="52"/>
    </x:row>
    <x:row r="1391">
      <x:c r="A1391" s="28"/>
      <x:c r="B1391" s="52"/>
    </x:row>
    <x:row r="1392">
      <x:c r="A1392" s="28"/>
      <x:c r="B1392" s="52"/>
    </x:row>
    <x:row r="1393">
      <x:c r="A1393" s="28"/>
      <x:c r="B1393" s="52"/>
    </x:row>
    <x:row r="1394">
      <x:c r="A1394" s="28"/>
      <x:c r="B1394" s="52"/>
    </x:row>
    <x:row r="1395">
      <x:c r="A1395" s="28"/>
      <x:c r="B1395" s="52"/>
    </x:row>
    <x:row r="1396">
      <x:c r="A1396" s="28"/>
      <x:c r="B1396" s="52"/>
    </x:row>
    <x:row r="1397">
      <x:c r="A1397" s="28"/>
      <x:c r="B1397" s="52"/>
    </x:row>
    <x:row r="1398">
      <x:c r="A1398" s="28"/>
      <x:c r="B1398" s="52"/>
    </x:row>
    <x:row r="1399">
      <x:c r="A1399" s="28"/>
      <x:c r="B1399" s="52"/>
    </x:row>
    <x:row r="1400">
      <x:c r="A1400" s="28"/>
      <x:c r="B1400" s="52"/>
    </x:row>
    <x:row r="1401">
      <x:c r="A1401" s="28"/>
      <x:c r="B1401" s="52"/>
    </x:row>
    <x:row r="1402">
      <x:c r="A1402" s="28"/>
      <x:c r="B1402" s="52"/>
    </x:row>
    <x:row r="1403">
      <x:c r="A1403" s="28"/>
      <x:c r="B1403" s="52"/>
    </x:row>
    <x:row r="1404">
      <x:c r="A1404" s="28"/>
      <x:c r="B1404" s="52"/>
    </x:row>
    <x:row r="1405">
      <x:c r="A1405" s="28"/>
      <x:c r="B1405" s="52"/>
    </x:row>
    <x:row r="1406">
      <x:c r="A1406" s="28"/>
      <x:c r="B1406" s="52"/>
    </x:row>
    <x:row r="1407">
      <x:c r="A1407" s="28"/>
      <x:c r="B1407" s="52"/>
    </x:row>
    <x:row r="1408">
      <x:c r="A1408" s="28"/>
      <x:c r="B1408" s="52"/>
    </x:row>
    <x:row r="1409">
      <x:c r="A1409" s="28"/>
      <x:c r="B1409" s="52"/>
    </x:row>
    <x:row r="1410">
      <x:c r="A1410" s="28"/>
      <x:c r="B1410" s="52"/>
    </x:row>
    <x:row r="1411">
      <x:c r="A1411" s="28"/>
      <x:c r="B1411" s="52"/>
    </x:row>
    <x:row r="1412">
      <x:c r="A1412" s="28"/>
      <x:c r="B1412" s="52"/>
    </x:row>
    <x:row r="1413">
      <x:c r="A1413" s="28"/>
      <x:c r="B1413" s="52"/>
    </x:row>
    <x:row r="1414">
      <x:c r="A1414" s="28"/>
      <x:c r="B1414" s="52"/>
    </x:row>
    <x:row r="1415">
      <x:c r="A1415" s="28"/>
      <x:c r="B1415" s="52"/>
    </x:row>
    <x:row r="1416">
      <x:c r="A1416" s="28"/>
      <x:c r="B1416" s="52"/>
    </x:row>
    <x:row r="1417">
      <x:c r="A1417" s="28"/>
      <x:c r="B1417" s="52"/>
    </x:row>
    <x:row r="1418">
      <x:c r="A1418" s="28"/>
      <x:c r="B1418" s="52"/>
    </x:row>
    <x:row r="1419">
      <x:c r="A1419" s="28"/>
      <x:c r="B1419" s="52"/>
    </x:row>
    <x:row r="1420">
      <x:c r="A1420" s="28"/>
      <x:c r="B1420" s="52"/>
    </x:row>
    <x:row r="1421">
      <x:c r="A1421" s="28"/>
      <x:c r="B1421" s="52"/>
    </x:row>
    <x:row r="1422">
      <x:c r="A1422" s="28"/>
      <x:c r="B1422" s="52"/>
    </x:row>
    <x:row r="1423">
      <x:c r="A1423" s="28"/>
      <x:c r="B1423" s="52"/>
    </x:row>
    <x:row r="1424">
      <x:c r="A1424" s="28"/>
      <x:c r="B1424" s="52"/>
    </x:row>
    <x:row r="1425">
      <x:c r="A1425" s="28"/>
      <x:c r="B1425" s="52"/>
    </x:row>
    <x:row r="1426">
      <x:c r="A1426" s="28"/>
      <x:c r="B1426" s="52"/>
    </x:row>
    <x:row r="1427">
      <x:c r="A1427" s="28"/>
      <x:c r="B1427" s="52"/>
    </x:row>
    <x:row r="1428">
      <x:c r="A1428" s="28"/>
      <x:c r="B1428" s="52"/>
    </x:row>
    <x:row r="1429">
      <x:c r="A1429" s="28"/>
      <x:c r="B1429" s="52"/>
    </x:row>
    <x:row r="1430">
      <x:c r="A1430" s="28"/>
      <x:c r="B1430" s="52"/>
    </x:row>
    <x:row r="1431">
      <x:c r="A1431" s="28"/>
      <x:c r="B1431" s="52"/>
    </x:row>
    <x:row r="1432">
      <x:c r="A1432" s="28"/>
      <x:c r="B1432" s="52"/>
    </x:row>
    <x:row r="1433">
      <x:c r="A1433" s="28"/>
      <x:c r="B1433" s="52"/>
    </x:row>
    <x:row r="1434">
      <x:c r="A1434" s="28"/>
      <x:c r="B1434" s="52"/>
    </x:row>
    <x:row r="1435">
      <x:c r="A1435" s="28"/>
      <x:c r="B1435" s="52"/>
    </x:row>
    <x:row r="1436">
      <x:c r="A1436" s="28"/>
      <x:c r="B1436" s="52"/>
    </x:row>
    <x:row r="1437">
      <x:c r="A1437" s="28"/>
      <x:c r="B1437" s="52"/>
    </x:row>
    <x:row r="1438">
      <x:c r="A1438" s="28"/>
      <x:c r="B1438" s="52"/>
    </x:row>
    <x:row r="1439">
      <x:c r="A1439" s="28"/>
      <x:c r="B1439" s="52"/>
    </x:row>
    <x:row r="1440">
      <x:c r="A1440" s="28"/>
      <x:c r="B1440" s="52"/>
    </x:row>
    <x:row r="1441">
      <x:c r="A1441" s="28"/>
      <x:c r="B1441" s="52"/>
    </x:row>
    <x:row r="1442">
      <x:c r="A1442" s="28"/>
      <x:c r="B1442" s="52"/>
    </x:row>
    <x:row r="1443">
      <x:c r="A1443" s="28"/>
      <x:c r="B1443" s="52"/>
    </x:row>
    <x:row r="1444">
      <x:c r="A1444" s="28"/>
      <x:c r="B1444" s="52"/>
    </x:row>
    <x:row r="1445">
      <x:c r="A1445" s="28"/>
      <x:c r="B1445" s="52"/>
    </x:row>
    <x:row r="1446">
      <x:c r="A1446" s="28"/>
      <x:c r="B1446" s="52"/>
    </x:row>
    <x:row r="1447">
      <x:c r="A1447" s="28"/>
      <x:c r="B1447" s="52"/>
    </x:row>
    <x:row r="1448">
      <x:c r="A1448" s="28"/>
      <x:c r="B1448" s="52"/>
    </x:row>
    <x:row r="1449">
      <x:c r="A1449" s="28"/>
      <x:c r="B1449" s="52"/>
    </x:row>
    <x:row r="1450">
      <x:c r="A1450" s="28"/>
      <x:c r="B1450" s="52"/>
    </x:row>
    <x:row r="1451">
      <x:c r="A1451" s="28"/>
      <x:c r="B1451" s="52"/>
    </x:row>
    <x:row r="1452">
      <x:c r="A1452" s="28"/>
      <x:c r="B1452" s="52"/>
    </x:row>
    <x:row r="1453">
      <x:c r="A1453" s="28"/>
      <x:c r="B1453" s="52"/>
    </x:row>
    <x:row r="1454">
      <x:c r="A1454" s="28"/>
      <x:c r="B1454" s="52"/>
    </x:row>
    <x:row r="1455">
      <x:c r="A1455" s="28"/>
      <x:c r="B1455" s="52"/>
    </x:row>
    <x:row r="1456">
      <x:c r="A1456" s="28"/>
      <x:c r="B1456" s="52"/>
    </x:row>
    <x:row r="1457">
      <x:c r="A1457" s="28"/>
      <x:c r="B1457" s="52"/>
    </x:row>
    <x:row r="1458">
      <x:c r="A1458" s="28"/>
      <x:c r="B1458" s="52"/>
    </x:row>
    <x:row r="1459">
      <x:c r="A1459" s="28"/>
      <x:c r="B1459" s="52"/>
    </x:row>
    <x:row r="1460">
      <x:c r="A1460" s="28"/>
      <x:c r="B1460" s="52"/>
    </x:row>
    <x:row r="1461">
      <x:c r="A1461" s="28"/>
      <x:c r="B1461" s="52"/>
    </x:row>
    <x:row r="1462">
      <x:c r="A1462" s="28"/>
      <x:c r="B1462" s="52"/>
    </x:row>
    <x:row r="1463">
      <x:c r="A1463" s="28"/>
      <x:c r="B1463" s="52"/>
    </x:row>
    <x:row r="1464">
      <x:c r="A1464" s="28"/>
      <x:c r="B1464" s="52"/>
    </x:row>
    <x:row r="1465">
      <x:c r="A1465" s="28"/>
      <x:c r="B1465" s="52"/>
    </x:row>
    <x:row r="1466">
      <x:c r="A1466" s="28"/>
      <x:c r="B1466" s="52"/>
    </x:row>
    <x:row r="1467">
      <x:c r="A1467" s="28"/>
      <x:c r="B1467" s="52"/>
    </x:row>
    <x:row r="1468">
      <x:c r="A1468" s="28"/>
      <x:c r="B1468" s="52"/>
    </x:row>
    <x:row r="1469">
      <x:c r="A1469" s="28"/>
      <x:c r="B1469" s="52"/>
    </x:row>
    <x:row r="1470">
      <x:c r="A1470" s="28"/>
      <x:c r="B1470" s="52"/>
    </x:row>
    <x:row r="1471">
      <x:c r="A1471" s="28"/>
      <x:c r="B1471" s="52"/>
    </x:row>
    <x:row r="1472">
      <x:c r="A1472" s="28"/>
      <x:c r="B1472" s="52"/>
    </x:row>
    <x:row r="1473">
      <x:c r="A1473" s="28"/>
      <x:c r="B1473" s="52"/>
    </x:row>
    <x:row r="1474">
      <x:c r="A1474" s="28"/>
      <x:c r="B1474" s="52"/>
    </x:row>
    <x:row r="1475">
      <x:c r="A1475" s="28"/>
      <x:c r="B1475" s="52"/>
    </x:row>
    <x:row r="1476">
      <x:c r="A1476" s="28"/>
      <x:c r="B1476" s="52"/>
    </x:row>
    <x:row r="1477">
      <x:c r="A1477" s="28"/>
      <x:c r="B1477" s="52"/>
    </x:row>
    <x:row r="1478">
      <x:c r="A1478" s="28"/>
      <x:c r="B1478" s="52"/>
    </x:row>
    <x:row r="1479">
      <x:c r="A1479" s="28"/>
      <x:c r="B1479" s="52"/>
    </x:row>
    <x:row r="1480">
      <x:c r="A1480" s="28"/>
      <x:c r="B1480" s="52"/>
    </x:row>
    <x:row r="1481">
      <x:c r="A1481" s="28"/>
      <x:c r="B1481" s="52"/>
    </x:row>
    <x:row r="1482">
      <x:c r="A1482" s="28"/>
      <x:c r="B1482" s="52"/>
    </x:row>
    <x:row r="1483">
      <x:c r="A1483" s="28"/>
      <x:c r="B1483" s="52"/>
    </x:row>
    <x:row r="1484">
      <x:c r="A1484" s="28"/>
      <x:c r="B1484" s="52"/>
    </x:row>
    <x:row r="1485">
      <x:c r="A1485" s="28"/>
      <x:c r="B1485" s="52"/>
    </x:row>
    <x:row r="1486">
      <x:c r="A1486" s="28"/>
      <x:c r="B1486" s="52"/>
    </x:row>
    <x:row r="1487">
      <x:c r="A1487" s="28"/>
      <x:c r="B1487" s="52"/>
    </x:row>
    <x:row r="1488">
      <x:c r="A1488" s="28"/>
      <x:c r="B1488" s="52"/>
    </x:row>
    <x:row r="1489">
      <x:c r="A1489" s="28"/>
      <x:c r="B1489" s="52"/>
    </x:row>
    <x:row r="1490">
      <x:c r="A1490" s="28"/>
      <x:c r="B1490" s="52"/>
    </x:row>
    <x:row r="1491">
      <x:c r="A1491" s="28"/>
      <x:c r="B1491" s="52"/>
    </x:row>
    <x:row r="1492">
      <x:c r="A1492" s="28"/>
      <x:c r="B1492" s="52"/>
    </x:row>
    <x:row r="1493">
      <x:c r="A1493" s="28"/>
      <x:c r="B1493" s="52"/>
    </x:row>
    <x:row r="1494">
      <x:c r="A1494" s="28"/>
      <x:c r="B1494" s="52"/>
    </x:row>
    <x:row r="1495">
      <x:c r="A1495" s="28"/>
      <x:c r="B1495" s="52"/>
    </x:row>
    <x:row r="1496">
      <x:c r="A1496" s="28"/>
      <x:c r="B1496" s="52"/>
    </x:row>
    <x:row r="1497">
      <x:c r="A1497" s="28"/>
      <x:c r="B1497" s="52"/>
    </x:row>
    <x:row r="1498">
      <x:c r="A1498" s="28"/>
      <x:c r="B1498" s="52"/>
    </x:row>
    <x:row r="1499">
      <x:c r="A1499" s="28"/>
      <x:c r="B1499" s="52"/>
    </x:row>
    <x:row r="1500">
      <x:c r="A1500" s="28"/>
      <x:c r="B1500" s="52"/>
    </x:row>
    <x:row r="1501">
      <x:c r="A1501" s="28"/>
      <x:c r="B1501" s="52"/>
    </x:row>
    <x:row r="1502">
      <x:c r="A1502" s="28"/>
      <x:c r="B1502" s="52"/>
    </x:row>
    <x:row r="1503">
      <x:c r="A1503" s="28"/>
      <x:c r="B1503" s="52"/>
    </x:row>
    <x:row r="1504">
      <x:c r="A1504" s="28"/>
      <x:c r="B1504" s="52"/>
    </x:row>
    <x:row r="1505">
      <x:c r="A1505" s="28"/>
      <x:c r="B1505" s="52"/>
    </x:row>
    <x:row r="1506">
      <x:c r="A1506" s="28"/>
      <x:c r="B1506" s="52"/>
    </x:row>
    <x:row r="1507">
      <x:c r="A1507" s="28"/>
      <x:c r="B1507" s="52"/>
    </x:row>
    <x:row r="1508">
      <x:c r="A1508" s="28"/>
      <x:c r="B1508" s="52"/>
    </x:row>
    <x:row r="1509">
      <x:c r="A1509" s="28"/>
      <x:c r="B1509" s="52"/>
    </x:row>
    <x:row r="1510">
      <x:c r="A1510" s="28"/>
      <x:c r="B1510" s="52"/>
    </x:row>
    <x:row r="1511">
      <x:c r="A1511" s="28"/>
      <x:c r="B1511" s="52"/>
    </x:row>
    <x:row r="1512">
      <x:c r="A1512" s="28"/>
      <x:c r="B1512" s="52"/>
    </x:row>
    <x:row r="1513">
      <x:c r="A1513" s="28"/>
      <x:c r="B1513" s="52"/>
    </x:row>
    <x:row r="1514">
      <x:c r="A1514" s="28"/>
      <x:c r="B1514" s="52"/>
    </x:row>
    <x:row r="1515">
      <x:c r="A1515" s="28"/>
      <x:c r="B1515" s="52"/>
    </x:row>
    <x:row r="1516">
      <x:c r="A1516" s="28"/>
      <x:c r="B1516" s="52"/>
    </x:row>
    <x:row r="1517">
      <x:c r="A1517" s="28"/>
      <x:c r="B1517" s="52"/>
    </x:row>
    <x:row r="1518">
      <x:c r="A1518" s="28"/>
      <x:c r="B1518" s="52"/>
    </x:row>
    <x:row r="1519">
      <x:c r="A1519" s="28"/>
      <x:c r="B1519" s="52"/>
    </x:row>
    <x:row r="1520">
      <x:c r="A1520" s="28"/>
      <x:c r="B1520" s="52"/>
    </x:row>
    <x:row r="1521">
      <x:c r="A1521" s="28"/>
      <x:c r="B1521" s="52"/>
    </x:row>
    <x:row r="1522">
      <x:c r="A1522" s="28"/>
      <x:c r="B1522" s="52"/>
    </x:row>
    <x:row r="1523">
      <x:c r="A1523" s="28"/>
      <x:c r="B1523" s="52"/>
    </x:row>
    <x:row r="1524">
      <x:c r="A1524" s="28"/>
      <x:c r="B1524" s="52"/>
    </x:row>
    <x:row r="1525">
      <x:c r="A1525" s="28"/>
      <x:c r="B1525" s="52"/>
    </x:row>
    <x:row r="1526">
      <x:c r="A1526" s="28"/>
      <x:c r="B1526" s="52"/>
    </x:row>
    <x:row r="1527">
      <x:c r="A1527" s="28"/>
      <x:c r="B1527" s="52"/>
    </x:row>
    <x:row r="1528">
      <x:c r="A1528" s="28"/>
      <x:c r="B1528" s="52"/>
    </x:row>
    <x:row r="1529">
      <x:c r="A1529" s="28"/>
      <x:c r="B1529" s="52"/>
    </x:row>
    <x:row r="1530">
      <x:c r="A1530" s="28"/>
      <x:c r="B1530" s="52"/>
    </x:row>
    <x:row r="1531">
      <x:c r="A1531" s="28"/>
      <x:c r="B1531" s="52"/>
    </x:row>
    <x:row r="1532">
      <x:c r="A1532" s="28"/>
      <x:c r="B1532" s="52"/>
    </x:row>
    <x:row r="1533">
      <x:c r="A1533" s="28"/>
      <x:c r="B1533" s="52"/>
    </x:row>
    <x:row r="1534">
      <x:c r="A1534" s="28"/>
      <x:c r="B1534" s="52"/>
    </x:row>
    <x:row r="1535">
      <x:c r="A1535" s="28"/>
      <x:c r="B1535" s="52"/>
    </x:row>
    <x:row r="1536">
      <x:c r="A1536" s="28"/>
      <x:c r="B1536" s="52"/>
    </x:row>
    <x:row r="1537">
      <x:c r="A1537" s="28"/>
      <x:c r="B1537" s="52"/>
    </x:row>
    <x:row r="1538">
      <x:c r="A1538" s="28"/>
      <x:c r="B1538" s="52"/>
    </x:row>
    <x:row r="1539">
      <x:c r="A1539" s="28"/>
      <x:c r="B1539" s="52"/>
    </x:row>
    <x:row r="1540">
      <x:c r="A1540" s="28"/>
      <x:c r="B1540" s="52"/>
    </x:row>
    <x:row r="1541">
      <x:c r="A1541" s="28"/>
      <x:c r="B1541" s="52"/>
    </x:row>
    <x:row r="1542">
      <x:c r="A1542" s="28"/>
      <x:c r="B1542" s="52"/>
    </x:row>
    <x:row r="1543">
      <x:c r="A1543" s="28"/>
      <x:c r="B1543" s="52"/>
    </x:row>
    <x:row r="1544">
      <x:c r="A1544" s="28"/>
      <x:c r="B1544" s="52"/>
    </x:row>
    <x:row r="1545">
      <x:c r="A1545" s="28"/>
      <x:c r="B1545" s="52"/>
    </x:row>
    <x:row r="1546">
      <x:c r="A1546" s="28"/>
      <x:c r="B1546" s="52"/>
    </x:row>
    <x:row r="1547">
      <x:c r="A1547" s="28"/>
      <x:c r="B1547" s="52"/>
    </x:row>
    <x:row r="1548">
      <x:c r="A1548" s="28"/>
      <x:c r="B1548" s="52"/>
    </x:row>
    <x:row r="1549">
      <x:c r="A1549" s="28"/>
      <x:c r="B1549" s="52"/>
    </x:row>
    <x:row r="1550">
      <x:c r="A1550" s="28"/>
      <x:c r="B1550" s="52"/>
    </x:row>
    <x:row r="1551">
      <x:c r="A1551" s="28"/>
      <x:c r="B1551" s="52"/>
    </x:row>
    <x:row r="1552">
      <x:c r="A1552" s="28"/>
      <x:c r="B1552" s="52"/>
    </x:row>
    <x:row r="1553">
      <x:c r="A1553" s="28"/>
      <x:c r="B1553" s="52"/>
    </x:row>
    <x:row r="1554">
      <x:c r="A1554" s="28"/>
      <x:c r="B1554" s="52"/>
    </x:row>
    <x:row r="1555">
      <x:c r="A1555" s="28"/>
      <x:c r="B1555" s="52"/>
    </x:row>
    <x:row r="1556">
      <x:c r="A1556" s="28"/>
      <x:c r="B1556" s="52"/>
    </x:row>
    <x:row r="1557">
      <x:c r="A1557" s="28"/>
      <x:c r="B1557" s="52"/>
    </x:row>
    <x:row r="1558">
      <x:c r="A1558" s="28"/>
      <x:c r="B1558" s="52"/>
    </x:row>
    <x:row r="1559">
      <x:c r="A1559" s="28"/>
      <x:c r="B1559" s="52"/>
    </x:row>
    <x:row r="1560">
      <x:c r="A1560" s="28"/>
      <x:c r="B1560" s="52"/>
    </x:row>
    <x:row r="1561">
      <x:c r="A1561" s="28"/>
      <x:c r="B1561" s="52"/>
    </x:row>
    <x:row r="1562">
      <x:c r="A1562" s="28"/>
      <x:c r="B1562" s="52"/>
    </x:row>
    <x:row r="1563">
      <x:c r="A1563" s="28"/>
      <x:c r="B1563" s="52"/>
    </x:row>
    <x:row r="1564">
      <x:c r="A1564" s="28"/>
      <x:c r="B1564" s="52"/>
    </x:row>
    <x:row r="1565">
      <x:c r="A1565" s="28"/>
      <x:c r="B1565" s="52"/>
    </x:row>
    <x:row r="1566">
      <x:c r="A1566" s="28"/>
      <x:c r="B1566" s="52"/>
    </x:row>
    <x:row r="1567">
      <x:c r="A1567" s="28"/>
      <x:c r="B1567" s="52"/>
    </x:row>
    <x:row r="1568">
      <x:c r="A1568" s="28"/>
      <x:c r="B1568" s="52"/>
    </x:row>
    <x:row r="1569">
      <x:c r="A1569" s="28"/>
      <x:c r="B1569" s="52"/>
    </x:row>
    <x:row r="1570">
      <x:c r="A1570" s="28"/>
      <x:c r="B1570" s="52"/>
    </x:row>
    <x:row r="1571">
      <x:c r="A1571" s="28"/>
      <x:c r="B1571" s="52"/>
    </x:row>
    <x:row r="1572">
      <x:c r="A1572" s="28"/>
      <x:c r="B1572" s="52"/>
    </x:row>
    <x:row r="1573">
      <x:c r="A1573" s="28"/>
      <x:c r="B1573" s="52"/>
    </x:row>
    <x:row r="1574">
      <x:c r="A1574" s="28"/>
      <x:c r="B1574" s="52"/>
    </x:row>
    <x:row r="1575">
      <x:c r="A1575" s="28"/>
      <x:c r="B1575" s="52"/>
    </x:row>
    <x:row r="1576">
      <x:c r="A1576" s="28"/>
      <x:c r="B1576" s="52"/>
    </x:row>
    <x:row r="1577">
      <x:c r="A1577" s="28"/>
      <x:c r="B1577" s="52"/>
    </x:row>
    <x:row r="1578">
      <x:c r="A1578" s="28"/>
      <x:c r="B1578" s="52"/>
    </x:row>
    <x:row r="1579">
      <x:c r="A1579" s="28"/>
      <x:c r="B1579" s="52"/>
    </x:row>
    <x:row r="1580">
      <x:c r="A1580" s="28"/>
      <x:c r="B1580" s="52"/>
    </x:row>
    <x:row r="1581">
      <x:c r="A1581" s="28"/>
      <x:c r="B1581" s="52"/>
    </x:row>
    <x:row r="1582">
      <x:c r="A1582" s="28"/>
      <x:c r="B1582" s="52"/>
    </x:row>
    <x:row r="1583">
      <x:c r="A1583" s="28"/>
      <x:c r="B1583" s="52"/>
    </x:row>
    <x:row r="1584">
      <x:c r="A1584" s="28"/>
      <x:c r="B1584" s="52"/>
    </x:row>
    <x:row r="1585">
      <x:c r="A1585" s="28"/>
      <x:c r="B1585" s="52"/>
    </x:row>
    <x:row r="1586">
      <x:c r="A1586" s="28"/>
      <x:c r="B1586" s="52"/>
    </x:row>
    <x:row r="1587">
      <x:c r="A1587" s="28"/>
      <x:c r="B1587" s="52"/>
    </x:row>
    <x:row r="1588">
      <x:c r="A1588" s="28"/>
      <x:c r="B1588" s="52"/>
    </x:row>
    <x:row r="1589">
      <x:c r="A1589" s="28"/>
      <x:c r="B1589" s="52"/>
    </x:row>
    <x:row r="1590">
      <x:c r="A1590" s="28"/>
      <x:c r="B1590" s="52"/>
    </x:row>
    <x:row r="1591">
      <x:c r="A1591" s="28"/>
      <x:c r="B1591" s="52"/>
    </x:row>
    <x:row r="1592">
      <x:c r="A1592" s="28"/>
      <x:c r="B1592" s="52"/>
    </x:row>
    <x:row r="1593">
      <x:c r="A1593" s="28"/>
      <x:c r="B1593" s="52"/>
    </x:row>
    <x:row r="1594">
      <x:c r="A1594" s="28"/>
      <x:c r="B1594" s="52"/>
    </x:row>
    <x:row r="1595">
      <x:c r="A1595" s="28"/>
      <x:c r="B1595" s="52"/>
    </x:row>
    <x:row r="1596">
      <x:c r="A1596" s="28"/>
      <x:c r="B1596" s="52"/>
    </x:row>
    <x:row r="1597">
      <x:c r="A1597" s="28"/>
      <x:c r="B1597" s="52"/>
    </x:row>
    <x:row r="1598">
      <x:c r="A1598" s="28"/>
      <x:c r="B1598" s="52"/>
    </x:row>
    <x:row r="1599">
      <x:c r="A1599" s="28"/>
      <x:c r="B1599" s="52"/>
    </x:row>
    <x:row r="1600">
      <x:c r="A1600" s="28"/>
      <x:c r="B1600" s="52"/>
    </x:row>
    <x:row r="1601">
      <x:c r="A1601" s="28"/>
      <x:c r="B1601" s="52"/>
    </x:row>
    <x:row r="1602">
      <x:c r="A1602" s="28"/>
      <x:c r="B1602" s="52"/>
    </x:row>
    <x:row r="1603">
      <x:c r="A1603" s="28"/>
      <x:c r="B1603" s="52"/>
    </x:row>
    <x:row r="1604">
      <x:c r="A1604" s="28"/>
      <x:c r="B1604" s="52"/>
    </x:row>
    <x:row r="1605">
      <x:c r="A1605" s="28"/>
      <x:c r="B1605" s="52"/>
    </x:row>
    <x:row r="1606">
      <x:c r="A1606" s="28"/>
      <x:c r="B1606" s="52"/>
    </x:row>
    <x:row r="1607">
      <x:c r="A1607" s="28"/>
      <x:c r="B1607" s="52"/>
    </x:row>
    <x:row r="1608">
      <x:c r="A1608" s="28"/>
      <x:c r="B1608" s="52"/>
    </x:row>
    <x:row r="1609">
      <x:c r="A1609" s="28"/>
      <x:c r="B1609" s="52"/>
    </x:row>
    <x:row r="1610">
      <x:c r="A1610" s="28"/>
      <x:c r="B1610" s="52"/>
    </x:row>
    <x:row r="1611">
      <x:c r="A1611" s="28"/>
      <x:c r="B1611" s="52"/>
    </x:row>
    <x:row r="1612">
      <x:c r="A1612" s="28"/>
      <x:c r="B1612" s="52"/>
    </x:row>
    <x:row r="1613">
      <x:c r="A1613" s="28"/>
      <x:c r="B1613" s="52"/>
    </x:row>
    <x:row r="1614">
      <x:c r="A1614" s="28"/>
      <x:c r="B1614" s="52"/>
    </x:row>
    <x:row r="1615">
      <x:c r="A1615" s="28"/>
      <x:c r="B1615" s="52"/>
    </x:row>
    <x:row r="1616">
      <x:c r="A1616" s="28"/>
      <x:c r="B1616" s="52"/>
    </x:row>
    <x:row r="1617">
      <x:c r="A1617" s="28"/>
      <x:c r="B1617" s="52"/>
    </x:row>
    <x:row r="1618">
      <x:c r="A1618" s="28"/>
      <x:c r="B1618" s="52"/>
    </x:row>
    <x:row r="1619">
      <x:c r="A1619" s="28"/>
      <x:c r="B1619" s="52"/>
    </x:row>
    <x:row r="1620">
      <x:c r="A1620" s="28"/>
      <x:c r="B1620" s="52"/>
    </x:row>
    <x:row r="1621">
      <x:c r="A1621" s="28"/>
      <x:c r="B1621" s="52"/>
    </x:row>
    <x:row r="1622">
      <x:c r="A1622" s="28"/>
      <x:c r="B1622" s="52"/>
    </x:row>
    <x:row r="1623">
      <x:c r="A1623" s="28"/>
      <x:c r="B1623" s="52"/>
    </x:row>
    <x:row r="1624">
      <x:c r="A1624" s="28"/>
      <x:c r="B1624" s="52"/>
    </x:row>
    <x:row r="1625">
      <x:c r="A1625" s="28"/>
      <x:c r="B1625" s="52"/>
    </x:row>
    <x:row r="1626">
      <x:c r="A1626" s="28"/>
      <x:c r="B1626" s="52"/>
    </x:row>
    <x:row r="1627">
      <x:c r="A1627" s="28"/>
      <x:c r="B1627" s="52"/>
    </x:row>
    <x:row r="1628">
      <x:c r="A1628" s="28"/>
      <x:c r="B1628" s="52"/>
    </x:row>
    <x:row r="1629">
      <x:c r="A1629" s="28"/>
      <x:c r="B1629" s="52"/>
    </x:row>
    <x:row r="1630">
      <x:c r="A1630" s="28"/>
      <x:c r="B1630" s="52"/>
    </x:row>
    <x:row r="1631">
      <x:c r="A1631" s="28"/>
      <x:c r="B1631" s="52"/>
    </x:row>
    <x:row r="1632">
      <x:c r="A1632" s="28"/>
      <x:c r="B1632" s="52"/>
    </x:row>
    <x:row r="1633">
      <x:c r="A1633" s="28"/>
      <x:c r="B1633" s="52"/>
    </x:row>
    <x:row r="1634">
      <x:c r="A1634" s="28"/>
      <x:c r="B1634" s="52"/>
    </x:row>
    <x:row r="1635">
      <x:c r="A1635" s="28"/>
      <x:c r="B1635" s="52"/>
    </x:row>
    <x:row r="1636">
      <x:c r="A1636" s="28"/>
      <x:c r="B1636" s="52"/>
    </x:row>
    <x:row r="1637">
      <x:c r="A1637" s="28"/>
      <x:c r="B1637" s="52"/>
    </x:row>
    <x:row r="1638">
      <x:c r="A1638" s="28"/>
      <x:c r="B1638" s="52"/>
    </x:row>
    <x:row r="1639">
      <x:c r="A1639" s="28"/>
      <x:c r="B1639" s="52"/>
    </x:row>
    <x:row r="1640">
      <x:c r="A1640" s="28"/>
      <x:c r="B1640" s="52"/>
    </x:row>
    <x:row r="1641">
      <x:c r="A1641" s="28"/>
      <x:c r="B1641" s="52"/>
    </x:row>
    <x:row r="1642">
      <x:c r="A1642" s="28"/>
      <x:c r="B1642" s="52"/>
    </x:row>
    <x:row r="1643">
      <x:c r="A1643" s="28"/>
      <x:c r="B1643" s="52"/>
    </x:row>
    <x:row r="1644">
      <x:c r="A1644" s="28"/>
      <x:c r="B1644" s="52"/>
    </x:row>
    <x:row r="1645">
      <x:c r="A1645" s="28"/>
      <x:c r="B1645" s="52"/>
    </x:row>
    <x:row r="1646">
      <x:c r="A1646" s="28"/>
      <x:c r="B1646" s="52"/>
    </x:row>
    <x:row r="1647">
      <x:c r="A1647" s="28"/>
      <x:c r="B1647" s="52"/>
    </x:row>
    <x:row r="1648">
      <x:c r="A1648" s="28"/>
      <x:c r="B1648" s="52"/>
    </x:row>
    <x:row r="1649">
      <x:c r="A1649" s="28"/>
      <x:c r="B1649" s="52"/>
    </x:row>
    <x:row r="1650">
      <x:c r="A1650" s="28"/>
      <x:c r="B1650" s="52"/>
    </x:row>
    <x:row r="1651">
      <x:c r="A1651" s="28"/>
      <x:c r="B1651" s="52"/>
    </x:row>
    <x:row r="1652">
      <x:c r="A1652" s="28"/>
      <x:c r="B1652" s="52"/>
    </x:row>
    <x:row r="1653">
      <x:c r="A1653" s="28"/>
      <x:c r="B1653" s="52"/>
    </x:row>
    <x:row r="1654">
      <x:c r="A1654" s="28"/>
      <x:c r="B1654" s="52"/>
    </x:row>
    <x:row r="1655">
      <x:c r="A1655" s="28"/>
      <x:c r="B1655" s="52"/>
    </x:row>
    <x:row r="1656">
      <x:c r="A1656" s="28"/>
      <x:c r="B1656" s="52"/>
    </x:row>
    <x:row r="1657">
      <x:c r="A1657" s="28"/>
      <x:c r="B1657" s="52"/>
    </x:row>
    <x:row r="1658">
      <x:c r="A1658" s="28"/>
      <x:c r="B1658" s="52"/>
    </x:row>
    <x:row r="1659">
      <x:c r="A1659" s="28"/>
      <x:c r="B1659" s="52"/>
    </x:row>
    <x:row r="1660">
      <x:c r="A1660" s="28"/>
      <x:c r="B1660" s="52"/>
    </x:row>
    <x:row r="1661">
      <x:c r="A1661" s="28"/>
      <x:c r="B1661" s="52"/>
    </x:row>
    <x:row r="1662">
      <x:c r="A1662" s="28"/>
      <x:c r="B1662" s="52"/>
    </x:row>
    <x:row r="1663">
      <x:c r="A1663" s="28"/>
      <x:c r="B1663" s="52"/>
    </x:row>
    <x:row r="1664">
      <x:c r="A1664" s="28"/>
      <x:c r="B1664" s="52"/>
    </x:row>
    <x:row r="1665">
      <x:c r="A1665" s="28"/>
      <x:c r="B1665" s="52"/>
    </x:row>
    <x:row r="1666">
      <x:c r="A1666" s="28"/>
      <x:c r="B1666" s="52"/>
    </x:row>
    <x:row r="1667">
      <x:c r="A1667" s="28"/>
      <x:c r="B1667" s="52"/>
    </x:row>
    <x:row r="1668">
      <x:c r="A1668" s="28"/>
      <x:c r="B1668" s="52"/>
    </x:row>
    <x:row r="1669">
      <x:c r="A1669" s="28"/>
      <x:c r="B1669" s="52"/>
    </x:row>
    <x:row r="1670">
      <x:c r="A1670" s="28"/>
      <x:c r="B1670" s="52"/>
    </x:row>
    <x:row r="1671">
      <x:c r="A1671" s="28"/>
      <x:c r="B1671" s="52"/>
    </x:row>
    <x:row r="1672">
      <x:c r="A1672" s="28"/>
      <x:c r="B1672" s="52"/>
    </x:row>
    <x:row r="1673">
      <x:c r="A1673" s="28"/>
      <x:c r="B1673" s="52"/>
    </x:row>
    <x:row r="1674">
      <x:c r="A1674" s="28"/>
      <x:c r="B1674" s="52"/>
    </x:row>
    <x:row r="1675">
      <x:c r="A1675" s="28"/>
      <x:c r="B1675" s="52"/>
    </x:row>
    <x:row r="1676">
      <x:c r="A1676" s="28"/>
      <x:c r="B1676" s="52"/>
    </x:row>
    <x:row r="1677">
      <x:c r="A1677" s="28"/>
      <x:c r="B1677" s="52"/>
    </x:row>
    <x:row r="1678">
      <x:c r="A1678" s="28"/>
      <x:c r="B1678" s="52"/>
    </x:row>
    <x:row r="1679">
      <x:c r="A1679" s="28"/>
      <x:c r="B1679" s="52"/>
    </x:row>
    <x:row r="1680">
      <x:c r="A1680" s="28"/>
      <x:c r="B1680" s="52"/>
    </x:row>
    <x:row r="1681">
      <x:c r="A1681" s="28"/>
      <x:c r="B1681" s="52"/>
    </x:row>
    <x:row r="1682">
      <x:c r="A1682" s="28"/>
      <x:c r="B1682" s="52"/>
    </x:row>
    <x:row r="1683">
      <x:c r="A1683" s="28"/>
      <x:c r="B1683" s="52"/>
    </x:row>
    <x:row r="1684">
      <x:c r="A1684" s="28"/>
      <x:c r="B1684" s="52"/>
    </x:row>
    <x:row r="1685">
      <x:c r="A1685" s="28"/>
      <x:c r="B1685" s="52"/>
    </x:row>
    <x:row r="1686">
      <x:c r="A1686" s="28"/>
      <x:c r="B1686" s="52"/>
    </x:row>
    <x:row r="1687">
      <x:c r="A1687" s="28"/>
      <x:c r="B1687" s="52"/>
    </x:row>
    <x:row r="1688">
      <x:c r="A1688" s="28"/>
      <x:c r="B1688" s="52"/>
    </x:row>
    <x:row r="1689">
      <x:c r="A1689" s="28"/>
      <x:c r="B1689" s="52"/>
    </x:row>
    <x:row r="1690">
      <x:c r="A1690" s="28"/>
      <x:c r="B1690" s="52"/>
    </x:row>
    <x:row r="1691">
      <x:c r="A1691" s="28"/>
      <x:c r="B1691" s="52"/>
    </x:row>
    <x:row r="1692">
      <x:c r="A1692" s="28"/>
      <x:c r="B1692" s="52"/>
    </x:row>
    <x:row r="1693">
      <x:c r="A1693" s="28"/>
      <x:c r="B1693" s="52"/>
    </x:row>
    <x:row r="1694">
      <x:c r="A1694" s="28"/>
      <x:c r="B1694" s="52"/>
    </x:row>
    <x:row r="1695">
      <x:c r="A1695" s="28"/>
      <x:c r="B1695" s="52"/>
    </x:row>
    <x:row r="1696">
      <x:c r="A1696" s="28"/>
      <x:c r="B1696" s="52"/>
    </x:row>
    <x:row r="1697">
      <x:c r="A1697" s="28"/>
      <x:c r="B1697" s="52"/>
    </x:row>
    <x:row r="1698">
      <x:c r="A1698" s="28"/>
      <x:c r="B1698" s="52"/>
    </x:row>
    <x:row r="1699">
      <x:c r="A1699" s="28"/>
      <x:c r="B1699" s="52"/>
    </x:row>
    <x:row r="1700">
      <x:c r="A1700" s="28"/>
      <x:c r="B1700" s="52"/>
    </x:row>
    <x:row r="1701">
      <x:c r="A1701" s="28"/>
      <x:c r="B1701" s="52"/>
    </x:row>
    <x:row r="1702">
      <x:c r="A1702" s="28"/>
      <x:c r="B1702" s="52"/>
    </x:row>
    <x:row r="1703">
      <x:c r="A1703" s="28"/>
      <x:c r="B1703" s="52"/>
    </x:row>
    <x:row r="1704">
      <x:c r="A1704" s="28"/>
      <x:c r="B1704" s="52"/>
    </x:row>
    <x:row r="1705">
      <x:c r="A1705" s="28"/>
      <x:c r="B1705" s="52"/>
    </x:row>
    <x:row r="1706">
      <x:c r="A1706" s="28"/>
      <x:c r="B1706" s="52"/>
    </x:row>
    <x:row r="1707">
      <x:c r="A1707" s="28"/>
      <x:c r="B1707" s="52"/>
    </x:row>
    <x:row r="1708">
      <x:c r="A1708" s="28"/>
      <x:c r="B1708" s="52"/>
    </x:row>
    <x:row r="1709">
      <x:c r="A1709" s="28"/>
      <x:c r="B1709" s="52"/>
    </x:row>
    <x:row r="1710">
      <x:c r="A1710" s="28"/>
      <x:c r="B1710" s="52"/>
    </x:row>
    <x:row r="1711">
      <x:c r="A1711" s="28"/>
      <x:c r="B1711" s="52"/>
    </x:row>
    <x:row r="1712">
      <x:c r="A1712" s="28"/>
      <x:c r="B1712" s="52"/>
    </x:row>
    <x:row r="1713">
      <x:c r="A1713" s="28"/>
      <x:c r="B1713" s="52"/>
    </x:row>
    <x:row r="1714">
      <x:c r="A1714" s="28"/>
      <x:c r="B1714" s="52"/>
    </x:row>
    <x:row r="1715">
      <x:c r="A1715" s="28"/>
      <x:c r="B1715" s="52"/>
    </x:row>
    <x:row r="1716">
      <x:c r="A1716" s="28"/>
      <x:c r="B1716" s="52"/>
    </x:row>
    <x:row r="1717">
      <x:c r="A1717" s="28"/>
      <x:c r="B1717" s="52"/>
    </x:row>
    <x:row r="1718">
      <x:c r="A1718" s="28"/>
      <x:c r="B1718" s="52"/>
    </x:row>
    <x:row r="1719">
      <x:c r="A1719" s="28"/>
      <x:c r="B1719" s="52"/>
    </x:row>
    <x:row r="1720">
      <x:c r="A1720" s="28"/>
      <x:c r="B1720" s="52"/>
    </x:row>
    <x:row r="1721">
      <x:c r="A1721" s="28"/>
      <x:c r="B1721" s="52"/>
    </x:row>
    <x:row r="1722">
      <x:c r="A1722" s="28"/>
      <x:c r="B1722" s="52"/>
    </x:row>
    <x:row r="1723">
      <x:c r="A1723" s="28"/>
      <x:c r="B1723" s="52"/>
    </x:row>
    <x:row r="1724">
      <x:c r="A1724" s="28"/>
      <x:c r="B1724" s="52"/>
    </x:row>
    <x:row r="1725">
      <x:c r="A1725" s="28"/>
      <x:c r="B1725" s="52"/>
    </x:row>
    <x:row r="1726">
      <x:c r="A1726" s="28"/>
      <x:c r="B1726" s="52"/>
    </x:row>
    <x:row r="1727">
      <x:c r="A1727" s="28"/>
      <x:c r="B1727" s="52"/>
    </x:row>
    <x:row r="1728">
      <x:c r="A1728" s="28"/>
      <x:c r="B1728" s="52"/>
    </x:row>
    <x:row r="1729">
      <x:c r="A1729" s="28"/>
      <x:c r="B1729" s="52"/>
    </x:row>
    <x:row r="1730">
      <x:c r="A1730" s="28"/>
      <x:c r="B1730" s="52"/>
    </x:row>
    <x:row r="1731">
      <x:c r="A1731" s="28"/>
      <x:c r="B1731" s="52"/>
    </x:row>
    <x:row r="1732">
      <x:c r="A1732" s="28"/>
      <x:c r="B1732" s="52"/>
    </x:row>
    <x:row r="1733">
      <x:c r="A1733" s="28"/>
      <x:c r="B1733" s="52"/>
    </x:row>
    <x:row r="1734">
      <x:c r="A1734" s="28"/>
      <x:c r="B1734" s="52"/>
    </x:row>
    <x:row r="1735">
      <x:c r="A1735" s="28"/>
      <x:c r="B1735" s="52"/>
    </x:row>
    <x:row r="1736">
      <x:c r="A1736" s="28"/>
      <x:c r="B1736" s="52"/>
    </x:row>
    <x:row r="1737">
      <x:c r="A1737" s="28"/>
      <x:c r="B1737" s="52"/>
    </x:row>
    <x:row r="1738">
      <x:c r="A1738" s="28"/>
      <x:c r="B1738" s="52"/>
    </x:row>
    <x:row r="1739">
      <x:c r="A1739" s="28"/>
      <x:c r="B1739" s="52"/>
    </x:row>
    <x:row r="1740">
      <x:c r="A1740" s="28"/>
      <x:c r="B1740" s="52"/>
    </x:row>
    <x:row r="1741">
      <x:c r="A1741" s="28"/>
      <x:c r="B1741" s="52"/>
    </x:row>
    <x:row r="1742">
      <x:c r="A1742" s="28"/>
      <x:c r="B1742" s="52"/>
    </x:row>
    <x:row r="1743">
      <x:c r="A1743" s="28"/>
      <x:c r="B1743" s="52"/>
    </x:row>
    <x:row r="1744">
      <x:c r="A1744" s="28"/>
      <x:c r="B1744" s="52"/>
    </x:row>
    <x:row r="1745">
      <x:c r="A1745" s="28"/>
      <x:c r="B1745" s="52"/>
    </x:row>
    <x:row r="1746">
      <x:c r="A1746" s="28"/>
      <x:c r="B1746" s="52"/>
    </x:row>
    <x:row r="1747">
      <x:c r="A1747" s="28"/>
      <x:c r="B1747" s="52"/>
    </x:row>
    <x:row r="1748">
      <x:c r="A1748" s="28"/>
      <x:c r="B1748" s="52"/>
    </x:row>
    <x:row r="1749">
      <x:c r="A1749" s="28"/>
      <x:c r="B1749" s="52"/>
    </x:row>
    <x:row r="1750">
      <x:c r="A1750" s="28"/>
      <x:c r="B1750" s="52"/>
    </x:row>
    <x:row r="1751">
      <x:c r="A1751" s="28"/>
      <x:c r="B1751" s="52"/>
    </x:row>
    <x:row r="1752">
      <x:c r="A1752" s="28"/>
      <x:c r="B1752" s="52"/>
    </x:row>
    <x:row r="1753">
      <x:c r="A1753" s="28"/>
      <x:c r="B1753" s="52"/>
    </x:row>
    <x:row r="1754">
      <x:c r="A1754" s="28"/>
      <x:c r="B1754" s="52"/>
    </x:row>
    <x:row r="1755">
      <x:c r="A1755" s="28"/>
      <x:c r="B1755" s="52"/>
    </x:row>
    <x:row r="1756">
      <x:c r="A1756" s="28"/>
      <x:c r="B1756" s="52"/>
    </x:row>
    <x:row r="1757">
      <x:c r="A1757" s="28"/>
      <x:c r="B1757" s="52"/>
    </x:row>
    <x:row r="1758">
      <x:c r="A1758" s="28"/>
      <x:c r="B1758" s="52"/>
    </x:row>
    <x:row r="1759">
      <x:c r="A1759" s="28"/>
      <x:c r="B1759" s="52"/>
    </x:row>
    <x:row r="1760">
      <x:c r="A1760" s="28"/>
      <x:c r="B1760" s="52"/>
    </x:row>
    <x:row r="1761">
      <x:c r="A1761" s="28"/>
      <x:c r="B1761" s="52"/>
    </x:row>
    <x:row r="1762">
      <x:c r="A1762" s="28"/>
      <x:c r="B1762" s="52"/>
    </x:row>
    <x:row r="1763">
      <x:c r="A1763" s="28"/>
      <x:c r="B1763" s="52"/>
    </x:row>
    <x:row r="1764">
      <x:c r="A1764" s="28"/>
      <x:c r="B1764" s="52"/>
    </x:row>
    <x:row r="1765">
      <x:c r="A1765" s="28"/>
      <x:c r="B1765" s="52"/>
    </x:row>
    <x:row r="1766">
      <x:c r="A1766" s="28"/>
      <x:c r="B1766" s="52"/>
    </x:row>
    <x:row r="1767">
      <x:c r="A1767" s="28"/>
      <x:c r="B1767" s="52"/>
    </x:row>
    <x:row r="1768">
      <x:c r="A1768" s="28"/>
      <x:c r="B1768" s="52"/>
    </x:row>
    <x:row r="1769">
      <x:c r="A1769" s="28"/>
      <x:c r="B1769" s="52"/>
    </x:row>
    <x:row r="1770">
      <x:c r="A1770" s="28"/>
      <x:c r="B1770" s="52"/>
    </x:row>
    <x:row r="1771">
      <x:c r="A1771" s="28"/>
      <x:c r="B1771" s="52"/>
    </x:row>
    <x:row r="1772">
      <x:c r="A1772" s="28"/>
      <x:c r="B1772" s="52"/>
    </x:row>
    <x:row r="1773">
      <x:c r="A1773" s="28"/>
      <x:c r="B1773" s="52"/>
    </x:row>
    <x:row r="1774">
      <x:c r="A1774" s="28"/>
      <x:c r="B1774" s="52"/>
    </x:row>
    <x:row r="1775">
      <x:c r="A1775" s="28"/>
      <x:c r="B1775" s="52"/>
    </x:row>
    <x:row r="1776">
      <x:c r="A1776" s="28"/>
      <x:c r="B1776" s="52"/>
    </x:row>
    <x:row r="1777">
      <x:c r="A1777" s="28"/>
      <x:c r="B1777" s="52"/>
    </x:row>
    <x:row r="1778">
      <x:c r="A1778" s="28"/>
      <x:c r="B1778" s="52"/>
    </x:row>
    <x:row r="1779">
      <x:c r="A1779" s="28"/>
      <x:c r="B1779" s="52"/>
    </x:row>
    <x:row r="1780">
      <x:c r="A1780" s="28"/>
      <x:c r="B1780" s="52"/>
    </x:row>
    <x:row r="1781">
      <x:c r="A1781" s="28"/>
      <x:c r="B1781" s="52"/>
    </x:row>
    <x:row r="1782">
      <x:c r="A1782" s="28"/>
      <x:c r="B1782" s="52"/>
    </x:row>
    <x:row r="1783">
      <x:c r="A1783" s="28"/>
      <x:c r="B1783" s="52"/>
    </x:row>
    <x:row r="1784">
      <x:c r="A1784" s="28"/>
      <x:c r="B1784" s="52"/>
    </x:row>
    <x:row r="1785">
      <x:c r="A1785" s="28"/>
      <x:c r="B1785" s="52"/>
    </x:row>
    <x:row r="1786">
      <x:c r="A1786" s="28"/>
      <x:c r="B1786" s="52"/>
    </x:row>
    <x:row r="1787">
      <x:c r="A1787" s="28"/>
      <x:c r="B1787" s="52"/>
    </x:row>
    <x:row r="1788">
      <x:c r="A1788" s="28"/>
      <x:c r="B1788" s="52"/>
    </x:row>
    <x:row r="1789">
      <x:c r="A1789" s="28"/>
      <x:c r="B1789" s="52"/>
    </x:row>
    <x:row r="1790">
      <x:c r="A1790" s="28"/>
      <x:c r="B1790" s="52"/>
    </x:row>
    <x:row r="1791">
      <x:c r="A1791" s="28"/>
      <x:c r="B1791" s="52"/>
    </x:row>
    <x:row r="1792">
      <x:c r="A1792" s="28"/>
      <x:c r="B1792" s="52"/>
    </x:row>
    <x:row r="1793">
      <x:c r="A1793" s="28"/>
      <x:c r="B1793" s="52"/>
    </x:row>
    <x:row r="1794">
      <x:c r="A1794" s="28"/>
      <x:c r="B1794" s="52"/>
    </x:row>
    <x:row r="1795">
      <x:c r="A1795" s="28"/>
      <x:c r="B1795" s="52"/>
    </x:row>
    <x:row r="1796">
      <x:c r="A1796" s="28"/>
      <x:c r="B1796" s="52"/>
    </x:row>
    <x:row r="1797">
      <x:c r="A1797" s="28"/>
      <x:c r="B1797" s="52"/>
    </x:row>
    <x:row r="1798">
      <x:c r="A1798" s="28"/>
      <x:c r="B1798" s="52"/>
    </x:row>
    <x:row r="1799">
      <x:c r="A1799" s="28"/>
      <x:c r="B1799" s="52"/>
    </x:row>
    <x:row r="1800">
      <x:c r="A1800" s="28"/>
      <x:c r="B1800" s="52"/>
    </x:row>
    <x:row r="1801">
      <x:c r="A1801" s="28"/>
      <x:c r="B1801" s="52"/>
    </x:row>
    <x:row r="1802">
      <x:c r="A1802" s="28"/>
      <x:c r="B1802" s="52"/>
    </x:row>
    <x:row r="1803">
      <x:c r="A1803" s="28"/>
      <x:c r="B1803" s="52"/>
    </x:row>
    <x:row r="1804">
      <x:c r="A1804" s="28"/>
      <x:c r="B1804" s="52"/>
    </x:row>
    <x:row r="1805">
      <x:c r="A1805" s="28"/>
      <x:c r="B1805" s="52"/>
    </x:row>
    <x:row r="1806">
      <x:c r="A1806" s="28"/>
      <x:c r="B1806" s="52"/>
    </x:row>
    <x:row r="1807">
      <x:c r="A1807" s="28"/>
      <x:c r="B1807" s="52"/>
    </x:row>
    <x:row r="1808">
      <x:c r="A1808" s="28"/>
      <x:c r="B1808" s="52"/>
    </x:row>
    <x:row r="1809">
      <x:c r="A1809" s="28"/>
      <x:c r="B1809" s="52"/>
    </x:row>
    <x:row r="1810">
      <x:c r="A1810" s="28"/>
      <x:c r="B1810" s="52"/>
    </x:row>
    <x:row r="1811">
      <x:c r="A1811" s="28"/>
      <x:c r="B1811" s="52"/>
    </x:row>
    <x:row r="1812">
      <x:c r="A1812" s="28"/>
      <x:c r="B1812" s="52"/>
    </x:row>
    <x:row r="1813">
      <x:c r="A1813" s="28"/>
      <x:c r="B1813" s="52"/>
    </x:row>
    <x:row r="1814">
      <x:c r="A1814" s="28"/>
      <x:c r="B1814" s="52"/>
    </x:row>
    <x:row r="1815">
      <x:c r="A1815" s="28"/>
      <x:c r="B1815" s="52"/>
    </x:row>
    <x:row r="1816">
      <x:c r="A1816" s="28"/>
      <x:c r="B1816" s="52"/>
    </x:row>
    <x:row r="1817">
      <x:c r="A1817" s="28"/>
      <x:c r="B1817" s="52"/>
    </x:row>
    <x:row r="1818">
      <x:c r="A1818" s="28"/>
      <x:c r="B1818" s="52"/>
    </x:row>
    <x:row r="1819">
      <x:c r="A1819" s="28"/>
      <x:c r="B1819" s="52"/>
    </x:row>
    <x:row r="1820">
      <x:c r="A1820" s="28"/>
      <x:c r="B1820" s="52"/>
    </x:row>
    <x:row r="1821">
      <x:c r="A1821" s="28"/>
      <x:c r="B1821" s="52"/>
    </x:row>
    <x:row r="1822">
      <x:c r="A1822" s="28"/>
      <x:c r="B1822" s="52"/>
    </x:row>
    <x:row r="1823">
      <x:c r="A1823" s="28"/>
      <x:c r="B1823" s="52"/>
    </x:row>
    <x:row r="1824">
      <x:c r="A1824" s="28"/>
      <x:c r="B1824" s="52"/>
    </x:row>
    <x:row r="1825">
      <x:c r="A1825" s="28"/>
      <x:c r="B1825" s="52"/>
    </x:row>
    <x:row r="1826">
      <x:c r="A1826" s="28"/>
      <x:c r="B1826" s="52"/>
    </x:row>
    <x:row r="1827">
      <x:c r="A1827" s="28"/>
      <x:c r="B1827" s="52"/>
    </x:row>
    <x:row r="1828">
      <x:c r="A1828" s="28"/>
      <x:c r="B1828" s="52"/>
    </x:row>
    <x:row r="1829">
      <x:c r="A1829" s="28"/>
      <x:c r="B1829" s="52"/>
    </x:row>
    <x:row r="1830">
      <x:c r="A1830" s="28"/>
      <x:c r="B1830" s="52"/>
    </x:row>
    <x:row r="1831">
      <x:c r="A1831" s="28"/>
      <x:c r="B1831" s="52"/>
    </x:row>
    <x:row r="1832">
      <x:c r="A1832" s="28"/>
      <x:c r="B1832" s="52"/>
    </x:row>
    <x:row r="1833">
      <x:c r="A1833" s="28"/>
      <x:c r="B1833" s="52"/>
    </x:row>
    <x:row r="1834">
      <x:c r="A1834" s="28"/>
      <x:c r="B1834" s="52"/>
    </x:row>
    <x:row r="1835">
      <x:c r="A1835" s="28"/>
      <x:c r="B1835" s="52"/>
    </x:row>
    <x:row r="1836">
      <x:c r="A1836" s="28"/>
      <x:c r="B1836" s="52"/>
    </x:row>
    <x:row r="1837">
      <x:c r="A1837" s="28"/>
      <x:c r="B1837" s="52"/>
    </x:row>
    <x:row r="1838">
      <x:c r="A1838" s="28"/>
      <x:c r="B1838" s="52"/>
    </x:row>
    <x:row r="1839">
      <x:c r="A1839" s="28"/>
      <x:c r="B1839" s="52"/>
    </x:row>
    <x:row r="1840">
      <x:c r="A1840" s="28"/>
      <x:c r="B1840" s="52"/>
    </x:row>
    <x:row r="1841">
      <x:c r="A1841" s="28"/>
      <x:c r="B1841" s="52"/>
    </x:row>
    <x:row r="1842">
      <x:c r="A1842" s="28"/>
      <x:c r="B1842" s="52"/>
    </x:row>
    <x:row r="1843">
      <x:c r="A1843" s="28"/>
      <x:c r="B1843" s="52"/>
    </x:row>
    <x:row r="1844">
      <x:c r="A1844" s="28"/>
      <x:c r="B1844" s="52"/>
    </x:row>
    <x:row r="1845">
      <x:c r="A1845" s="28"/>
      <x:c r="B1845" s="52"/>
    </x:row>
    <x:row r="1846">
      <x:c r="A1846" s="28"/>
      <x:c r="B1846" s="52"/>
    </x:row>
    <x:row r="1847">
      <x:c r="A1847" s="28"/>
      <x:c r="B1847" s="52"/>
    </x:row>
    <x:row r="1848">
      <x:c r="A1848" s="28"/>
      <x:c r="B1848" s="52"/>
    </x:row>
    <x:row r="1849">
      <x:c r="A1849" s="28"/>
      <x:c r="B1849" s="52"/>
    </x:row>
    <x:row r="1850">
      <x:c r="A1850" s="28"/>
      <x:c r="B1850" s="52"/>
    </x:row>
    <x:row r="1851">
      <x:c r="A1851" s="28"/>
      <x:c r="B1851" s="52"/>
    </x:row>
    <x:row r="1852">
      <x:c r="A1852" s="28"/>
      <x:c r="B1852" s="52"/>
    </x:row>
    <x:row r="1853">
      <x:c r="A1853" s="28"/>
      <x:c r="B1853" s="52"/>
    </x:row>
    <x:row r="1854">
      <x:c r="A1854" s="28"/>
      <x:c r="B1854" s="52"/>
    </x:row>
    <x:row r="1855">
      <x:c r="A1855" s="28"/>
      <x:c r="B1855" s="52"/>
    </x:row>
    <x:row r="1856">
      <x:c r="A1856" s="28"/>
      <x:c r="B1856" s="52"/>
    </x:row>
    <x:row r="1857">
      <x:c r="A1857" s="28"/>
      <x:c r="B1857" s="52"/>
    </x:row>
    <x:row r="1858">
      <x:c r="A1858" s="28"/>
      <x:c r="B1858" s="52"/>
    </x:row>
    <x:row r="1859">
      <x:c r="A1859" s="28"/>
      <x:c r="B1859" s="52"/>
    </x:row>
    <x:row r="1860">
      <x:c r="A1860" s="28"/>
      <x:c r="B1860" s="52"/>
    </x:row>
    <x:row r="1861">
      <x:c r="A1861" s="28"/>
      <x:c r="B1861" s="52"/>
    </x:row>
    <x:row r="1862">
      <x:c r="A1862" s="28"/>
      <x:c r="B1862" s="52"/>
    </x:row>
    <x:row r="1863">
      <x:c r="A1863" s="28"/>
      <x:c r="B1863" s="52"/>
    </x:row>
    <x:row r="1864">
      <x:c r="A1864" s="28"/>
      <x:c r="B1864" s="52"/>
    </x:row>
    <x:row r="1865">
      <x:c r="A1865" s="28"/>
      <x:c r="B1865" s="52"/>
    </x:row>
    <x:row r="1866">
      <x:c r="A1866" s="28"/>
      <x:c r="B1866" s="52"/>
    </x:row>
    <x:row r="1867">
      <x:c r="A1867" s="28"/>
      <x:c r="B1867" s="52"/>
    </x:row>
    <x:row r="1868">
      <x:c r="A1868" s="28"/>
      <x:c r="B1868" s="52"/>
    </x:row>
    <x:row r="1869">
      <x:c r="A1869" s="28"/>
      <x:c r="B1869" s="52"/>
    </x:row>
    <x:row r="1870">
      <x:c r="A1870" s="28"/>
      <x:c r="B1870" s="52"/>
    </x:row>
    <x:row r="1871">
      <x:c r="A1871" s="28"/>
      <x:c r="B1871" s="52"/>
    </x:row>
    <x:row r="1872">
      <x:c r="A1872" s="28"/>
      <x:c r="B1872" s="52"/>
    </x:row>
    <x:row r="1873">
      <x:c r="A1873" s="28"/>
      <x:c r="B1873" s="52"/>
    </x:row>
    <x:row r="1874">
      <x:c r="A1874" s="28"/>
      <x:c r="B1874" s="52"/>
    </x:row>
    <x:row r="1875">
      <x:c r="A1875" s="28"/>
      <x:c r="B1875" s="52"/>
    </x:row>
    <x:row r="1876">
      <x:c r="A1876" s="28"/>
      <x:c r="B1876" s="52"/>
    </x:row>
    <x:row r="1877">
      <x:c r="A1877" s="28"/>
      <x:c r="B1877" s="52"/>
    </x:row>
    <x:row r="1878">
      <x:c r="A1878" s="28"/>
      <x:c r="B1878" s="52"/>
    </x:row>
    <x:row r="1879">
      <x:c r="A1879" s="28"/>
      <x:c r="B1879" s="52"/>
    </x:row>
    <x:row r="1880">
      <x:c r="A1880" s="28"/>
      <x:c r="B1880" s="52"/>
    </x:row>
    <x:row r="1881">
      <x:c r="A1881" s="28"/>
      <x:c r="B1881" s="52"/>
    </x:row>
    <x:row r="1882">
      <x:c r="A1882" s="28"/>
      <x:c r="B1882" s="52"/>
    </x:row>
    <x:row r="1883">
      <x:c r="A1883" s="28"/>
      <x:c r="B1883" s="52"/>
    </x:row>
    <x:row r="1884">
      <x:c r="A1884" s="28"/>
      <x:c r="B1884" s="52"/>
    </x:row>
    <x:row r="1885">
      <x:c r="A1885" s="28"/>
      <x:c r="B1885" s="52"/>
    </x:row>
    <x:row r="1886">
      <x:c r="A1886" s="28"/>
      <x:c r="B1886" s="52"/>
    </x:row>
    <x:row r="1887">
      <x:c r="A1887" s="28"/>
      <x:c r="B1887" s="52"/>
    </x:row>
    <x:row r="1888">
      <x:c r="A1888" s="28"/>
      <x:c r="B1888" s="52"/>
    </x:row>
    <x:row r="1889">
      <x:c r="A1889" s="28"/>
      <x:c r="B1889" s="52"/>
    </x:row>
    <x:row r="1890">
      <x:c r="A1890" s="28"/>
      <x:c r="B1890" s="52"/>
    </x:row>
    <x:row r="1891">
      <x:c r="A1891" s="28"/>
      <x:c r="B1891" s="52"/>
    </x:row>
    <x:row r="1892">
      <x:c r="A1892" s="28"/>
      <x:c r="B1892" s="52"/>
    </x:row>
    <x:row r="1893">
      <x:c r="A1893" s="28"/>
      <x:c r="B1893" s="52"/>
    </x:row>
    <x:row r="1894">
      <x:c r="A1894" s="28"/>
      <x:c r="B1894" s="52"/>
    </x:row>
    <x:row r="1895">
      <x:c r="A1895" s="28"/>
      <x:c r="B1895" s="52"/>
    </x:row>
    <x:row r="1896">
      <x:c r="A1896" s="28"/>
      <x:c r="B1896" s="52"/>
    </x:row>
    <x:row r="1897">
      <x:c r="A1897" s="28"/>
      <x:c r="B1897" s="52"/>
    </x:row>
    <x:row r="1898">
      <x:c r="A1898" s="28"/>
      <x:c r="B1898" s="52"/>
    </x:row>
    <x:row r="1899">
      <x:c r="A1899" s="28"/>
      <x:c r="B1899" s="52"/>
    </x:row>
    <x:row r="1900">
      <x:c r="A1900" s="28"/>
      <x:c r="B1900" s="52"/>
    </x:row>
    <x:row r="1901">
      <x:c r="A1901" s="28"/>
      <x:c r="B1901" s="52"/>
    </x:row>
    <x:row r="1902">
      <x:c r="A1902" s="28"/>
      <x:c r="B1902" s="52"/>
    </x:row>
    <x:row r="1903">
      <x:c r="A1903" s="28"/>
      <x:c r="B1903" s="52"/>
    </x:row>
    <x:row r="1904">
      <x:c r="A1904" s="28"/>
      <x:c r="B1904" s="52"/>
    </x:row>
    <x:row r="1905">
      <x:c r="A1905" s="28"/>
      <x:c r="B1905" s="52"/>
    </x:row>
    <x:row r="1906">
      <x:c r="A1906" s="28"/>
      <x:c r="B1906" s="52"/>
    </x:row>
    <x:row r="1907">
      <x:c r="A1907" s="28"/>
      <x:c r="B1907" s="52"/>
    </x:row>
    <x:row r="1908">
      <x:c r="A1908" s="28"/>
      <x:c r="B1908" s="52"/>
    </x:row>
    <x:row r="1909">
      <x:c r="A1909" s="28"/>
      <x:c r="B1909" s="52"/>
    </x:row>
    <x:row r="1910">
      <x:c r="A1910" s="28"/>
      <x:c r="B1910" s="52"/>
    </x:row>
    <x:row r="1911">
      <x:c r="A1911" s="28"/>
      <x:c r="B1911" s="52"/>
    </x:row>
    <x:row r="1912">
      <x:c r="A1912" s="28"/>
      <x:c r="B1912" s="52"/>
    </x:row>
    <x:row r="1913">
      <x:c r="A1913" s="28"/>
      <x:c r="B1913" s="52"/>
    </x:row>
    <x:row r="1914">
      <x:c r="A1914" s="28"/>
      <x:c r="B1914" s="52"/>
    </x:row>
    <x:row r="1915">
      <x:c r="A1915" s="28"/>
      <x:c r="B1915" s="52"/>
    </x:row>
    <x:row r="1916">
      <x:c r="A1916" s="28"/>
      <x:c r="B1916" s="52"/>
    </x:row>
    <x:row r="1917">
      <x:c r="A1917" s="28"/>
      <x:c r="B1917" s="52"/>
    </x:row>
    <x:row r="1918">
      <x:c r="A1918" s="28"/>
      <x:c r="B1918" s="52"/>
    </x:row>
    <x:row r="1919">
      <x:c r="A1919" s="28"/>
      <x:c r="B1919" s="52"/>
    </x:row>
    <x:row r="1920">
      <x:c r="A1920" s="28"/>
      <x:c r="B1920" s="52"/>
    </x:row>
    <x:row r="1921">
      <x:c r="A1921" s="28"/>
      <x:c r="B1921" s="52"/>
    </x:row>
    <x:row r="1922">
      <x:c r="A1922" s="28"/>
      <x:c r="B1922" s="52"/>
    </x:row>
    <x:row r="1923">
      <x:c r="A1923" s="28"/>
      <x:c r="B1923" s="52"/>
    </x:row>
    <x:row r="1924">
      <x:c r="A1924" s="28"/>
      <x:c r="B1924" s="52"/>
    </x:row>
    <x:row r="1925">
      <x:c r="A1925" s="28"/>
      <x:c r="B1925" s="52"/>
    </x:row>
    <x:row r="1926">
      <x:c r="A1926" s="28"/>
      <x:c r="B1926" s="52"/>
    </x:row>
    <x:row r="1927">
      <x:c r="A1927" s="28"/>
      <x:c r="B1927" s="52"/>
    </x:row>
    <x:row r="1928">
      <x:c r="A1928" s="28"/>
      <x:c r="B1928" s="52"/>
    </x:row>
    <x:row r="1929">
      <x:c r="A1929" s="28"/>
      <x:c r="B1929" s="52"/>
    </x:row>
    <x:row r="1930">
      <x:c r="A1930" s="28"/>
      <x:c r="B1930" s="52"/>
    </x:row>
    <x:row r="1931">
      <x:c r="A1931" s="28"/>
      <x:c r="B1931" s="52"/>
    </x:row>
    <x:row r="1932">
      <x:c r="A1932" s="28"/>
      <x:c r="B1932" s="52"/>
    </x:row>
    <x:row r="1933">
      <x:c r="A1933" s="28"/>
      <x:c r="B1933" s="52"/>
    </x:row>
    <x:row r="1934">
      <x:c r="A1934" s="28"/>
      <x:c r="B1934" s="52"/>
    </x:row>
    <x:row r="1935">
      <x:c r="A1935" s="28"/>
      <x:c r="B1935" s="52"/>
    </x:row>
    <x:row r="1936">
      <x:c r="A1936" s="28"/>
      <x:c r="B1936" s="52"/>
    </x:row>
    <x:row r="1937">
      <x:c r="A1937" s="28"/>
      <x:c r="B1937" s="52"/>
    </x:row>
    <x:row r="1938">
      <x:c r="A1938" s="28"/>
      <x:c r="B1938" s="52"/>
    </x:row>
    <x:row r="1939">
      <x:c r="A1939" s="28"/>
      <x:c r="B1939" s="52"/>
    </x:row>
    <x:row r="1940">
      <x:c r="A1940" s="28"/>
      <x:c r="B1940" s="52"/>
    </x:row>
    <x:row r="1941">
      <x:c r="A1941" s="28"/>
      <x:c r="B1941" s="52"/>
    </x:row>
    <x:row r="1942">
      <x:c r="A1942" s="28"/>
      <x:c r="B1942" s="52"/>
    </x:row>
    <x:row r="1943">
      <x:c r="A1943" s="28"/>
      <x:c r="B1943" s="52"/>
    </x:row>
    <x:row r="1944">
      <x:c r="A1944" s="28"/>
      <x:c r="B1944" s="52"/>
    </x:row>
    <x:row r="1945">
      <x:c r="A1945" s="28"/>
      <x:c r="B1945" s="52"/>
    </x:row>
    <x:row r="1946">
      <x:c r="A1946" s="28"/>
      <x:c r="B1946" s="52"/>
    </x:row>
    <x:row r="1947">
      <x:c r="A1947" s="28"/>
      <x:c r="B1947" s="52"/>
    </x:row>
    <x:row r="1948">
      <x:c r="A1948" s="28"/>
      <x:c r="B1948" s="52"/>
    </x:row>
    <x:row r="1949">
      <x:c r="A1949" s="28"/>
      <x:c r="B1949" s="52"/>
    </x:row>
    <x:row r="1950">
      <x:c r="A1950" s="28"/>
      <x:c r="B1950" s="52"/>
    </x:row>
    <x:row r="1951">
      <x:c r="A1951" s="28"/>
      <x:c r="B1951" s="52"/>
    </x:row>
    <x:row r="1952">
      <x:c r="A1952" s="28"/>
      <x:c r="B1952" s="52"/>
    </x:row>
    <x:row r="1953">
      <x:c r="A1953" s="28"/>
      <x:c r="B1953" s="52"/>
    </x:row>
    <x:row r="1954">
      <x:c r="A1954" s="28"/>
      <x:c r="B1954" s="52"/>
    </x:row>
    <x:row r="1955">
      <x:c r="A1955" s="28"/>
      <x:c r="B1955" s="52"/>
    </x:row>
    <x:row r="1956">
      <x:c r="A1956" s="28"/>
      <x:c r="B1956" s="52"/>
    </x:row>
    <x:row r="1957">
      <x:c r="A1957" s="28"/>
      <x:c r="B1957" s="52"/>
    </x:row>
    <x:row r="1958">
      <x:c r="A1958" s="28"/>
      <x:c r="B1958" s="52"/>
    </x:row>
    <x:row r="1959">
      <x:c r="A1959" s="28"/>
      <x:c r="B1959" s="52"/>
    </x:row>
    <x:row r="1960">
      <x:c r="A1960" s="28"/>
      <x:c r="B1960" s="52"/>
    </x:row>
    <x:row r="1961">
      <x:c r="A1961" s="28"/>
      <x:c r="B1961" s="52"/>
    </x:row>
    <x:row r="1962">
      <x:c r="A1962" s="28"/>
      <x:c r="B1962" s="52"/>
    </x:row>
    <x:row r="1963">
      <x:c r="A1963" s="28"/>
      <x:c r="B1963" s="52"/>
    </x:row>
    <x:row r="1964">
      <x:c r="A1964" s="28"/>
      <x:c r="B1964" s="52"/>
    </x:row>
    <x:row r="1965">
      <x:c r="A1965" s="28"/>
      <x:c r="B1965" s="52"/>
    </x:row>
    <x:row r="1966">
      <x:c r="A1966" s="28"/>
      <x:c r="B1966" s="52"/>
    </x:row>
    <x:row r="1967">
      <x:c r="A1967" s="28"/>
      <x:c r="B1967" s="52"/>
    </x:row>
    <x:row r="1968">
      <x:c r="A1968" s="28"/>
      <x:c r="B1968" s="52"/>
    </x:row>
    <x:row r="1969">
      <x:c r="A1969" s="28"/>
      <x:c r="B1969" s="52"/>
    </x:row>
    <x:row r="1970">
      <x:c r="A1970" s="28"/>
      <x:c r="B1970" s="52"/>
    </x:row>
    <x:row r="1971">
      <x:c r="A1971" s="28"/>
      <x:c r="B1971" s="52"/>
    </x:row>
    <x:row r="1972">
      <x:c r="A1972" s="28"/>
      <x:c r="B1972" s="52"/>
    </x:row>
    <x:row r="1973">
      <x:c r="A1973" s="28"/>
      <x:c r="B1973" s="52"/>
    </x:row>
    <x:row r="1974">
      <x:c r="A1974" s="28"/>
      <x:c r="B1974" s="52"/>
    </x:row>
    <x:row r="1975">
      <x:c r="A1975" s="28"/>
      <x:c r="B1975" s="52"/>
    </x:row>
    <x:row r="1976">
      <x:c r="A1976" s="28"/>
      <x:c r="B1976" s="52"/>
    </x:row>
    <x:row r="1977">
      <x:c r="A1977" s="28"/>
      <x:c r="B1977" s="52"/>
    </x:row>
    <x:row r="1978">
      <x:c r="A1978" s="28"/>
      <x:c r="B1978" s="52"/>
    </x:row>
    <x:row r="1979">
      <x:c r="A1979" s="28"/>
      <x:c r="B1979" s="52"/>
    </x:row>
    <x:row r="1980">
      <x:c r="A1980" s="28"/>
      <x:c r="B1980" s="52"/>
    </x:row>
    <x:row r="1981">
      <x:c r="A1981" s="28"/>
      <x:c r="B1981" s="52"/>
    </x:row>
    <x:row r="1982">
      <x:c r="A1982" s="28"/>
      <x:c r="B1982" s="52"/>
    </x:row>
    <x:row r="1983">
      <x:c r="A1983" s="28"/>
      <x:c r="B1983" s="52"/>
    </x:row>
    <x:row r="1984">
      <x:c r="A1984" s="28"/>
      <x:c r="B1984" s="52"/>
    </x:row>
    <x:row r="1985">
      <x:c r="A1985" s="28"/>
      <x:c r="B1985" s="52"/>
    </x:row>
    <x:row r="1986">
      <x:c r="A1986" s="28"/>
      <x:c r="B1986" s="52"/>
    </x:row>
    <x:row r="1987">
      <x:c r="A1987" s="28"/>
      <x:c r="B1987" s="52"/>
    </x:row>
    <x:row r="1988">
      <x:c r="A1988" s="28"/>
      <x:c r="B1988" s="52"/>
    </x:row>
    <x:row r="1989">
      <x:c r="A1989" s="28"/>
      <x:c r="B1989" s="52"/>
    </x:row>
    <x:row r="1990">
      <x:c r="A1990" s="28"/>
      <x:c r="B1990" s="52"/>
    </x:row>
    <x:row r="1991">
      <x:c r="A1991" s="28"/>
      <x:c r="B1991" s="52"/>
    </x:row>
    <x:row r="1992">
      <x:c r="A1992" s="28"/>
      <x:c r="B1992" s="52"/>
    </x:row>
    <x:row r="1993">
      <x:c r="A1993" s="28"/>
      <x:c r="B1993" s="52"/>
    </x:row>
    <x:row r="1994">
      <x:c r="A1994" s="28"/>
      <x:c r="B1994" s="52"/>
    </x:row>
    <x:row r="1995">
      <x:c r="A1995" s="28"/>
      <x:c r="B1995" s="52"/>
    </x:row>
    <x:row r="1996">
      <x:c r="A1996" s="28"/>
      <x:c r="B1996" s="52"/>
    </x:row>
    <x:row r="1997">
      <x:c r="A1997" s="28"/>
      <x:c r="B1997" s="52"/>
    </x:row>
    <x:row r="1998">
      <x:c r="A1998" s="28"/>
      <x:c r="B1998" s="52"/>
    </x:row>
    <x:row r="1999">
      <x:c r="A1999" s="28"/>
      <x:c r="B1999" s="52"/>
    </x:row>
    <x:row r="2000">
      <x:c r="A2000" s="28"/>
      <x:c r="B2000" s="52"/>
    </x:row>
  </x:sheetData>
  <x:mergeCells>
    <x:mergeCell ref="A1:C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00" hidden="0" customWidth="1"/>
    <x:col min="3" max="3" width="13.329999923706055" hidden="0" customWidth="1"/>
  </x:cols>
  <x:sheetData>
    <x:row r="1">
      <x:c r="A1" s="4" t="str">
        <x:v>Notice de mise en place</x:v>
      </x:c>
      <x:c r="B1" s="4" t="str">
        <x:v>Notice de mise en place</x:v>
      </x:c>
      <x:c r="C1" s="4" t="str">
        <x:v>Notice de mise en place</x:v>
      </x:c>
    </x:row>
    <x:row r="3">
      <x:c r="A3" s="10" t="str">
        <x:v>Étape</x:v>
      </x:c>
      <x:c r="B3" s="11" t="str">
        <x:v>Texte</x:v>
      </x:c>
      <x:c r="C3" s="12" t="str">
        <x:v>Validation</x:v>
      </x:c>
    </x:row>
    <x:row r="4">
      <x:c r="A4" t="n">
        <x:v>1</x:v>
      </x:c>
      <x:c r="B4" s="53" t="str">
        <x:v>Logiciel Présences, Engagements et Excuses - Cayenne</x:v>
      </x:c>
      <x:c r="C4" t="str"/>
    </x:row>
    <x:row r="5">
      <x:c r="A5" t="n">
        <x:v>2</x:v>
      </x:c>
      <x:c r="B5" s="53" t="str">
        <x:v>Ce pack contient une base Google Sheets + Apps Script pour suivre les présences sur l'année :</x:v>
      </x:c>
      <x:c r="C5" t="str"/>
    </x:row>
    <x:row r="6">
      <x:c r="A6" t="n">
        <x:v>3</x:v>
      </x:c>
      <x:c r="B6" s="53" t="str">
        <x:v>- formulaire public pour les sociétaires, aspirants et compagnons ;</x:v>
      </x:c>
      <x:c r="C6" t="str"/>
    </x:row>
    <x:row r="7">
      <x:c r="A7" t="n">
        <x:v>4</x:v>
      </x:c>
      <x:c r="B7" s="53" t="str">
        <x:v>- excuses possibles en avance sur plusieurs dates ;</x:v>
      </x:c>
      <x:c r="C7" t="str"/>
    </x:row>
    <x:row r="8">
      <x:c r="A8" t="n">
        <x:v>5</x:v>
      </x:c>
      <x:c r="B8" s="53" t="str">
        <x:v>- disponibilités pour aider sur les événements ;</x:v>
      </x:c>
      <x:c r="C8" t="str"/>
    </x:row>
    <x:row r="9">
      <x:c r="A9" t="n">
        <x:v>6</x:v>
      </x:c>
      <x:c r="B9" s="53" t="str">
        <x:v>- génération d'une feuille `CR_...` par événement ;</x:v>
      </x:c>
      <x:c r="C9" t="str"/>
    </x:row>
    <x:row r="10">
      <x:c r="A10" t="n">
        <x:v>7</x:v>
      </x:c>
      <x:c r="B10" s="53" t="str">
        <x:v>- suivi annuel par personne ;</x:v>
      </x:c>
      <x:c r="C10" t="str"/>
    </x:row>
    <x:row r="11">
      <x:c r="A11" t="n">
        <x:v>8</x:v>
      </x:c>
      <x:c r="B11" s="53" t="str">
        <x:v>- dashboard admin relié au Google Sheet ;</x:v>
      </x:c>
      <x:c r="C11" t="str"/>
    </x:row>
    <x:row r="12">
      <x:c r="A12" t="n">
        <x:v>9</x:v>
      </x:c>
      <x:c r="B12" s="53" t="str">
        <x:v>- export PDF d'une feuille événement pour l'intégrer au compte rendu.</x:v>
      </x:c>
      <x:c r="C12" t="str"/>
    </x:row>
    <x:row r="13">
      <x:c r="A13" t="n">
        <x:v>10</x:v>
      </x:c>
      <x:c r="B13" s="53" t="str">
        <x:v>Fichiers</x:v>
      </x:c>
      <x:c r="C13" t="str"/>
    </x:row>
    <x:row r="14">
      <x:c r="A14" t="n">
        <x:v>11</x:v>
      </x:c>
      <x:c r="B14" s="53" t="str">
        <x:v>| Fichier | Utilité |</x:v>
      </x:c>
      <x:c r="C14" t="str"/>
    </x:row>
    <x:row r="15">
      <x:c r="A15" t="n">
        <x:v>12</x:v>
      </x:c>
      <x:c r="B15" s="53" t="str">
        <x:v>|---|---|</x:v>
      </x:c>
      <x:c r="C15" t="str"/>
    </x:row>
    <x:row r="16">
      <x:c r="A16" t="n">
        <x:v>13</x:v>
      </x:c>
      <x:c r="B16" s="53" t="str">
        <x:v>| `Modele_Presences_Engagements_Cayenne.xlsx` | Modèle de classeur à importer dans Google Sheets |</x:v>
      </x:c>
      <x:c r="C16" t="str"/>
    </x:row>
    <x:row r="17">
      <x:c r="A17" t="n">
        <x:v>14</x:v>
      </x:c>
      <x:c r="B17" s="53" t="str">
        <x:v>| `src/Code.gs` | Code serveur Apps Script |</x:v>
      </x:c>
      <x:c r="C17" t="str"/>
    </x:row>
    <x:row r="18">
      <x:c r="A18" t="n">
        <x:v>15</x:v>
      </x:c>
      <x:c r="B18" s="53" t="str">
        <x:v>| `src/Index.html` | Interface formulaire + dashboard |</x:v>
      </x:c>
      <x:c r="C18" t="str"/>
    </x:row>
    <x:row r="19">
      <x:c r="A19" t="n">
        <x:v>16</x:v>
      </x:c>
      <x:c r="B19" s="53" t="str">
        <x:v>| `src/appsscript.json` | Manifest Apps Script pour déploiement propre |</x:v>
      </x:c>
      <x:c r="C19" t="str"/>
    </x:row>
    <x:row r="20">
      <x:c r="A20" t="n">
        <x:v>17</x:v>
      </x:c>
      <x:c r="B20" s="53" t="str">
        <x:v>GitHub</x:v>
      </x:c>
      <x:c r="C20" t="str"/>
    </x:row>
    <x:row r="21">
      <x:c r="A21" t="n">
        <x:v>18</x:v>
      </x:c>
      <x:c r="B21" s="53" t="str">
        <x:v>Le dépôt peut être poussé tel quel sur GitHub. Les fichiers temporaires, aperçus et archives ZIP sont exclus par `.gitignore`.</x:v>
      </x:c>
      <x:c r="C21" t="str"/>
    </x:row>
    <x:row r="22">
      <x:c r="A22" t="n">
        <x:v>19</x:v>
      </x:c>
      <x:c r="B22" s="53" t="str">
        <x:v>Structure conseillée :</x:v>
      </x:c>
      <x:c r="C22" t="str"/>
    </x:row>
    <x:row r="23">
      <x:c r="A23" t="n">
        <x:v>20</x:v>
      </x:c>
      <x:c r="B23" s="53" t="str">
        <x:v>- `src/Code.gs` : logique Google Sheets, dashboard, génération des feuilles `CR_...` ;</x:v>
      </x:c>
      <x:c r="C23" t="str"/>
    </x:row>
    <x:row r="24">
      <x:c r="A24" t="n">
        <x:v>21</x:v>
      </x:c>
      <x:c r="B24" s="53" t="str">
        <x:v>- `src/Index.html` : formulaire public et vue admin ;</x:v>
      </x:c>
      <x:c r="C24" t="str"/>
    </x:row>
    <x:row r="25">
      <x:c r="A25" t="n">
        <x:v>22</x:v>
      </x:c>
      <x:c r="B25" s="53" t="str">
        <x:v>- `src/appsscript.json` : configuration Apps Script ;</x:v>
      </x:c>
      <x:c r="C25" t="str"/>
    </x:row>
    <x:row r="26">
      <x:c r="A26" t="n">
        <x:v>23</x:v>
      </x:c>
      <x:c r="B26" s="53" t="str">
        <x:v>- `outputs/Modele_Presences_Engagements_Cayenne.xlsx` : modèle Excel de départ ;</x:v>
      </x:c>
      <x:c r="C26" t="str"/>
    </x:row>
    <x:row r="27">
      <x:c r="A27" t="n">
        <x:v>24</x:v>
      </x:c>
      <x:c r="B27" s="53" t="str">
        <x:v>- `README.md` : notice d'installation.</x:v>
      </x:c>
      <x:c r="C27" t="str"/>
    </x:row>
    <x:row r="28">
      <x:c r="A28" t="n">
        <x:v>25</x:v>
      </x:c>
      <x:c r="B28" s="53" t="str">
        <x:v>Mise en place</x:v>
      </x:c>
      <x:c r="C28" t="str"/>
    </x:row>
    <x:row r="29">
      <x:c r="A29" t="n">
        <x:v>26</x:v>
      </x:c>
      <x:c r="B29" s="53" t="str">
        <x:v>1. Ouvrir le Google Sheet modèle.</x:v>
      </x:c>
      <x:c r="C29" t="str"/>
    </x:row>
    <x:row r="30">
      <x:c r="A30" t="n">
        <x:v>27</x:v>
      </x:c>
      <x:c r="B30" s="53" t="str">
        <x:v>2. Aller dans `Extensions &gt; Apps Script`.</x:v>
      </x:c>
      <x:c r="C30" t="str"/>
    </x:row>
    <x:row r="31">
      <x:c r="A31" t="n">
        <x:v>28</x:v>
      </x:c>
      <x:c r="B31" s="53" t="str">
        <x:v>3. Créer ou remplacer le fichier `Code.gs` avec le contenu de `src/Code.gs`.</x:v>
      </x:c>
      <x:c r="C31" t="str"/>
    </x:row>
    <x:row r="32">
      <x:c r="A32" t="n">
        <x:v>29</x:v>
      </x:c>
      <x:c r="B32" s="53" t="str">
        <x:v>4. Créer un fichier HTML nommé `Index` et coller le contenu de `src/Index.html`.</x:v>
      </x:c>
      <x:c r="C32" t="str"/>
    </x:row>
    <x:row r="33">
      <x:c r="A33" t="n">
        <x:v>30</x:v>
      </x:c>
      <x:c r="B33" s="53" t="str">
        <x:v>5. Vérifier le fichier `appsscript.json` ou recopier les autorisations depuis `src/appsscript.json`.</x:v>
      </x:c>
      <x:c r="C33" t="str"/>
    </x:row>
    <x:row r="34">
      <x:c r="A34" t="n">
        <x:v>31</x:v>
      </x:c>
      <x:c r="B34" s="53" t="str">
        <x:v>6. Dans Apps Script, lancer la fonction `setupSystem`.</x:v>
      </x:c>
      <x:c r="C34" t="str"/>
    </x:row>
    <x:row r="35">
      <x:c r="A35" t="n">
        <x:v>32</x:v>
      </x:c>
      <x:c r="B35" s="53" t="str">
        <x:v>7. Retourner dans le Sheet et compléter les onglets `MEMBRES` et `CALENDRIER`.</x:v>
      </x:c>
      <x:c r="C35" t="str"/>
    </x:row>
    <x:row r="36">
      <x:c r="A36" t="n">
        <x:v>33</x:v>
      </x:c>
      <x:c r="B36" s="53" t="str">
        <x:v>8. Dans Apps Script, cliquer sur `Déployer &gt; Nouveau déploiement &gt; Application Web`.</x:v>
      </x:c>
      <x:c r="C36" t="str"/>
    </x:row>
    <x:row r="37">
      <x:c r="A37" t="n">
        <x:v>34</x:v>
      </x:c>
      <x:c r="B37" s="53" t="str">
        <x:v>9. Choisir :</x:v>
      </x:c>
      <x:c r="C37" t="str"/>
    </x:row>
    <x:row r="38">
      <x:c r="A38" t="n">
        <x:v>35</x:v>
      </x:c>
      <x:c r="B38" s="53" t="str">
        <x:v>   - Exécuter en tant que : `Moi`</x:v>
      </x:c>
      <x:c r="C38" t="str"/>
    </x:row>
    <x:row r="39">
      <x:c r="A39" t="n">
        <x:v>36</x:v>
      </x:c>
      <x:c r="B39" s="53" t="str">
        <x:v>   - Accès : selon votre choix, par exemple les personnes disposant du lien</x:v>
      </x:c>
      <x:c r="C39" t="str"/>
    </x:row>
    <x:row r="40">
      <x:c r="A40" t="n">
        <x:v>37</x:v>
      </x:c>
      <x:c r="B40" s="53" t="str">
        <x:v>10. Copier le lien du Web App et l'envoyer aux membres.</x:v>
      </x:c>
      <x:c r="C40" t="str"/>
    </x:row>
    <x:row r="41">
      <x:c r="A41" t="n">
        <x:v>38</x:v>
      </x:c>
      <x:c r="B41" s="53" t="str">
        <x:v>Utilisation bureau</x:v>
      </x:c>
      <x:c r="C41" t="str"/>
    </x:row>
    <x:row r="42">
      <x:c r="A42" t="n">
        <x:v>39</x:v>
      </x:c>
      <x:c r="B42" s="53" t="str">
        <x:v>Depuis le Google Sheet, le menu `Présences UC` permet de :</x:v>
      </x:c>
      <x:c r="C42" t="str"/>
    </x:row>
    <x:row r="43">
      <x:c r="A43" t="n">
        <x:v>40</x:v>
      </x:c>
      <x:c r="B43" s="53" t="str">
        <x:v>- installer ou réparer le classeur ;</x:v>
      </x:c>
      <x:c r="C43" t="str"/>
    </x:row>
    <x:row r="44">
      <x:c r="A44" t="n">
        <x:v>41</x:v>
      </x:c>
      <x:c r="B44" s="53" t="str">
        <x:v>- actualiser le dashboard ;</x:v>
      </x:c>
      <x:c r="C44" t="str"/>
    </x:row>
    <x:row r="45">
      <x:c r="A45" t="n">
        <x:v>42</x:v>
      </x:c>
      <x:c r="B45" s="53" t="str">
        <x:v>- générer les feuilles événement ;</x:v>
      </x:c>
      <x:c r="C45" t="str"/>
    </x:row>
    <x:row r="46">
      <x:c r="A46" t="n">
        <x:v>43</x:v>
      </x:c>
      <x:c r="B46" s="53" t="str">
        <x:v>- exporter la feuille active en PDF.</x:v>
      </x:c>
      <x:c r="C46" t="str"/>
    </x:row>
    <x:row r="47">
      <x:c r="A47" t="n">
        <x:v>44</x:v>
      </x:c>
      <x:c r="B47" s="53" t="str">
        <x:v>Le code admin par défaut est `1234`. Il se modifie dans l'onglet `PARAMETRES`, ligne `admin_pin`.</x:v>
      </x:c>
      <x:c r="C47" t="str"/>
    </x:row>
    <x:row r="48">
      <x:c r="A48" t="n">
        <x:v>45</x:v>
      </x:c>
      <x:c r="B48" s="53" t="str">
        <x:v>Logique de suivi</x:v>
      </x:c>
      <x:c r="C48" t="str"/>
    </x:row>
    <x:row r="49">
      <x:c r="A49" t="n">
        <x:v>46</x:v>
      </x:c>
      <x:c r="B49" s="53" t="str">
        <x:v>Toutes les réponses arrivent dans `REPONSES`.  </x:v>
      </x:c>
      <x:c r="C49" t="str"/>
    </x:row>
    <x:row r="50">
      <x:c r="A50" t="n">
        <x:v>47</x:v>
      </x:c>
      <x:c r="B50" s="53" t="str">
        <x:v>Les feuilles `CR_...` sont générées automatiquement depuis `REPONSES`.  </x:v>
      </x:c>
      <x:c r="C50" t="str"/>
    </x:row>
    <x:row r="51">
      <x:c r="A51" t="n">
        <x:v>48</x:v>
      </x:c>
      <x:c r="B51" s="53" t="str">
        <x:v>Le suivi annuel et le dashboard sont recalculés depuis les mêmes données.</x:v>
      </x:c>
      <x:c r="C51" t="str"/>
    </x:row>
    <x:row r="52">
      <x:c r="A52" t="n">
        <x:v>49</x:v>
      </x:c>
      <x:c r="B52" s="53" t="str">
        <x:v>Le bureau garde donc une source unique et évite les copies manuelles.</x:v>
      </x:c>
      <x:c r="C52" t="str"/>
    </x:row>
    <x:row r="53">
      <x:c r="B53" s="53"/>
    </x:row>
    <x:row r="54">
      <x:c r="B54" s="53"/>
    </x:row>
    <x:row r="55">
      <x:c r="B55" s="53"/>
    </x:row>
    <x:row r="56">
      <x:c r="B56" s="53"/>
    </x:row>
    <x:row r="57">
      <x:c r="B57" s="53"/>
    </x:row>
    <x:row r="58">
      <x:c r="B58" s="53"/>
    </x:row>
    <x:row r="59">
      <x:c r="B59" s="53"/>
    </x:row>
    <x:row r="60">
      <x:c r="B60" s="53"/>
    </x:row>
    <x:row r="61">
      <x:c r="B61" s="53"/>
    </x:row>
    <x:row r="62">
      <x:c r="B62" s="53"/>
    </x:row>
    <x:row r="63">
      <x:c r="B63" s="53"/>
    </x:row>
    <x:row r="64">
      <x:c r="B64" s="53"/>
    </x:row>
    <x:row r="65">
      <x:c r="B65" s="53"/>
    </x:row>
    <x:row r="66">
      <x:c r="B66" s="53"/>
    </x:row>
    <x:row r="67">
      <x:c r="B67" s="53"/>
    </x:row>
    <x:row r="68">
      <x:c r="B68" s="53"/>
    </x:row>
    <x:row r="69">
      <x:c r="B69" s="53"/>
    </x:row>
    <x:row r="70">
      <x:c r="B70" s="53"/>
    </x:row>
    <x:row r="71">
      <x:c r="B71" s="53"/>
    </x:row>
    <x:row r="72">
      <x:c r="B72" s="53"/>
    </x:row>
    <x:row r="73">
      <x:c r="B73" s="53"/>
    </x:row>
    <x:row r="74">
      <x:c r="B74" s="53"/>
    </x:row>
    <x:row r="75">
      <x:c r="B75" s="53"/>
    </x:row>
    <x:row r="76">
      <x:c r="B76" s="53"/>
    </x:row>
    <x:row r="77">
      <x:c r="B77" s="53"/>
    </x:row>
    <x:row r="78">
      <x:c r="B78" s="53"/>
    </x:row>
    <x:row r="79">
      <x:c r="B79" s="53"/>
    </x:row>
    <x:row r="80">
      <x:c r="B80" s="53"/>
    </x:row>
    <x:row r="81">
      <x:c r="B81" s="53"/>
    </x:row>
    <x:row r="82">
      <x:c r="B82" s="53"/>
    </x:row>
    <x:row r="83">
      <x:c r="B83" s="53"/>
    </x:row>
    <x:row r="84">
      <x:c r="B84" s="53"/>
    </x:row>
    <x:row r="85">
      <x:c r="B85" s="53"/>
    </x:row>
    <x:row r="86">
      <x:c r="B86" s="53"/>
    </x:row>
    <x:row r="87">
      <x:c r="B87" s="53"/>
    </x:row>
    <x:row r="88">
      <x:c r="B88" s="53"/>
    </x:row>
    <x:row r="89">
      <x:c r="B89" s="53"/>
    </x:row>
    <x:row r="90">
      <x:c r="B90" s="53"/>
    </x:row>
    <x:row r="91">
      <x:c r="B91" s="53"/>
    </x:row>
    <x:row r="92">
      <x:c r="B92" s="53"/>
    </x:row>
    <x:row r="93">
      <x:c r="B93" s="53"/>
    </x:row>
    <x:row r="94">
      <x:c r="B94" s="53"/>
    </x:row>
    <x:row r="95">
      <x:c r="B95" s="53"/>
    </x:row>
    <x:row r="96">
      <x:c r="B96" s="53"/>
    </x:row>
    <x:row r="97">
      <x:c r="B97" s="53"/>
    </x:row>
    <x:row r="98">
      <x:c r="B98" s="53"/>
    </x:row>
    <x:row r="99">
      <x:c r="B99" s="53"/>
    </x:row>
    <x:row r="100">
      <x:c r="B100" s="53"/>
    </x:row>
    <x:row r="101">
      <x:c r="B101" s="53"/>
    </x:row>
    <x:row r="102">
      <x:c r="B102" s="53"/>
    </x:row>
    <x:row r="103">
      <x:c r="B103" s="53"/>
    </x:row>
    <x:row r="104">
      <x:c r="B104" s="53"/>
    </x:row>
    <x:row r="105">
      <x:c r="B105" s="53"/>
    </x:row>
    <x:row r="106">
      <x:c r="B106" s="53"/>
    </x:row>
    <x:row r="107">
      <x:c r="B107" s="53"/>
    </x:row>
    <x:row r="108">
      <x:c r="B108" s="53"/>
    </x:row>
    <x:row r="109">
      <x:c r="B109" s="53"/>
    </x:row>
    <x:row r="110">
      <x:c r="B110" s="53"/>
    </x:row>
    <x:row r="111">
      <x:c r="B111" s="53"/>
    </x:row>
    <x:row r="112">
      <x:c r="B112" s="53"/>
    </x:row>
    <x:row r="113">
      <x:c r="B113" s="53"/>
    </x:row>
    <x:row r="114">
      <x:c r="B114" s="53"/>
    </x:row>
    <x:row r="115">
      <x:c r="B115" s="53"/>
    </x:row>
    <x:row r="116">
      <x:c r="B116" s="53"/>
    </x:row>
    <x:row r="117">
      <x:c r="B117" s="53"/>
    </x:row>
    <x:row r="118">
      <x:c r="B118" s="53"/>
    </x:row>
    <x:row r="119">
      <x:c r="B119" s="53"/>
    </x:row>
    <x:row r="120">
      <x:c r="B120" s="53"/>
    </x:row>
    <x:row r="121">
      <x:c r="B121" s="53"/>
    </x:row>
    <x:row r="122">
      <x:c r="B122" s="53"/>
    </x:row>
    <x:row r="123">
      <x:c r="B123" s="53"/>
    </x:row>
    <x:row r="124">
      <x:c r="B124" s="53"/>
    </x:row>
    <x:row r="125">
      <x:c r="B125" s="53"/>
    </x:row>
    <x:row r="126">
      <x:c r="B126" s="53"/>
    </x:row>
    <x:row r="127">
      <x:c r="B127" s="53"/>
    </x:row>
    <x:row r="128">
      <x:c r="B128" s="53"/>
    </x:row>
    <x:row r="129">
      <x:c r="B129" s="53"/>
    </x:row>
    <x:row r="130">
      <x:c r="B130" s="53"/>
    </x:row>
    <x:row r="131">
      <x:c r="B131" s="53"/>
    </x:row>
    <x:row r="132">
      <x:c r="B132" s="53"/>
    </x:row>
    <x:row r="133">
      <x:c r="B133" s="53"/>
    </x:row>
    <x:row r="134">
      <x:c r="B134" s="53"/>
    </x:row>
    <x:row r="135">
      <x:c r="B135" s="53"/>
    </x:row>
    <x:row r="136">
      <x:c r="B136" s="53"/>
    </x:row>
    <x:row r="137">
      <x:c r="B137" s="53"/>
    </x:row>
    <x:row r="138">
      <x:c r="B138" s="53"/>
    </x:row>
    <x:row r="139">
      <x:c r="B139" s="53"/>
    </x:row>
    <x:row r="140">
      <x:c r="B140" s="53"/>
    </x:row>
    <x:row r="141">
      <x:c r="B141" s="53"/>
    </x:row>
    <x:row r="142">
      <x:c r="B142" s="53"/>
    </x:row>
    <x:row r="143">
      <x:c r="B143" s="53"/>
    </x:row>
    <x:row r="144">
      <x:c r="B144" s="53"/>
    </x:row>
    <x:row r="145">
      <x:c r="B145" s="53"/>
    </x:row>
    <x:row r="146">
      <x:c r="B146" s="53"/>
    </x:row>
    <x:row r="147">
      <x:c r="B147" s="53"/>
    </x:row>
    <x:row r="148">
      <x:c r="B148" s="53"/>
    </x:row>
    <x:row r="149">
      <x:c r="B149" s="53"/>
    </x:row>
    <x:row r="150">
      <x:c r="B150" s="53"/>
    </x:row>
    <x:row r="151">
      <x:c r="B151" s="53"/>
    </x:row>
    <x:row r="152">
      <x:c r="B152" s="53"/>
    </x:row>
    <x:row r="153">
      <x:c r="B153" s="53"/>
    </x:row>
    <x:row r="154">
      <x:c r="B154" s="53"/>
    </x:row>
    <x:row r="155">
      <x:c r="B155" s="53"/>
    </x:row>
    <x:row r="156">
      <x:c r="B156" s="53"/>
    </x:row>
    <x:row r="157">
      <x:c r="B157" s="53"/>
    </x:row>
    <x:row r="158">
      <x:c r="B158" s="53"/>
    </x:row>
    <x:row r="159">
      <x:c r="B159" s="53"/>
    </x:row>
    <x:row r="160">
      <x:c r="B160" s="53"/>
    </x:row>
    <x:row r="161">
      <x:c r="B161" s="53"/>
    </x:row>
    <x:row r="162">
      <x:c r="B162" s="53"/>
    </x:row>
    <x:row r="163">
      <x:c r="B163" s="53"/>
    </x:row>
    <x:row r="164">
      <x:c r="B164" s="53"/>
    </x:row>
    <x:row r="165">
      <x:c r="B165" s="53"/>
    </x:row>
    <x:row r="166">
      <x:c r="B166" s="53"/>
    </x:row>
    <x:row r="167">
      <x:c r="B167" s="53"/>
    </x:row>
    <x:row r="168">
      <x:c r="B168" s="53"/>
    </x:row>
    <x:row r="169">
      <x:c r="B169" s="53"/>
    </x:row>
    <x:row r="170">
      <x:c r="B170" s="53"/>
    </x:row>
    <x:row r="171">
      <x:c r="B171" s="53"/>
    </x:row>
    <x:row r="172">
      <x:c r="B172" s="53"/>
    </x:row>
    <x:row r="173">
      <x:c r="B173" s="53"/>
    </x:row>
    <x:row r="174">
      <x:c r="B174" s="53"/>
    </x:row>
    <x:row r="175">
      <x:c r="B175" s="53"/>
    </x:row>
    <x:row r="176">
      <x:c r="B176" s="53"/>
    </x:row>
    <x:row r="177">
      <x:c r="B177" s="53"/>
    </x:row>
    <x:row r="178">
      <x:c r="B178" s="53"/>
    </x:row>
    <x:row r="179">
      <x:c r="B179" s="53"/>
    </x:row>
    <x:row r="180">
      <x:c r="B180" s="53"/>
    </x:row>
    <x:row r="181">
      <x:c r="B181" s="53"/>
    </x:row>
    <x:row r="182">
      <x:c r="B182" s="53"/>
    </x:row>
    <x:row r="183">
      <x:c r="B183" s="53"/>
    </x:row>
    <x:row r="184">
      <x:c r="B184" s="53"/>
    </x:row>
    <x:row r="185">
      <x:c r="B185" s="53"/>
    </x:row>
    <x:row r="186">
      <x:c r="B186" s="53"/>
    </x:row>
    <x:row r="187">
      <x:c r="B187" s="53"/>
    </x:row>
    <x:row r="188">
      <x:c r="B188" s="53"/>
    </x:row>
    <x:row r="189">
      <x:c r="B189" s="53"/>
    </x:row>
    <x:row r="190">
      <x:c r="B190" s="53"/>
    </x:row>
    <x:row r="191">
      <x:c r="B191" s="53"/>
    </x:row>
    <x:row r="192">
      <x:c r="B192" s="53"/>
    </x:row>
    <x:row r="193">
      <x:c r="B193" s="53"/>
    </x:row>
    <x:row r="194">
      <x:c r="B194" s="53"/>
    </x:row>
    <x:row r="195">
      <x:c r="B195" s="53"/>
    </x:row>
    <x:row r="196">
      <x:c r="B196" s="53"/>
    </x:row>
    <x:row r="197">
      <x:c r="B197" s="53"/>
    </x:row>
    <x:row r="198">
      <x:c r="B198" s="53"/>
    </x:row>
    <x:row r="199">
      <x:c r="B199" s="53"/>
    </x:row>
    <x:row r="200">
      <x:c r="B200" s="53"/>
    </x:row>
  </x:sheetData>
  <x:mergeCells>
    <x:mergeCell ref="A1:C1"/>
  </x:mergeCells>
  <x:pageMargins left="0.7" right="0.7" top="0.75" bottom="0.75" header="0.3" footer="0.3"/>
</x:worksheet>
</file>